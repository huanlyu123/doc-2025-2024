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date1904="1"/>
  <bookViews>
    <workbookView windowWidth="23040" windowHeight="9180"/>
  </bookViews>
  <sheets>
    <sheet name="US" sheetId="1" r:id="rId1"/>
    <sheet name="Not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01" name="ID_C37B26EA85F849B891D96D1B84B823F4"/>
        <xdr:cNvPicPr>
          <a:picLocks noChangeAspect="1"/>
        </xdr:cNvPicPr>
      </xdr:nvPicPr>
      <xdr:blipFill>
        <a:blip r:embed="rId1" cstate="print"/>
        <a:stretch>
          <a:fillRect/>
        </a:stretch>
      </xdr:blipFill>
      <xdr:spPr>
        <a:xfrm>
          <a:off x="191770" y="28124150"/>
          <a:ext cx="236855" cy="225425"/>
        </a:xfrm>
        <a:prstGeom prst="rect">
          <a:avLst/>
        </a:prstGeom>
      </xdr:spPr>
    </xdr:pic>
  </etc:cellImage>
  <etc:cellImage>
    <xdr:pic>
      <xdr:nvPicPr>
        <xdr:cNvPr id="100" name="ID_4CD9431F0BC34A02B8BE3617A8C359B6"/>
        <xdr:cNvPicPr>
          <a:picLocks noChangeAspect="1"/>
        </xdr:cNvPicPr>
      </xdr:nvPicPr>
      <xdr:blipFill>
        <a:blip r:embed="rId2" cstate="print"/>
        <a:stretch>
          <a:fillRect/>
        </a:stretch>
      </xdr:blipFill>
      <xdr:spPr>
        <a:xfrm>
          <a:off x="191770" y="27514550"/>
          <a:ext cx="236855" cy="225425"/>
        </a:xfrm>
        <a:prstGeom prst="rect">
          <a:avLst/>
        </a:prstGeom>
      </xdr:spPr>
    </xdr:pic>
  </etc:cellImage>
  <etc:cellImage>
    <xdr:pic>
      <xdr:nvPicPr>
        <xdr:cNvPr id="99" name="ID_CF4A4984A44347989A7930E3E4419FA6"/>
        <xdr:cNvPicPr>
          <a:picLocks noChangeAspect="1"/>
        </xdr:cNvPicPr>
      </xdr:nvPicPr>
      <xdr:blipFill>
        <a:blip r:embed="rId3" cstate="print"/>
        <a:stretch>
          <a:fillRect/>
        </a:stretch>
      </xdr:blipFill>
      <xdr:spPr>
        <a:xfrm>
          <a:off x="191770" y="27209750"/>
          <a:ext cx="236855" cy="225425"/>
        </a:xfrm>
        <a:prstGeom prst="rect">
          <a:avLst/>
        </a:prstGeom>
      </xdr:spPr>
    </xdr:pic>
  </etc:cellImage>
  <etc:cellImage>
    <xdr:pic>
      <xdr:nvPicPr>
        <xdr:cNvPr id="98" name="ID_8967B23350E14CE6A6180DD7C5274023"/>
        <xdr:cNvPicPr>
          <a:picLocks noChangeAspect="1"/>
        </xdr:cNvPicPr>
      </xdr:nvPicPr>
      <xdr:blipFill>
        <a:blip r:embed="rId4" cstate="print"/>
        <a:stretch>
          <a:fillRect/>
        </a:stretch>
      </xdr:blipFill>
      <xdr:spPr>
        <a:xfrm>
          <a:off x="191770" y="30562550"/>
          <a:ext cx="236855" cy="225425"/>
        </a:xfrm>
        <a:prstGeom prst="rect">
          <a:avLst/>
        </a:prstGeom>
      </xdr:spPr>
    </xdr:pic>
  </etc:cellImage>
  <etc:cellImage>
    <xdr:pic>
      <xdr:nvPicPr>
        <xdr:cNvPr id="97" name="ID_0C7D57EC75074F1AAC604A6F86F4FE37"/>
        <xdr:cNvPicPr>
          <a:picLocks noChangeAspect="1"/>
        </xdr:cNvPicPr>
      </xdr:nvPicPr>
      <xdr:blipFill>
        <a:blip r:embed="rId5" cstate="print"/>
        <a:stretch>
          <a:fillRect/>
        </a:stretch>
      </xdr:blipFill>
      <xdr:spPr>
        <a:xfrm>
          <a:off x="191770" y="30257750"/>
          <a:ext cx="236855" cy="225425"/>
        </a:xfrm>
        <a:prstGeom prst="rect">
          <a:avLst/>
        </a:prstGeom>
      </xdr:spPr>
    </xdr:pic>
  </etc:cellImage>
  <etc:cellImage>
    <xdr:pic>
      <xdr:nvPicPr>
        <xdr:cNvPr id="96" name="ID_299E2B2F5C0A45288B4C6F629723FD55"/>
        <xdr:cNvPicPr>
          <a:picLocks noChangeAspect="1"/>
        </xdr:cNvPicPr>
      </xdr:nvPicPr>
      <xdr:blipFill>
        <a:blip r:embed="rId6" cstate="print"/>
        <a:stretch>
          <a:fillRect/>
        </a:stretch>
      </xdr:blipFill>
      <xdr:spPr>
        <a:xfrm>
          <a:off x="191770" y="29952950"/>
          <a:ext cx="236855" cy="225425"/>
        </a:xfrm>
        <a:prstGeom prst="rect">
          <a:avLst/>
        </a:prstGeom>
      </xdr:spPr>
    </xdr:pic>
  </etc:cellImage>
  <etc:cellImage>
    <xdr:pic>
      <xdr:nvPicPr>
        <xdr:cNvPr id="95" name="ID_4AA6688DD62C4FEE8494D9A0D895AF4D"/>
        <xdr:cNvPicPr>
          <a:picLocks noChangeAspect="1"/>
        </xdr:cNvPicPr>
      </xdr:nvPicPr>
      <xdr:blipFill>
        <a:blip r:embed="rId7" cstate="print"/>
        <a:stretch>
          <a:fillRect/>
        </a:stretch>
      </xdr:blipFill>
      <xdr:spPr>
        <a:xfrm>
          <a:off x="191770" y="29648150"/>
          <a:ext cx="236855" cy="225425"/>
        </a:xfrm>
        <a:prstGeom prst="rect">
          <a:avLst/>
        </a:prstGeom>
      </xdr:spPr>
    </xdr:pic>
  </etc:cellImage>
  <etc:cellImage>
    <xdr:pic>
      <xdr:nvPicPr>
        <xdr:cNvPr id="94" name="ID_306E06A95C97499F887761273FF3DE16"/>
        <xdr:cNvPicPr>
          <a:picLocks noChangeAspect="1"/>
        </xdr:cNvPicPr>
      </xdr:nvPicPr>
      <xdr:blipFill>
        <a:blip r:embed="rId8" cstate="print"/>
        <a:stretch>
          <a:fillRect/>
        </a:stretch>
      </xdr:blipFill>
      <xdr:spPr>
        <a:xfrm>
          <a:off x="191770" y="29343350"/>
          <a:ext cx="236855" cy="225425"/>
        </a:xfrm>
        <a:prstGeom prst="rect">
          <a:avLst/>
        </a:prstGeom>
      </xdr:spPr>
    </xdr:pic>
  </etc:cellImage>
  <etc:cellImage>
    <xdr:pic>
      <xdr:nvPicPr>
        <xdr:cNvPr id="93" name="ID_9961A3C54C094754818E324C7380BE68"/>
        <xdr:cNvPicPr>
          <a:picLocks noChangeAspect="1"/>
        </xdr:cNvPicPr>
      </xdr:nvPicPr>
      <xdr:blipFill>
        <a:blip r:embed="rId9" cstate="print"/>
        <a:stretch>
          <a:fillRect/>
        </a:stretch>
      </xdr:blipFill>
      <xdr:spPr>
        <a:xfrm>
          <a:off x="191770" y="25990550"/>
          <a:ext cx="236855" cy="225425"/>
        </a:xfrm>
        <a:prstGeom prst="rect">
          <a:avLst/>
        </a:prstGeom>
      </xdr:spPr>
    </xdr:pic>
  </etc:cellImage>
  <etc:cellImage>
    <xdr:pic>
      <xdr:nvPicPr>
        <xdr:cNvPr id="92" name="ID_8AAD62DD8CD848C1B32E03C204FD4FED"/>
        <xdr:cNvPicPr>
          <a:picLocks noChangeAspect="1"/>
        </xdr:cNvPicPr>
      </xdr:nvPicPr>
      <xdr:blipFill>
        <a:blip r:embed="rId10" cstate="print"/>
        <a:stretch>
          <a:fillRect/>
        </a:stretch>
      </xdr:blipFill>
      <xdr:spPr>
        <a:xfrm>
          <a:off x="191770" y="29038550"/>
          <a:ext cx="236855" cy="225425"/>
        </a:xfrm>
        <a:prstGeom prst="rect">
          <a:avLst/>
        </a:prstGeom>
      </xdr:spPr>
    </xdr:pic>
  </etc:cellImage>
  <etc:cellImage>
    <xdr:pic>
      <xdr:nvPicPr>
        <xdr:cNvPr id="91" name="ID_8F7E5AF283DF476AB843323913EEFF69"/>
        <xdr:cNvPicPr>
          <a:picLocks noChangeAspect="1"/>
        </xdr:cNvPicPr>
      </xdr:nvPicPr>
      <xdr:blipFill>
        <a:blip r:embed="rId11" cstate="print"/>
        <a:stretch>
          <a:fillRect/>
        </a:stretch>
      </xdr:blipFill>
      <xdr:spPr>
        <a:xfrm>
          <a:off x="191770" y="28733750"/>
          <a:ext cx="236855" cy="225425"/>
        </a:xfrm>
        <a:prstGeom prst="rect">
          <a:avLst/>
        </a:prstGeom>
      </xdr:spPr>
    </xdr:pic>
  </etc:cellImage>
  <etc:cellImage>
    <xdr:pic>
      <xdr:nvPicPr>
        <xdr:cNvPr id="90" name="ID_54EE0A8EFEED4B38ADEC499D32C4A4DE"/>
        <xdr:cNvPicPr>
          <a:picLocks noChangeAspect="1"/>
        </xdr:cNvPicPr>
      </xdr:nvPicPr>
      <xdr:blipFill>
        <a:blip r:embed="rId12" cstate="print"/>
        <a:stretch>
          <a:fillRect/>
        </a:stretch>
      </xdr:blipFill>
      <xdr:spPr>
        <a:xfrm>
          <a:off x="191770" y="28428950"/>
          <a:ext cx="236855" cy="225425"/>
        </a:xfrm>
        <a:prstGeom prst="rect">
          <a:avLst/>
        </a:prstGeom>
      </xdr:spPr>
    </xdr:pic>
  </etc:cellImage>
  <etc:cellImage>
    <xdr:pic>
      <xdr:nvPicPr>
        <xdr:cNvPr id="89" name="ID_AA653E45A32A422CAAF06EE9A16CFF26"/>
        <xdr:cNvPicPr>
          <a:picLocks noChangeAspect="1"/>
        </xdr:cNvPicPr>
      </xdr:nvPicPr>
      <xdr:blipFill>
        <a:blip r:embed="rId13" cstate="print"/>
        <a:stretch>
          <a:fillRect/>
        </a:stretch>
      </xdr:blipFill>
      <xdr:spPr>
        <a:xfrm>
          <a:off x="191770" y="26600150"/>
          <a:ext cx="236855" cy="225425"/>
        </a:xfrm>
        <a:prstGeom prst="rect">
          <a:avLst/>
        </a:prstGeom>
      </xdr:spPr>
    </xdr:pic>
  </etc:cellImage>
  <etc:cellImage>
    <xdr:pic>
      <xdr:nvPicPr>
        <xdr:cNvPr id="88" name="ID_1BFBE6422D9D40B2AAB601B204827611"/>
        <xdr:cNvPicPr>
          <a:picLocks noChangeAspect="1"/>
        </xdr:cNvPicPr>
      </xdr:nvPicPr>
      <xdr:blipFill>
        <a:blip r:embed="rId14" cstate="print"/>
        <a:stretch>
          <a:fillRect/>
        </a:stretch>
      </xdr:blipFill>
      <xdr:spPr>
        <a:xfrm>
          <a:off x="191770" y="27819350"/>
          <a:ext cx="236855" cy="225425"/>
        </a:xfrm>
        <a:prstGeom prst="rect">
          <a:avLst/>
        </a:prstGeom>
      </xdr:spPr>
    </xdr:pic>
  </etc:cellImage>
  <etc:cellImage>
    <xdr:pic>
      <xdr:nvPicPr>
        <xdr:cNvPr id="87" name="ID_E933B4D8A50E4CC3998D32C7D5CD4079"/>
        <xdr:cNvPicPr>
          <a:picLocks noChangeAspect="1"/>
        </xdr:cNvPicPr>
      </xdr:nvPicPr>
      <xdr:blipFill>
        <a:blip r:embed="rId15" cstate="print"/>
        <a:stretch>
          <a:fillRect/>
        </a:stretch>
      </xdr:blipFill>
      <xdr:spPr>
        <a:xfrm>
          <a:off x="191770" y="26295350"/>
          <a:ext cx="236855" cy="225425"/>
        </a:xfrm>
        <a:prstGeom prst="rect">
          <a:avLst/>
        </a:prstGeom>
      </xdr:spPr>
    </xdr:pic>
  </etc:cellImage>
  <etc:cellImage>
    <xdr:pic>
      <xdr:nvPicPr>
        <xdr:cNvPr id="86" name="ID_AE8598FF2B1644528760BC934EF8BDE2"/>
        <xdr:cNvPicPr>
          <a:picLocks noChangeAspect="1"/>
        </xdr:cNvPicPr>
      </xdr:nvPicPr>
      <xdr:blipFill>
        <a:blip r:embed="rId16" cstate="print"/>
        <a:stretch>
          <a:fillRect/>
        </a:stretch>
      </xdr:blipFill>
      <xdr:spPr>
        <a:xfrm>
          <a:off x="191770" y="25685750"/>
          <a:ext cx="236855" cy="225425"/>
        </a:xfrm>
        <a:prstGeom prst="rect">
          <a:avLst/>
        </a:prstGeom>
      </xdr:spPr>
    </xdr:pic>
  </etc:cellImage>
  <etc:cellImage>
    <xdr:pic>
      <xdr:nvPicPr>
        <xdr:cNvPr id="85" name="ID_D180BAC6E23A4B2DA18DA3F0E498E55B"/>
        <xdr:cNvPicPr>
          <a:picLocks noChangeAspect="1"/>
        </xdr:cNvPicPr>
      </xdr:nvPicPr>
      <xdr:blipFill>
        <a:blip r:embed="rId17" cstate="print"/>
        <a:stretch>
          <a:fillRect/>
        </a:stretch>
      </xdr:blipFill>
      <xdr:spPr>
        <a:xfrm>
          <a:off x="191770" y="26904950"/>
          <a:ext cx="236855" cy="225425"/>
        </a:xfrm>
        <a:prstGeom prst="rect">
          <a:avLst/>
        </a:prstGeom>
      </xdr:spPr>
    </xdr:pic>
  </etc:cellImage>
  <etc:cellImage>
    <xdr:pic>
      <xdr:nvPicPr>
        <xdr:cNvPr id="84" name="ID_5C42C9F44D81420180619C40933B6AD3"/>
        <xdr:cNvPicPr>
          <a:picLocks noChangeAspect="1"/>
        </xdr:cNvPicPr>
      </xdr:nvPicPr>
      <xdr:blipFill>
        <a:blip r:embed="rId18" cstate="print"/>
        <a:stretch>
          <a:fillRect/>
        </a:stretch>
      </xdr:blipFill>
      <xdr:spPr>
        <a:xfrm>
          <a:off x="191770" y="25380950"/>
          <a:ext cx="236855" cy="225425"/>
        </a:xfrm>
        <a:prstGeom prst="rect">
          <a:avLst/>
        </a:prstGeom>
      </xdr:spPr>
    </xdr:pic>
  </etc:cellImage>
  <etc:cellImage>
    <xdr:pic>
      <xdr:nvPicPr>
        <xdr:cNvPr id="83" name="ID_12D24B6EA6D14BB49177D18E3C833E8D"/>
        <xdr:cNvPicPr>
          <a:picLocks noChangeAspect="1"/>
        </xdr:cNvPicPr>
      </xdr:nvPicPr>
      <xdr:blipFill>
        <a:blip r:embed="rId19" cstate="print"/>
        <a:stretch>
          <a:fillRect/>
        </a:stretch>
      </xdr:blipFill>
      <xdr:spPr>
        <a:xfrm>
          <a:off x="191770" y="25076150"/>
          <a:ext cx="236855" cy="225425"/>
        </a:xfrm>
        <a:prstGeom prst="rect">
          <a:avLst/>
        </a:prstGeom>
      </xdr:spPr>
    </xdr:pic>
  </etc:cellImage>
  <etc:cellImage>
    <xdr:pic>
      <xdr:nvPicPr>
        <xdr:cNvPr id="82" name="ID_CC0772E056D749B49186F05746C01F80"/>
        <xdr:cNvPicPr>
          <a:picLocks noChangeAspect="1"/>
        </xdr:cNvPicPr>
      </xdr:nvPicPr>
      <xdr:blipFill>
        <a:blip r:embed="rId20" cstate="print"/>
        <a:stretch>
          <a:fillRect/>
        </a:stretch>
      </xdr:blipFill>
      <xdr:spPr>
        <a:xfrm>
          <a:off x="191770" y="24771350"/>
          <a:ext cx="236855" cy="225425"/>
        </a:xfrm>
        <a:prstGeom prst="rect">
          <a:avLst/>
        </a:prstGeom>
      </xdr:spPr>
    </xdr:pic>
  </etc:cellImage>
  <etc:cellImage>
    <xdr:pic>
      <xdr:nvPicPr>
        <xdr:cNvPr id="81" name="ID_B293C16E02AB4EEBBC2B93AE022CF2C0"/>
        <xdr:cNvPicPr>
          <a:picLocks noChangeAspect="1"/>
        </xdr:cNvPicPr>
      </xdr:nvPicPr>
      <xdr:blipFill>
        <a:blip r:embed="rId21" cstate="print"/>
        <a:stretch>
          <a:fillRect/>
        </a:stretch>
      </xdr:blipFill>
      <xdr:spPr>
        <a:xfrm>
          <a:off x="191770" y="24161750"/>
          <a:ext cx="236855" cy="225425"/>
        </a:xfrm>
        <a:prstGeom prst="rect">
          <a:avLst/>
        </a:prstGeom>
      </xdr:spPr>
    </xdr:pic>
  </etc:cellImage>
  <etc:cellImage>
    <xdr:pic>
      <xdr:nvPicPr>
        <xdr:cNvPr id="80" name="ID_48EED63F2EFD4DB0820E2A2718AC0DE0"/>
        <xdr:cNvPicPr>
          <a:picLocks noChangeAspect="1"/>
        </xdr:cNvPicPr>
      </xdr:nvPicPr>
      <xdr:blipFill>
        <a:blip r:embed="rId22" cstate="print"/>
        <a:stretch>
          <a:fillRect/>
        </a:stretch>
      </xdr:blipFill>
      <xdr:spPr>
        <a:xfrm>
          <a:off x="191770" y="24466550"/>
          <a:ext cx="236855" cy="225425"/>
        </a:xfrm>
        <a:prstGeom prst="rect">
          <a:avLst/>
        </a:prstGeom>
      </xdr:spPr>
    </xdr:pic>
  </etc:cellImage>
  <etc:cellImage>
    <xdr:pic>
      <xdr:nvPicPr>
        <xdr:cNvPr id="79" name="ID_27C1310AF4F94ADE91F1B483ACF0C564"/>
        <xdr:cNvPicPr>
          <a:picLocks noChangeAspect="1"/>
        </xdr:cNvPicPr>
      </xdr:nvPicPr>
      <xdr:blipFill>
        <a:blip r:embed="rId23" cstate="print"/>
        <a:stretch>
          <a:fillRect/>
        </a:stretch>
      </xdr:blipFill>
      <xdr:spPr>
        <a:xfrm>
          <a:off x="191770" y="23552150"/>
          <a:ext cx="236855" cy="225425"/>
        </a:xfrm>
        <a:prstGeom prst="rect">
          <a:avLst/>
        </a:prstGeom>
      </xdr:spPr>
    </xdr:pic>
  </etc:cellImage>
  <etc:cellImage>
    <xdr:pic>
      <xdr:nvPicPr>
        <xdr:cNvPr id="78" name="ID_A1DF363BFA104250BA58ADFE8B1E8FEC"/>
        <xdr:cNvPicPr>
          <a:picLocks noChangeAspect="1"/>
        </xdr:cNvPicPr>
      </xdr:nvPicPr>
      <xdr:blipFill>
        <a:blip r:embed="rId24" cstate="print"/>
        <a:stretch>
          <a:fillRect/>
        </a:stretch>
      </xdr:blipFill>
      <xdr:spPr>
        <a:xfrm>
          <a:off x="191770" y="23856950"/>
          <a:ext cx="236855" cy="225425"/>
        </a:xfrm>
        <a:prstGeom prst="rect">
          <a:avLst/>
        </a:prstGeom>
      </xdr:spPr>
    </xdr:pic>
  </etc:cellImage>
  <etc:cellImage>
    <xdr:pic>
      <xdr:nvPicPr>
        <xdr:cNvPr id="77" name="ID_34A9F8B1A98B47BBA7F316EC43E6455F"/>
        <xdr:cNvPicPr>
          <a:picLocks noChangeAspect="1"/>
        </xdr:cNvPicPr>
      </xdr:nvPicPr>
      <xdr:blipFill>
        <a:blip r:embed="rId25" cstate="print"/>
        <a:stretch>
          <a:fillRect/>
        </a:stretch>
      </xdr:blipFill>
      <xdr:spPr>
        <a:xfrm>
          <a:off x="191770" y="22942550"/>
          <a:ext cx="236855" cy="225425"/>
        </a:xfrm>
        <a:prstGeom prst="rect">
          <a:avLst/>
        </a:prstGeom>
      </xdr:spPr>
    </xdr:pic>
  </etc:cellImage>
  <etc:cellImage>
    <xdr:pic>
      <xdr:nvPicPr>
        <xdr:cNvPr id="76" name="ID_CDD54305094A4393923DC0EC9385387D"/>
        <xdr:cNvPicPr>
          <a:picLocks noChangeAspect="1"/>
        </xdr:cNvPicPr>
      </xdr:nvPicPr>
      <xdr:blipFill>
        <a:blip r:embed="rId26" cstate="print"/>
        <a:stretch>
          <a:fillRect/>
        </a:stretch>
      </xdr:blipFill>
      <xdr:spPr>
        <a:xfrm>
          <a:off x="191770" y="19894550"/>
          <a:ext cx="236855" cy="225425"/>
        </a:xfrm>
        <a:prstGeom prst="rect">
          <a:avLst/>
        </a:prstGeom>
      </xdr:spPr>
    </xdr:pic>
  </etc:cellImage>
  <etc:cellImage>
    <xdr:pic>
      <xdr:nvPicPr>
        <xdr:cNvPr id="75" name="ID_00C949BB46E644F4A67CE3CBC8951144"/>
        <xdr:cNvPicPr>
          <a:picLocks noChangeAspect="1"/>
        </xdr:cNvPicPr>
      </xdr:nvPicPr>
      <xdr:blipFill>
        <a:blip r:embed="rId27" cstate="print"/>
        <a:stretch>
          <a:fillRect/>
        </a:stretch>
      </xdr:blipFill>
      <xdr:spPr>
        <a:xfrm>
          <a:off x="191770" y="22637750"/>
          <a:ext cx="236855" cy="225425"/>
        </a:xfrm>
        <a:prstGeom prst="rect">
          <a:avLst/>
        </a:prstGeom>
      </xdr:spPr>
    </xdr:pic>
  </etc:cellImage>
  <etc:cellImage>
    <xdr:pic>
      <xdr:nvPicPr>
        <xdr:cNvPr id="74" name="ID_AEB61A732A91438FBA7157BFBB33A3E6"/>
        <xdr:cNvPicPr>
          <a:picLocks noChangeAspect="1"/>
        </xdr:cNvPicPr>
      </xdr:nvPicPr>
      <xdr:blipFill>
        <a:blip r:embed="rId28" cstate="print"/>
        <a:stretch>
          <a:fillRect/>
        </a:stretch>
      </xdr:blipFill>
      <xdr:spPr>
        <a:xfrm>
          <a:off x="191770" y="21723350"/>
          <a:ext cx="236855" cy="225425"/>
        </a:xfrm>
        <a:prstGeom prst="rect">
          <a:avLst/>
        </a:prstGeom>
      </xdr:spPr>
    </xdr:pic>
  </etc:cellImage>
  <etc:cellImage>
    <xdr:pic>
      <xdr:nvPicPr>
        <xdr:cNvPr id="73" name="ID_1F524CE7422945E89473875F905223BF"/>
        <xdr:cNvPicPr>
          <a:picLocks noChangeAspect="1"/>
        </xdr:cNvPicPr>
      </xdr:nvPicPr>
      <xdr:blipFill>
        <a:blip r:embed="rId29" cstate="print"/>
        <a:stretch>
          <a:fillRect/>
        </a:stretch>
      </xdr:blipFill>
      <xdr:spPr>
        <a:xfrm>
          <a:off x="191770" y="23247350"/>
          <a:ext cx="236855" cy="225425"/>
        </a:xfrm>
        <a:prstGeom prst="rect">
          <a:avLst/>
        </a:prstGeom>
      </xdr:spPr>
    </xdr:pic>
  </etc:cellImage>
  <etc:cellImage>
    <xdr:pic>
      <xdr:nvPicPr>
        <xdr:cNvPr id="72" name="ID_4F3F5D60C7574079992AC8CAD3ACB9A0"/>
        <xdr:cNvPicPr>
          <a:picLocks noChangeAspect="1"/>
        </xdr:cNvPicPr>
      </xdr:nvPicPr>
      <xdr:blipFill>
        <a:blip r:embed="rId30" cstate="print"/>
        <a:stretch>
          <a:fillRect/>
        </a:stretch>
      </xdr:blipFill>
      <xdr:spPr>
        <a:xfrm>
          <a:off x="191770" y="21418550"/>
          <a:ext cx="236855" cy="225425"/>
        </a:xfrm>
        <a:prstGeom prst="rect">
          <a:avLst/>
        </a:prstGeom>
      </xdr:spPr>
    </xdr:pic>
  </etc:cellImage>
  <etc:cellImage>
    <xdr:pic>
      <xdr:nvPicPr>
        <xdr:cNvPr id="71" name="ID_F6BF61BAE9624EA5B7E1A08E3BD1C4B2"/>
        <xdr:cNvPicPr>
          <a:picLocks noChangeAspect="1"/>
        </xdr:cNvPicPr>
      </xdr:nvPicPr>
      <xdr:blipFill>
        <a:blip r:embed="rId31" cstate="print"/>
        <a:stretch>
          <a:fillRect/>
        </a:stretch>
      </xdr:blipFill>
      <xdr:spPr>
        <a:xfrm>
          <a:off x="191770" y="22332950"/>
          <a:ext cx="236855" cy="225425"/>
        </a:xfrm>
        <a:prstGeom prst="rect">
          <a:avLst/>
        </a:prstGeom>
      </xdr:spPr>
    </xdr:pic>
  </etc:cellImage>
  <etc:cellImage>
    <xdr:pic>
      <xdr:nvPicPr>
        <xdr:cNvPr id="70" name="ID_DD2F0A672E5049CF897D133BD159BF7D"/>
        <xdr:cNvPicPr>
          <a:picLocks noChangeAspect="1"/>
        </xdr:cNvPicPr>
      </xdr:nvPicPr>
      <xdr:blipFill>
        <a:blip r:embed="rId32" cstate="print"/>
        <a:stretch>
          <a:fillRect/>
        </a:stretch>
      </xdr:blipFill>
      <xdr:spPr>
        <a:xfrm>
          <a:off x="191770" y="20808950"/>
          <a:ext cx="236855" cy="225425"/>
        </a:xfrm>
        <a:prstGeom prst="rect">
          <a:avLst/>
        </a:prstGeom>
      </xdr:spPr>
    </xdr:pic>
  </etc:cellImage>
  <etc:cellImage>
    <xdr:pic>
      <xdr:nvPicPr>
        <xdr:cNvPr id="69" name="ID_4C38737BB77D472E9215D54628542A1A"/>
        <xdr:cNvPicPr>
          <a:picLocks noChangeAspect="1"/>
        </xdr:cNvPicPr>
      </xdr:nvPicPr>
      <xdr:blipFill>
        <a:blip r:embed="rId33" cstate="print"/>
        <a:stretch>
          <a:fillRect/>
        </a:stretch>
      </xdr:blipFill>
      <xdr:spPr>
        <a:xfrm>
          <a:off x="191770" y="22028150"/>
          <a:ext cx="236855" cy="225425"/>
        </a:xfrm>
        <a:prstGeom prst="rect">
          <a:avLst/>
        </a:prstGeom>
      </xdr:spPr>
    </xdr:pic>
  </etc:cellImage>
  <etc:cellImage>
    <xdr:pic>
      <xdr:nvPicPr>
        <xdr:cNvPr id="68" name="ID_DFA8D54B56964A748811C40D488CE769"/>
        <xdr:cNvPicPr>
          <a:picLocks noChangeAspect="1"/>
        </xdr:cNvPicPr>
      </xdr:nvPicPr>
      <xdr:blipFill>
        <a:blip r:embed="rId34" cstate="print"/>
        <a:stretch>
          <a:fillRect/>
        </a:stretch>
      </xdr:blipFill>
      <xdr:spPr>
        <a:xfrm>
          <a:off x="191770" y="20504150"/>
          <a:ext cx="236855" cy="225425"/>
        </a:xfrm>
        <a:prstGeom prst="rect">
          <a:avLst/>
        </a:prstGeom>
      </xdr:spPr>
    </xdr:pic>
  </etc:cellImage>
  <etc:cellImage>
    <xdr:pic>
      <xdr:nvPicPr>
        <xdr:cNvPr id="67" name="ID_61B4CC728A6E4D318DC749CD055D5E1A"/>
        <xdr:cNvPicPr>
          <a:picLocks noChangeAspect="1"/>
        </xdr:cNvPicPr>
      </xdr:nvPicPr>
      <xdr:blipFill>
        <a:blip r:embed="rId35" cstate="print"/>
        <a:stretch>
          <a:fillRect/>
        </a:stretch>
      </xdr:blipFill>
      <xdr:spPr>
        <a:xfrm>
          <a:off x="191770" y="20199350"/>
          <a:ext cx="236855" cy="225425"/>
        </a:xfrm>
        <a:prstGeom prst="rect">
          <a:avLst/>
        </a:prstGeom>
      </xdr:spPr>
    </xdr:pic>
  </etc:cellImage>
  <etc:cellImage>
    <xdr:pic>
      <xdr:nvPicPr>
        <xdr:cNvPr id="66" name="ID_B0E7A7C47A1E4E02A10E53B284D13092"/>
        <xdr:cNvPicPr>
          <a:picLocks noChangeAspect="1"/>
        </xdr:cNvPicPr>
      </xdr:nvPicPr>
      <xdr:blipFill>
        <a:blip r:embed="rId36" cstate="print"/>
        <a:stretch>
          <a:fillRect/>
        </a:stretch>
      </xdr:blipFill>
      <xdr:spPr>
        <a:xfrm>
          <a:off x="191770" y="21113750"/>
          <a:ext cx="236855" cy="225425"/>
        </a:xfrm>
        <a:prstGeom prst="rect">
          <a:avLst/>
        </a:prstGeom>
      </xdr:spPr>
    </xdr:pic>
  </etc:cellImage>
  <etc:cellImage>
    <xdr:pic>
      <xdr:nvPicPr>
        <xdr:cNvPr id="9" name="ID_35DF75200B1A49D6BD0CCDB2573DC7F0"/>
        <xdr:cNvPicPr>
          <a:picLocks noChangeAspect="1"/>
        </xdr:cNvPicPr>
      </xdr:nvPicPr>
      <xdr:blipFill>
        <a:blip r:embed="rId37" cstate="print"/>
        <a:stretch>
          <a:fillRect/>
        </a:stretch>
      </xdr:blipFill>
      <xdr:spPr>
        <a:xfrm>
          <a:off x="191770" y="2520950"/>
          <a:ext cx="236855" cy="225425"/>
        </a:xfrm>
        <a:prstGeom prst="rect">
          <a:avLst/>
        </a:prstGeom>
      </xdr:spPr>
    </xdr:pic>
  </etc:cellImage>
  <etc:cellImage>
    <xdr:pic>
      <xdr:nvPicPr>
        <xdr:cNvPr id="8" name="ID_9D7A307469A24CDAA2B622EDE03B7372"/>
        <xdr:cNvPicPr>
          <a:picLocks noChangeAspect="1"/>
        </xdr:cNvPicPr>
      </xdr:nvPicPr>
      <xdr:blipFill>
        <a:blip r:embed="rId38" cstate="print"/>
        <a:stretch>
          <a:fillRect/>
        </a:stretch>
      </xdr:blipFill>
      <xdr:spPr>
        <a:xfrm>
          <a:off x="191770" y="2216150"/>
          <a:ext cx="236855" cy="225425"/>
        </a:xfrm>
        <a:prstGeom prst="rect">
          <a:avLst/>
        </a:prstGeom>
      </xdr:spPr>
    </xdr:pic>
  </etc:cellImage>
  <etc:cellImage>
    <xdr:pic>
      <xdr:nvPicPr>
        <xdr:cNvPr id="7" name="ID_1C1A0F4E8C24498B9A57DB4F8C68A3C7"/>
        <xdr:cNvPicPr>
          <a:picLocks noChangeAspect="1"/>
        </xdr:cNvPicPr>
      </xdr:nvPicPr>
      <xdr:blipFill>
        <a:blip r:embed="rId39" cstate="print"/>
        <a:stretch>
          <a:fillRect/>
        </a:stretch>
      </xdr:blipFill>
      <xdr:spPr>
        <a:xfrm>
          <a:off x="191770" y="1911350"/>
          <a:ext cx="236855" cy="225425"/>
        </a:xfrm>
        <a:prstGeom prst="rect">
          <a:avLst/>
        </a:prstGeom>
      </xdr:spPr>
    </xdr:pic>
  </etc:cellImage>
  <etc:cellImage>
    <xdr:pic>
      <xdr:nvPicPr>
        <xdr:cNvPr id="6" name="ID_45E8DABED09B484DB34866FA4E484DF7"/>
        <xdr:cNvPicPr>
          <a:picLocks noChangeAspect="1"/>
        </xdr:cNvPicPr>
      </xdr:nvPicPr>
      <xdr:blipFill>
        <a:blip r:embed="rId40" cstate="print"/>
        <a:stretch>
          <a:fillRect/>
        </a:stretch>
      </xdr:blipFill>
      <xdr:spPr>
        <a:xfrm>
          <a:off x="191770" y="1606550"/>
          <a:ext cx="236855" cy="225425"/>
        </a:xfrm>
        <a:prstGeom prst="rect">
          <a:avLst/>
        </a:prstGeom>
      </xdr:spPr>
    </xdr:pic>
  </etc:cellImage>
  <etc:cellImage>
    <xdr:pic>
      <xdr:nvPicPr>
        <xdr:cNvPr id="4" name="ID_AF4B06DCB09B4E6FB6EA9992ADFCB312"/>
        <xdr:cNvPicPr>
          <a:picLocks noChangeAspect="1"/>
        </xdr:cNvPicPr>
      </xdr:nvPicPr>
      <xdr:blipFill>
        <a:blip r:embed="rId41" cstate="print"/>
        <a:stretch>
          <a:fillRect/>
        </a:stretch>
      </xdr:blipFill>
      <xdr:spPr>
        <a:xfrm>
          <a:off x="191770" y="996950"/>
          <a:ext cx="236855" cy="225425"/>
        </a:xfrm>
        <a:prstGeom prst="rect">
          <a:avLst/>
        </a:prstGeom>
      </xdr:spPr>
    </xdr:pic>
  </etc:cellImage>
  <etc:cellImage>
    <xdr:pic>
      <xdr:nvPicPr>
        <xdr:cNvPr id="3" name="ID_571E291782EA4BE2B57321A8782F1270"/>
        <xdr:cNvPicPr>
          <a:picLocks noChangeAspect="1"/>
        </xdr:cNvPicPr>
      </xdr:nvPicPr>
      <xdr:blipFill>
        <a:blip r:embed="rId42" cstate="print"/>
        <a:stretch>
          <a:fillRect/>
        </a:stretch>
      </xdr:blipFill>
      <xdr:spPr>
        <a:xfrm>
          <a:off x="191770" y="692150"/>
          <a:ext cx="236855" cy="225425"/>
        </a:xfrm>
        <a:prstGeom prst="rect">
          <a:avLst/>
        </a:prstGeom>
      </xdr:spPr>
    </xdr:pic>
  </etc:cellImage>
  <etc:cellImage>
    <xdr:pic>
      <xdr:nvPicPr>
        <xdr:cNvPr id="2" name="ID_62482D23934141D29F9B74C062039CA0"/>
        <xdr:cNvPicPr>
          <a:picLocks noChangeAspect="1"/>
        </xdr:cNvPicPr>
      </xdr:nvPicPr>
      <xdr:blipFill>
        <a:blip r:embed="rId43" cstate="print"/>
        <a:stretch>
          <a:fillRect/>
        </a:stretch>
      </xdr:blipFill>
      <xdr:spPr>
        <a:xfrm>
          <a:off x="191770" y="387350"/>
          <a:ext cx="236855" cy="225425"/>
        </a:xfrm>
        <a:prstGeom prst="rect">
          <a:avLst/>
        </a:prstGeom>
      </xdr:spPr>
    </xdr:pic>
  </etc:cellImage>
  <etc:cellImage>
    <xdr:pic>
      <xdr:nvPicPr>
        <xdr:cNvPr id="5" name="ID_51AA5CB6A68D4AE382E01D815501DF52"/>
        <xdr:cNvPicPr>
          <a:picLocks noChangeAspect="1"/>
        </xdr:cNvPicPr>
      </xdr:nvPicPr>
      <xdr:blipFill>
        <a:blip r:embed="rId44" cstate="print"/>
        <a:stretch>
          <a:fillRect/>
        </a:stretch>
      </xdr:blipFill>
      <xdr:spPr>
        <a:xfrm>
          <a:off x="191770" y="1301750"/>
          <a:ext cx="236855" cy="225425"/>
        </a:xfrm>
        <a:prstGeom prst="rect">
          <a:avLst/>
        </a:prstGeom>
      </xdr:spPr>
    </xdr:pic>
  </etc:cellImage>
  <etc:cellImage>
    <xdr:pic>
      <xdr:nvPicPr>
        <xdr:cNvPr id="10" name="ID_28FC5B1B14864F9BA7BE1322F5DE4228"/>
        <xdr:cNvPicPr>
          <a:picLocks noChangeAspect="1"/>
        </xdr:cNvPicPr>
      </xdr:nvPicPr>
      <xdr:blipFill>
        <a:blip r:embed="rId45" cstate="print"/>
        <a:stretch>
          <a:fillRect/>
        </a:stretch>
      </xdr:blipFill>
      <xdr:spPr>
        <a:xfrm>
          <a:off x="191770" y="2825750"/>
          <a:ext cx="236855" cy="225425"/>
        </a:xfrm>
        <a:prstGeom prst="rect">
          <a:avLst/>
        </a:prstGeom>
      </xdr:spPr>
    </xdr:pic>
  </etc:cellImage>
  <etc:cellImage>
    <xdr:pic>
      <xdr:nvPicPr>
        <xdr:cNvPr id="11" name="ID_B3E5B226F4774E8F8204364928F613D7"/>
        <xdr:cNvPicPr>
          <a:picLocks noChangeAspect="1"/>
        </xdr:cNvPicPr>
      </xdr:nvPicPr>
      <xdr:blipFill>
        <a:blip r:embed="rId46" cstate="print"/>
        <a:stretch>
          <a:fillRect/>
        </a:stretch>
      </xdr:blipFill>
      <xdr:spPr>
        <a:xfrm>
          <a:off x="191770" y="3130550"/>
          <a:ext cx="236855" cy="225425"/>
        </a:xfrm>
        <a:prstGeom prst="rect">
          <a:avLst/>
        </a:prstGeom>
      </xdr:spPr>
    </xdr:pic>
  </etc:cellImage>
  <etc:cellImage>
    <xdr:pic>
      <xdr:nvPicPr>
        <xdr:cNvPr id="12" name="ID_82975F8EC58D4578A6EB576CE8795928"/>
        <xdr:cNvPicPr>
          <a:picLocks noChangeAspect="1"/>
        </xdr:cNvPicPr>
      </xdr:nvPicPr>
      <xdr:blipFill>
        <a:blip r:embed="rId47" cstate="print"/>
        <a:stretch>
          <a:fillRect/>
        </a:stretch>
      </xdr:blipFill>
      <xdr:spPr>
        <a:xfrm>
          <a:off x="191770" y="3435350"/>
          <a:ext cx="236855" cy="225425"/>
        </a:xfrm>
        <a:prstGeom prst="rect">
          <a:avLst/>
        </a:prstGeom>
      </xdr:spPr>
    </xdr:pic>
  </etc:cellImage>
  <etc:cellImage>
    <xdr:pic>
      <xdr:nvPicPr>
        <xdr:cNvPr id="13" name="ID_DD376A262FA74CB4B4D335DD22D32704"/>
        <xdr:cNvPicPr>
          <a:picLocks noChangeAspect="1"/>
        </xdr:cNvPicPr>
      </xdr:nvPicPr>
      <xdr:blipFill>
        <a:blip r:embed="rId48" cstate="print"/>
        <a:stretch>
          <a:fillRect/>
        </a:stretch>
      </xdr:blipFill>
      <xdr:spPr>
        <a:xfrm>
          <a:off x="191770" y="3740150"/>
          <a:ext cx="236855" cy="225425"/>
        </a:xfrm>
        <a:prstGeom prst="rect">
          <a:avLst/>
        </a:prstGeom>
      </xdr:spPr>
    </xdr:pic>
  </etc:cellImage>
  <etc:cellImage>
    <xdr:pic>
      <xdr:nvPicPr>
        <xdr:cNvPr id="14" name="ID_4549F4A195B2414A81B92ED9FDA887F3"/>
        <xdr:cNvPicPr>
          <a:picLocks noChangeAspect="1"/>
        </xdr:cNvPicPr>
      </xdr:nvPicPr>
      <xdr:blipFill>
        <a:blip r:embed="rId49" cstate="print"/>
        <a:stretch>
          <a:fillRect/>
        </a:stretch>
      </xdr:blipFill>
      <xdr:spPr>
        <a:xfrm>
          <a:off x="191770" y="4044950"/>
          <a:ext cx="236855" cy="225425"/>
        </a:xfrm>
        <a:prstGeom prst="rect">
          <a:avLst/>
        </a:prstGeom>
      </xdr:spPr>
    </xdr:pic>
  </etc:cellImage>
  <etc:cellImage>
    <xdr:pic>
      <xdr:nvPicPr>
        <xdr:cNvPr id="15" name="ID_028F752C614042DCA9DFF1AADCAD71F9"/>
        <xdr:cNvPicPr>
          <a:picLocks noChangeAspect="1"/>
        </xdr:cNvPicPr>
      </xdr:nvPicPr>
      <xdr:blipFill>
        <a:blip r:embed="rId50" cstate="print"/>
        <a:stretch>
          <a:fillRect/>
        </a:stretch>
      </xdr:blipFill>
      <xdr:spPr>
        <a:xfrm>
          <a:off x="191770" y="4349750"/>
          <a:ext cx="236855" cy="225425"/>
        </a:xfrm>
        <a:prstGeom prst="rect">
          <a:avLst/>
        </a:prstGeom>
      </xdr:spPr>
    </xdr:pic>
  </etc:cellImage>
  <etc:cellImage>
    <xdr:pic>
      <xdr:nvPicPr>
        <xdr:cNvPr id="16" name="ID_B21A6FA50B674541B52A7C1E46819037"/>
        <xdr:cNvPicPr>
          <a:picLocks noChangeAspect="1"/>
        </xdr:cNvPicPr>
      </xdr:nvPicPr>
      <xdr:blipFill>
        <a:blip r:embed="rId51" cstate="print"/>
        <a:stretch>
          <a:fillRect/>
        </a:stretch>
      </xdr:blipFill>
      <xdr:spPr>
        <a:xfrm>
          <a:off x="191770" y="4654550"/>
          <a:ext cx="236855" cy="225425"/>
        </a:xfrm>
        <a:prstGeom prst="rect">
          <a:avLst/>
        </a:prstGeom>
      </xdr:spPr>
    </xdr:pic>
  </etc:cellImage>
  <etc:cellImage>
    <xdr:pic>
      <xdr:nvPicPr>
        <xdr:cNvPr id="17" name="ID_C33DC3465917410CAEF224AAD13A6E79"/>
        <xdr:cNvPicPr>
          <a:picLocks noChangeAspect="1"/>
        </xdr:cNvPicPr>
      </xdr:nvPicPr>
      <xdr:blipFill>
        <a:blip r:embed="rId52" cstate="print"/>
        <a:stretch>
          <a:fillRect/>
        </a:stretch>
      </xdr:blipFill>
      <xdr:spPr>
        <a:xfrm>
          <a:off x="191770" y="4959350"/>
          <a:ext cx="236855" cy="225425"/>
        </a:xfrm>
        <a:prstGeom prst="rect">
          <a:avLst/>
        </a:prstGeom>
      </xdr:spPr>
    </xdr:pic>
  </etc:cellImage>
  <etc:cellImage>
    <xdr:pic>
      <xdr:nvPicPr>
        <xdr:cNvPr id="18" name="ID_333B358175CE4061BF10DE9B1A4A0861"/>
        <xdr:cNvPicPr>
          <a:picLocks noChangeAspect="1"/>
        </xdr:cNvPicPr>
      </xdr:nvPicPr>
      <xdr:blipFill>
        <a:blip r:embed="rId53" cstate="print"/>
        <a:stretch>
          <a:fillRect/>
        </a:stretch>
      </xdr:blipFill>
      <xdr:spPr>
        <a:xfrm>
          <a:off x="191770" y="5264150"/>
          <a:ext cx="236855" cy="225425"/>
        </a:xfrm>
        <a:prstGeom prst="rect">
          <a:avLst/>
        </a:prstGeom>
      </xdr:spPr>
    </xdr:pic>
  </etc:cellImage>
  <etc:cellImage>
    <xdr:pic>
      <xdr:nvPicPr>
        <xdr:cNvPr id="19" name="ID_238125F17FCA42FB8D75CA4D4567EA0E"/>
        <xdr:cNvPicPr>
          <a:picLocks noChangeAspect="1"/>
        </xdr:cNvPicPr>
      </xdr:nvPicPr>
      <xdr:blipFill>
        <a:blip r:embed="rId54" cstate="print"/>
        <a:stretch>
          <a:fillRect/>
        </a:stretch>
      </xdr:blipFill>
      <xdr:spPr>
        <a:xfrm>
          <a:off x="191770" y="5568950"/>
          <a:ext cx="236855" cy="225425"/>
        </a:xfrm>
        <a:prstGeom prst="rect">
          <a:avLst/>
        </a:prstGeom>
      </xdr:spPr>
    </xdr:pic>
  </etc:cellImage>
  <etc:cellImage>
    <xdr:pic>
      <xdr:nvPicPr>
        <xdr:cNvPr id="20" name="ID_DBE2B726AEB34A4294AC8D6EEE04B623"/>
        <xdr:cNvPicPr>
          <a:picLocks noChangeAspect="1"/>
        </xdr:cNvPicPr>
      </xdr:nvPicPr>
      <xdr:blipFill>
        <a:blip r:embed="rId55" cstate="print"/>
        <a:stretch>
          <a:fillRect/>
        </a:stretch>
      </xdr:blipFill>
      <xdr:spPr>
        <a:xfrm>
          <a:off x="191770" y="5873750"/>
          <a:ext cx="236855" cy="225425"/>
        </a:xfrm>
        <a:prstGeom prst="rect">
          <a:avLst/>
        </a:prstGeom>
      </xdr:spPr>
    </xdr:pic>
  </etc:cellImage>
  <etc:cellImage>
    <xdr:pic>
      <xdr:nvPicPr>
        <xdr:cNvPr id="21" name="ID_9AA9490B4987488BB1678A751BA9B034"/>
        <xdr:cNvPicPr>
          <a:picLocks noChangeAspect="1"/>
        </xdr:cNvPicPr>
      </xdr:nvPicPr>
      <xdr:blipFill>
        <a:blip r:embed="rId56" cstate="print"/>
        <a:stretch>
          <a:fillRect/>
        </a:stretch>
      </xdr:blipFill>
      <xdr:spPr>
        <a:xfrm>
          <a:off x="191770" y="6178550"/>
          <a:ext cx="236855" cy="225425"/>
        </a:xfrm>
        <a:prstGeom prst="rect">
          <a:avLst/>
        </a:prstGeom>
      </xdr:spPr>
    </xdr:pic>
  </etc:cellImage>
  <etc:cellImage>
    <xdr:pic>
      <xdr:nvPicPr>
        <xdr:cNvPr id="22" name="ID_863B2484F96549CBA9C6ABEEFA44F1E9"/>
        <xdr:cNvPicPr>
          <a:picLocks noChangeAspect="1"/>
        </xdr:cNvPicPr>
      </xdr:nvPicPr>
      <xdr:blipFill>
        <a:blip r:embed="rId57" cstate="print"/>
        <a:stretch>
          <a:fillRect/>
        </a:stretch>
      </xdr:blipFill>
      <xdr:spPr>
        <a:xfrm>
          <a:off x="191770" y="6483350"/>
          <a:ext cx="236855" cy="225425"/>
        </a:xfrm>
        <a:prstGeom prst="rect">
          <a:avLst/>
        </a:prstGeom>
      </xdr:spPr>
    </xdr:pic>
  </etc:cellImage>
  <etc:cellImage>
    <xdr:pic>
      <xdr:nvPicPr>
        <xdr:cNvPr id="23" name="ID_FE29C2B6392943568A5ACCC0B868C7AF"/>
        <xdr:cNvPicPr>
          <a:picLocks noChangeAspect="1"/>
        </xdr:cNvPicPr>
      </xdr:nvPicPr>
      <xdr:blipFill>
        <a:blip r:embed="rId58" cstate="print"/>
        <a:stretch>
          <a:fillRect/>
        </a:stretch>
      </xdr:blipFill>
      <xdr:spPr>
        <a:xfrm>
          <a:off x="191770" y="6788150"/>
          <a:ext cx="236855" cy="225425"/>
        </a:xfrm>
        <a:prstGeom prst="rect">
          <a:avLst/>
        </a:prstGeom>
      </xdr:spPr>
    </xdr:pic>
  </etc:cellImage>
  <etc:cellImage>
    <xdr:pic>
      <xdr:nvPicPr>
        <xdr:cNvPr id="24" name="ID_AD57F8AC7994442284B5EE68F7D4A80E"/>
        <xdr:cNvPicPr>
          <a:picLocks noChangeAspect="1"/>
        </xdr:cNvPicPr>
      </xdr:nvPicPr>
      <xdr:blipFill>
        <a:blip r:embed="rId59" cstate="print"/>
        <a:stretch>
          <a:fillRect/>
        </a:stretch>
      </xdr:blipFill>
      <xdr:spPr>
        <a:xfrm>
          <a:off x="191770" y="7092950"/>
          <a:ext cx="236855" cy="225425"/>
        </a:xfrm>
        <a:prstGeom prst="rect">
          <a:avLst/>
        </a:prstGeom>
      </xdr:spPr>
    </xdr:pic>
  </etc:cellImage>
  <etc:cellImage>
    <xdr:pic>
      <xdr:nvPicPr>
        <xdr:cNvPr id="25" name="ID_BAB02C3F8F1F4C088DD6F625ACC0E98A"/>
        <xdr:cNvPicPr>
          <a:picLocks noChangeAspect="1"/>
        </xdr:cNvPicPr>
      </xdr:nvPicPr>
      <xdr:blipFill>
        <a:blip r:embed="rId60" cstate="print"/>
        <a:stretch>
          <a:fillRect/>
        </a:stretch>
      </xdr:blipFill>
      <xdr:spPr>
        <a:xfrm>
          <a:off x="191770" y="7397750"/>
          <a:ext cx="236855" cy="225425"/>
        </a:xfrm>
        <a:prstGeom prst="rect">
          <a:avLst/>
        </a:prstGeom>
      </xdr:spPr>
    </xdr:pic>
  </etc:cellImage>
  <etc:cellImage>
    <xdr:pic>
      <xdr:nvPicPr>
        <xdr:cNvPr id="26" name="ID_5A061B6FDD4D4942AC71A6854622A7AB"/>
        <xdr:cNvPicPr>
          <a:picLocks noChangeAspect="1"/>
        </xdr:cNvPicPr>
      </xdr:nvPicPr>
      <xdr:blipFill>
        <a:blip r:embed="rId61" cstate="print"/>
        <a:stretch>
          <a:fillRect/>
        </a:stretch>
      </xdr:blipFill>
      <xdr:spPr>
        <a:xfrm>
          <a:off x="191770" y="7702550"/>
          <a:ext cx="236855" cy="225425"/>
        </a:xfrm>
        <a:prstGeom prst="rect">
          <a:avLst/>
        </a:prstGeom>
      </xdr:spPr>
    </xdr:pic>
  </etc:cellImage>
  <etc:cellImage>
    <xdr:pic>
      <xdr:nvPicPr>
        <xdr:cNvPr id="27" name="ID_CB9F989EF85445678C559752918A5AC6"/>
        <xdr:cNvPicPr>
          <a:picLocks noChangeAspect="1"/>
        </xdr:cNvPicPr>
      </xdr:nvPicPr>
      <xdr:blipFill>
        <a:blip r:embed="rId62" cstate="print"/>
        <a:stretch>
          <a:fillRect/>
        </a:stretch>
      </xdr:blipFill>
      <xdr:spPr>
        <a:xfrm>
          <a:off x="191770" y="8007350"/>
          <a:ext cx="236855" cy="225425"/>
        </a:xfrm>
        <a:prstGeom prst="rect">
          <a:avLst/>
        </a:prstGeom>
      </xdr:spPr>
    </xdr:pic>
  </etc:cellImage>
  <etc:cellImage>
    <xdr:pic>
      <xdr:nvPicPr>
        <xdr:cNvPr id="28" name="ID_7EC2C197C5EC49249E783C8A34E638FC"/>
        <xdr:cNvPicPr>
          <a:picLocks noChangeAspect="1"/>
        </xdr:cNvPicPr>
      </xdr:nvPicPr>
      <xdr:blipFill>
        <a:blip r:embed="rId63" cstate="print"/>
        <a:stretch>
          <a:fillRect/>
        </a:stretch>
      </xdr:blipFill>
      <xdr:spPr>
        <a:xfrm>
          <a:off x="191770" y="8312150"/>
          <a:ext cx="236855" cy="225425"/>
        </a:xfrm>
        <a:prstGeom prst="rect">
          <a:avLst/>
        </a:prstGeom>
      </xdr:spPr>
    </xdr:pic>
  </etc:cellImage>
  <etc:cellImage>
    <xdr:pic>
      <xdr:nvPicPr>
        <xdr:cNvPr id="29" name="ID_890333BB11E14300B580126BD2BBD144"/>
        <xdr:cNvPicPr>
          <a:picLocks noChangeAspect="1"/>
        </xdr:cNvPicPr>
      </xdr:nvPicPr>
      <xdr:blipFill>
        <a:blip r:embed="rId64" cstate="print"/>
        <a:stretch>
          <a:fillRect/>
        </a:stretch>
      </xdr:blipFill>
      <xdr:spPr>
        <a:xfrm>
          <a:off x="191770" y="8616950"/>
          <a:ext cx="236855" cy="225425"/>
        </a:xfrm>
        <a:prstGeom prst="rect">
          <a:avLst/>
        </a:prstGeom>
      </xdr:spPr>
    </xdr:pic>
  </etc:cellImage>
  <etc:cellImage>
    <xdr:pic>
      <xdr:nvPicPr>
        <xdr:cNvPr id="30" name="ID_EC59C0302E23487F89431152EA5BEFB5"/>
        <xdr:cNvPicPr>
          <a:picLocks noChangeAspect="1"/>
        </xdr:cNvPicPr>
      </xdr:nvPicPr>
      <xdr:blipFill>
        <a:blip r:embed="rId65" cstate="print"/>
        <a:stretch>
          <a:fillRect/>
        </a:stretch>
      </xdr:blipFill>
      <xdr:spPr>
        <a:xfrm>
          <a:off x="191770" y="8921750"/>
          <a:ext cx="236855" cy="225425"/>
        </a:xfrm>
        <a:prstGeom prst="rect">
          <a:avLst/>
        </a:prstGeom>
      </xdr:spPr>
    </xdr:pic>
  </etc:cellImage>
  <etc:cellImage>
    <xdr:pic>
      <xdr:nvPicPr>
        <xdr:cNvPr id="31" name="ID_0BA92FECD34342E5A03EAD0AC9BEAE54"/>
        <xdr:cNvPicPr>
          <a:picLocks noChangeAspect="1"/>
        </xdr:cNvPicPr>
      </xdr:nvPicPr>
      <xdr:blipFill>
        <a:blip r:embed="rId66" cstate="print"/>
        <a:stretch>
          <a:fillRect/>
        </a:stretch>
      </xdr:blipFill>
      <xdr:spPr>
        <a:xfrm>
          <a:off x="191770" y="9226550"/>
          <a:ext cx="236855" cy="225425"/>
        </a:xfrm>
        <a:prstGeom prst="rect">
          <a:avLst/>
        </a:prstGeom>
      </xdr:spPr>
    </xdr:pic>
  </etc:cellImage>
  <etc:cellImage>
    <xdr:pic>
      <xdr:nvPicPr>
        <xdr:cNvPr id="32" name="ID_428E73B498A74A98909CF2268383167C"/>
        <xdr:cNvPicPr>
          <a:picLocks noChangeAspect="1"/>
        </xdr:cNvPicPr>
      </xdr:nvPicPr>
      <xdr:blipFill>
        <a:blip r:embed="rId67" cstate="print"/>
        <a:stretch>
          <a:fillRect/>
        </a:stretch>
      </xdr:blipFill>
      <xdr:spPr>
        <a:xfrm>
          <a:off x="191770" y="10140950"/>
          <a:ext cx="236855" cy="225425"/>
        </a:xfrm>
        <a:prstGeom prst="rect">
          <a:avLst/>
        </a:prstGeom>
      </xdr:spPr>
    </xdr:pic>
  </etc:cellImage>
  <etc:cellImage>
    <xdr:pic>
      <xdr:nvPicPr>
        <xdr:cNvPr id="33" name="ID_3AD28558B23140E49166314D3688F998"/>
        <xdr:cNvPicPr>
          <a:picLocks noChangeAspect="1"/>
        </xdr:cNvPicPr>
      </xdr:nvPicPr>
      <xdr:blipFill>
        <a:blip r:embed="rId68" cstate="print"/>
        <a:stretch>
          <a:fillRect/>
        </a:stretch>
      </xdr:blipFill>
      <xdr:spPr>
        <a:xfrm>
          <a:off x="191770" y="11055350"/>
          <a:ext cx="236855" cy="225425"/>
        </a:xfrm>
        <a:prstGeom prst="rect">
          <a:avLst/>
        </a:prstGeom>
      </xdr:spPr>
    </xdr:pic>
  </etc:cellImage>
  <etc:cellImage>
    <xdr:pic>
      <xdr:nvPicPr>
        <xdr:cNvPr id="34" name="ID_1AD8EDE60DCF468F962371AF2CDBE4B4"/>
        <xdr:cNvPicPr>
          <a:picLocks noChangeAspect="1"/>
        </xdr:cNvPicPr>
      </xdr:nvPicPr>
      <xdr:blipFill>
        <a:blip r:embed="rId69" cstate="print"/>
        <a:stretch>
          <a:fillRect/>
        </a:stretch>
      </xdr:blipFill>
      <xdr:spPr>
        <a:xfrm>
          <a:off x="191770" y="9836150"/>
          <a:ext cx="236855" cy="225425"/>
        </a:xfrm>
        <a:prstGeom prst="rect">
          <a:avLst/>
        </a:prstGeom>
      </xdr:spPr>
    </xdr:pic>
  </etc:cellImage>
  <etc:cellImage>
    <xdr:pic>
      <xdr:nvPicPr>
        <xdr:cNvPr id="35" name="ID_4C11B6393EE7432CB3FC0441DD112ABB"/>
        <xdr:cNvPicPr>
          <a:picLocks noChangeAspect="1"/>
        </xdr:cNvPicPr>
      </xdr:nvPicPr>
      <xdr:blipFill>
        <a:blip r:embed="rId70" cstate="print"/>
        <a:stretch>
          <a:fillRect/>
        </a:stretch>
      </xdr:blipFill>
      <xdr:spPr>
        <a:xfrm>
          <a:off x="191770" y="10445750"/>
          <a:ext cx="236855" cy="225425"/>
        </a:xfrm>
        <a:prstGeom prst="rect">
          <a:avLst/>
        </a:prstGeom>
      </xdr:spPr>
    </xdr:pic>
  </etc:cellImage>
  <etc:cellImage>
    <xdr:pic>
      <xdr:nvPicPr>
        <xdr:cNvPr id="36" name="ID_404631B2983E4CBDB3BEBBCCA509BD72"/>
        <xdr:cNvPicPr>
          <a:picLocks noChangeAspect="1"/>
        </xdr:cNvPicPr>
      </xdr:nvPicPr>
      <xdr:blipFill>
        <a:blip r:embed="rId71" cstate="print"/>
        <a:stretch>
          <a:fillRect/>
        </a:stretch>
      </xdr:blipFill>
      <xdr:spPr>
        <a:xfrm>
          <a:off x="191770" y="10750550"/>
          <a:ext cx="236855" cy="225425"/>
        </a:xfrm>
        <a:prstGeom prst="rect">
          <a:avLst/>
        </a:prstGeom>
      </xdr:spPr>
    </xdr:pic>
  </etc:cellImage>
  <etc:cellImage>
    <xdr:pic>
      <xdr:nvPicPr>
        <xdr:cNvPr id="37" name="ID_876EAD6ACE704A5586B97355AC03F396"/>
        <xdr:cNvPicPr>
          <a:picLocks noChangeAspect="1"/>
        </xdr:cNvPicPr>
      </xdr:nvPicPr>
      <xdr:blipFill>
        <a:blip r:embed="rId72" cstate="print"/>
        <a:stretch>
          <a:fillRect/>
        </a:stretch>
      </xdr:blipFill>
      <xdr:spPr>
        <a:xfrm>
          <a:off x="191770" y="11664950"/>
          <a:ext cx="236855" cy="225425"/>
        </a:xfrm>
        <a:prstGeom prst="rect">
          <a:avLst/>
        </a:prstGeom>
      </xdr:spPr>
    </xdr:pic>
  </etc:cellImage>
  <etc:cellImage>
    <xdr:pic>
      <xdr:nvPicPr>
        <xdr:cNvPr id="38" name="ID_2F1DDC3D9010410EA385476A77BCCB30"/>
        <xdr:cNvPicPr>
          <a:picLocks noChangeAspect="1"/>
        </xdr:cNvPicPr>
      </xdr:nvPicPr>
      <xdr:blipFill>
        <a:blip r:embed="rId73" cstate="print"/>
        <a:stretch>
          <a:fillRect/>
        </a:stretch>
      </xdr:blipFill>
      <xdr:spPr>
        <a:xfrm>
          <a:off x="191770" y="12274550"/>
          <a:ext cx="236855" cy="225425"/>
        </a:xfrm>
        <a:prstGeom prst="rect">
          <a:avLst/>
        </a:prstGeom>
      </xdr:spPr>
    </xdr:pic>
  </etc:cellImage>
  <etc:cellImage>
    <xdr:pic>
      <xdr:nvPicPr>
        <xdr:cNvPr id="39" name="ID_77C170E9052947FAAE2A008761A1C731"/>
        <xdr:cNvPicPr>
          <a:picLocks noChangeAspect="1"/>
        </xdr:cNvPicPr>
      </xdr:nvPicPr>
      <xdr:blipFill>
        <a:blip r:embed="rId74" cstate="print"/>
        <a:stretch>
          <a:fillRect/>
        </a:stretch>
      </xdr:blipFill>
      <xdr:spPr>
        <a:xfrm>
          <a:off x="191770" y="12884150"/>
          <a:ext cx="236855" cy="225425"/>
        </a:xfrm>
        <a:prstGeom prst="rect">
          <a:avLst/>
        </a:prstGeom>
      </xdr:spPr>
    </xdr:pic>
  </etc:cellImage>
  <etc:cellImage>
    <xdr:pic>
      <xdr:nvPicPr>
        <xdr:cNvPr id="40" name="ID_B0EAB5126F5D4DB59C36AA39B2945732"/>
        <xdr:cNvPicPr>
          <a:picLocks noChangeAspect="1"/>
        </xdr:cNvPicPr>
      </xdr:nvPicPr>
      <xdr:blipFill>
        <a:blip r:embed="rId75" cstate="print"/>
        <a:stretch>
          <a:fillRect/>
        </a:stretch>
      </xdr:blipFill>
      <xdr:spPr>
        <a:xfrm>
          <a:off x="191770" y="13188950"/>
          <a:ext cx="236855" cy="225425"/>
        </a:xfrm>
        <a:prstGeom prst="rect">
          <a:avLst/>
        </a:prstGeom>
      </xdr:spPr>
    </xdr:pic>
  </etc:cellImage>
  <etc:cellImage>
    <xdr:pic>
      <xdr:nvPicPr>
        <xdr:cNvPr id="41" name="ID_7CF25B02F4094E08B8739D46A1C7FD3C"/>
        <xdr:cNvPicPr>
          <a:picLocks noChangeAspect="1"/>
        </xdr:cNvPicPr>
      </xdr:nvPicPr>
      <xdr:blipFill>
        <a:blip r:embed="rId76" cstate="print"/>
        <a:stretch>
          <a:fillRect/>
        </a:stretch>
      </xdr:blipFill>
      <xdr:spPr>
        <a:xfrm>
          <a:off x="191770" y="9531350"/>
          <a:ext cx="236855" cy="225425"/>
        </a:xfrm>
        <a:prstGeom prst="rect">
          <a:avLst/>
        </a:prstGeom>
      </xdr:spPr>
    </xdr:pic>
  </etc:cellImage>
  <etc:cellImage>
    <xdr:pic>
      <xdr:nvPicPr>
        <xdr:cNvPr id="42" name="ID_7F6BCFB7B2FC4825B1CB52CB176095D3"/>
        <xdr:cNvPicPr>
          <a:picLocks noChangeAspect="1"/>
        </xdr:cNvPicPr>
      </xdr:nvPicPr>
      <xdr:blipFill>
        <a:blip r:embed="rId77" cstate="print"/>
        <a:stretch>
          <a:fillRect/>
        </a:stretch>
      </xdr:blipFill>
      <xdr:spPr>
        <a:xfrm>
          <a:off x="191770" y="11360150"/>
          <a:ext cx="236855" cy="225425"/>
        </a:xfrm>
        <a:prstGeom prst="rect">
          <a:avLst/>
        </a:prstGeom>
      </xdr:spPr>
    </xdr:pic>
  </etc:cellImage>
  <etc:cellImage>
    <xdr:pic>
      <xdr:nvPicPr>
        <xdr:cNvPr id="43" name="ID_2D15C6EC1CE04A91B8718B9511994602"/>
        <xdr:cNvPicPr>
          <a:picLocks noChangeAspect="1"/>
        </xdr:cNvPicPr>
      </xdr:nvPicPr>
      <xdr:blipFill>
        <a:blip r:embed="rId78" cstate="print"/>
        <a:stretch>
          <a:fillRect/>
        </a:stretch>
      </xdr:blipFill>
      <xdr:spPr>
        <a:xfrm>
          <a:off x="191770" y="13798550"/>
          <a:ext cx="236855" cy="225425"/>
        </a:xfrm>
        <a:prstGeom prst="rect">
          <a:avLst/>
        </a:prstGeom>
      </xdr:spPr>
    </xdr:pic>
  </etc:cellImage>
  <etc:cellImage>
    <xdr:pic>
      <xdr:nvPicPr>
        <xdr:cNvPr id="44" name="ID_CCA68C353A83419988F3EC40E9430636"/>
        <xdr:cNvPicPr>
          <a:picLocks noChangeAspect="1"/>
        </xdr:cNvPicPr>
      </xdr:nvPicPr>
      <xdr:blipFill>
        <a:blip r:embed="rId79" cstate="print"/>
        <a:stretch>
          <a:fillRect/>
        </a:stretch>
      </xdr:blipFill>
      <xdr:spPr>
        <a:xfrm>
          <a:off x="191770" y="11969750"/>
          <a:ext cx="236855" cy="225425"/>
        </a:xfrm>
        <a:prstGeom prst="rect">
          <a:avLst/>
        </a:prstGeom>
      </xdr:spPr>
    </xdr:pic>
  </etc:cellImage>
  <etc:cellImage>
    <xdr:pic>
      <xdr:nvPicPr>
        <xdr:cNvPr id="45" name="ID_B989790ED54341CCAE2F0B6483C63DAD"/>
        <xdr:cNvPicPr>
          <a:picLocks noChangeAspect="1"/>
        </xdr:cNvPicPr>
      </xdr:nvPicPr>
      <xdr:blipFill>
        <a:blip r:embed="rId80" cstate="print"/>
        <a:stretch>
          <a:fillRect/>
        </a:stretch>
      </xdr:blipFill>
      <xdr:spPr>
        <a:xfrm>
          <a:off x="191770" y="12579350"/>
          <a:ext cx="236855" cy="225425"/>
        </a:xfrm>
        <a:prstGeom prst="rect">
          <a:avLst/>
        </a:prstGeom>
      </xdr:spPr>
    </xdr:pic>
  </etc:cellImage>
  <etc:cellImage>
    <xdr:pic>
      <xdr:nvPicPr>
        <xdr:cNvPr id="46" name="ID_29B7CDF6C97147C1921A161B4F8838CD"/>
        <xdr:cNvPicPr>
          <a:picLocks noChangeAspect="1"/>
        </xdr:cNvPicPr>
      </xdr:nvPicPr>
      <xdr:blipFill>
        <a:blip r:embed="rId81" cstate="print"/>
        <a:stretch>
          <a:fillRect/>
        </a:stretch>
      </xdr:blipFill>
      <xdr:spPr>
        <a:xfrm>
          <a:off x="191770" y="14712950"/>
          <a:ext cx="236855" cy="225425"/>
        </a:xfrm>
        <a:prstGeom prst="rect">
          <a:avLst/>
        </a:prstGeom>
      </xdr:spPr>
    </xdr:pic>
  </etc:cellImage>
  <etc:cellImage>
    <xdr:pic>
      <xdr:nvPicPr>
        <xdr:cNvPr id="47" name="ID_12DD6E4DCFB6425BB627C87E96AA6410"/>
        <xdr:cNvPicPr>
          <a:picLocks noChangeAspect="1"/>
        </xdr:cNvPicPr>
      </xdr:nvPicPr>
      <xdr:blipFill>
        <a:blip r:embed="rId82" cstate="print"/>
        <a:stretch>
          <a:fillRect/>
        </a:stretch>
      </xdr:blipFill>
      <xdr:spPr>
        <a:xfrm>
          <a:off x="191770" y="13493750"/>
          <a:ext cx="236855" cy="225425"/>
        </a:xfrm>
        <a:prstGeom prst="rect">
          <a:avLst/>
        </a:prstGeom>
      </xdr:spPr>
    </xdr:pic>
  </etc:cellImage>
  <etc:cellImage>
    <xdr:pic>
      <xdr:nvPicPr>
        <xdr:cNvPr id="48" name="ID_A90EAF69812E4873895CD165DA1AE665"/>
        <xdr:cNvPicPr>
          <a:picLocks noChangeAspect="1"/>
        </xdr:cNvPicPr>
      </xdr:nvPicPr>
      <xdr:blipFill>
        <a:blip r:embed="rId83" cstate="print"/>
        <a:stretch>
          <a:fillRect/>
        </a:stretch>
      </xdr:blipFill>
      <xdr:spPr>
        <a:xfrm>
          <a:off x="191770" y="15322550"/>
          <a:ext cx="236855" cy="225425"/>
        </a:xfrm>
        <a:prstGeom prst="rect">
          <a:avLst/>
        </a:prstGeom>
      </xdr:spPr>
    </xdr:pic>
  </etc:cellImage>
  <etc:cellImage>
    <xdr:pic>
      <xdr:nvPicPr>
        <xdr:cNvPr id="49" name="ID_DFD8A204B83949E08970C126BF073E23"/>
        <xdr:cNvPicPr>
          <a:picLocks noChangeAspect="1"/>
        </xdr:cNvPicPr>
      </xdr:nvPicPr>
      <xdr:blipFill>
        <a:blip r:embed="rId84" cstate="print"/>
        <a:stretch>
          <a:fillRect/>
        </a:stretch>
      </xdr:blipFill>
      <xdr:spPr>
        <a:xfrm>
          <a:off x="191770" y="14103350"/>
          <a:ext cx="236855" cy="225425"/>
        </a:xfrm>
        <a:prstGeom prst="rect">
          <a:avLst/>
        </a:prstGeom>
      </xdr:spPr>
    </xdr:pic>
  </etc:cellImage>
  <etc:cellImage>
    <xdr:pic>
      <xdr:nvPicPr>
        <xdr:cNvPr id="50" name="ID_76C20201DC8A414685498FB96365A9DE"/>
        <xdr:cNvPicPr>
          <a:picLocks noChangeAspect="1"/>
        </xdr:cNvPicPr>
      </xdr:nvPicPr>
      <xdr:blipFill>
        <a:blip r:embed="rId85" cstate="print"/>
        <a:stretch>
          <a:fillRect/>
        </a:stretch>
      </xdr:blipFill>
      <xdr:spPr>
        <a:xfrm>
          <a:off x="191770" y="14408150"/>
          <a:ext cx="236855" cy="225425"/>
        </a:xfrm>
        <a:prstGeom prst="rect">
          <a:avLst/>
        </a:prstGeom>
      </xdr:spPr>
    </xdr:pic>
  </etc:cellImage>
  <etc:cellImage>
    <xdr:pic>
      <xdr:nvPicPr>
        <xdr:cNvPr id="51" name="ID_2A66E4CA6ECD48899AF92A9BFE37125E"/>
        <xdr:cNvPicPr>
          <a:picLocks noChangeAspect="1"/>
        </xdr:cNvPicPr>
      </xdr:nvPicPr>
      <xdr:blipFill>
        <a:blip r:embed="rId86" cstate="print"/>
        <a:stretch>
          <a:fillRect/>
        </a:stretch>
      </xdr:blipFill>
      <xdr:spPr>
        <a:xfrm>
          <a:off x="191770" y="16236950"/>
          <a:ext cx="236855" cy="225425"/>
        </a:xfrm>
        <a:prstGeom prst="rect">
          <a:avLst/>
        </a:prstGeom>
      </xdr:spPr>
    </xdr:pic>
  </etc:cellImage>
  <etc:cellImage>
    <xdr:pic>
      <xdr:nvPicPr>
        <xdr:cNvPr id="52" name="ID_98B3BDBA01FE4CDC8ABC8585446386D1"/>
        <xdr:cNvPicPr>
          <a:picLocks noChangeAspect="1"/>
        </xdr:cNvPicPr>
      </xdr:nvPicPr>
      <xdr:blipFill>
        <a:blip r:embed="rId87" cstate="print"/>
        <a:stretch>
          <a:fillRect/>
        </a:stretch>
      </xdr:blipFill>
      <xdr:spPr>
        <a:xfrm>
          <a:off x="191770" y="15017750"/>
          <a:ext cx="236855" cy="225425"/>
        </a:xfrm>
        <a:prstGeom prst="rect">
          <a:avLst/>
        </a:prstGeom>
      </xdr:spPr>
    </xdr:pic>
  </etc:cellImage>
  <etc:cellImage>
    <xdr:pic>
      <xdr:nvPicPr>
        <xdr:cNvPr id="53" name="ID_2B64FE28BF9E41E39D337D08DA7C2AA0"/>
        <xdr:cNvPicPr>
          <a:picLocks noChangeAspect="1"/>
        </xdr:cNvPicPr>
      </xdr:nvPicPr>
      <xdr:blipFill>
        <a:blip r:embed="rId88" cstate="print"/>
        <a:stretch>
          <a:fillRect/>
        </a:stretch>
      </xdr:blipFill>
      <xdr:spPr>
        <a:xfrm>
          <a:off x="191770" y="16846550"/>
          <a:ext cx="236855" cy="225425"/>
        </a:xfrm>
        <a:prstGeom prst="rect">
          <a:avLst/>
        </a:prstGeom>
      </xdr:spPr>
    </xdr:pic>
  </etc:cellImage>
  <etc:cellImage>
    <xdr:pic>
      <xdr:nvPicPr>
        <xdr:cNvPr id="54" name="ID_6955D18CF3D44028BA396666831D1AA0"/>
        <xdr:cNvPicPr>
          <a:picLocks noChangeAspect="1"/>
        </xdr:cNvPicPr>
      </xdr:nvPicPr>
      <xdr:blipFill>
        <a:blip r:embed="rId89" cstate="print"/>
        <a:stretch>
          <a:fillRect/>
        </a:stretch>
      </xdr:blipFill>
      <xdr:spPr>
        <a:xfrm>
          <a:off x="191770" y="15627350"/>
          <a:ext cx="236855" cy="225425"/>
        </a:xfrm>
        <a:prstGeom prst="rect">
          <a:avLst/>
        </a:prstGeom>
      </xdr:spPr>
    </xdr:pic>
  </etc:cellImage>
  <etc:cellImage>
    <xdr:pic>
      <xdr:nvPicPr>
        <xdr:cNvPr id="55" name="ID_74D9A24E5FF54C9CA5A8664ECD1FFD95"/>
        <xdr:cNvPicPr>
          <a:picLocks noChangeAspect="1"/>
        </xdr:cNvPicPr>
      </xdr:nvPicPr>
      <xdr:blipFill>
        <a:blip r:embed="rId90" cstate="print"/>
        <a:stretch>
          <a:fillRect/>
        </a:stretch>
      </xdr:blipFill>
      <xdr:spPr>
        <a:xfrm>
          <a:off x="191770" y="15932150"/>
          <a:ext cx="236855" cy="225425"/>
        </a:xfrm>
        <a:prstGeom prst="rect">
          <a:avLst/>
        </a:prstGeom>
      </xdr:spPr>
    </xdr:pic>
  </etc:cellImage>
  <etc:cellImage>
    <xdr:pic>
      <xdr:nvPicPr>
        <xdr:cNvPr id="56" name="ID_114E935E1E0640C9AA06AAEE4AE2BD9C"/>
        <xdr:cNvPicPr>
          <a:picLocks noChangeAspect="1"/>
        </xdr:cNvPicPr>
      </xdr:nvPicPr>
      <xdr:blipFill>
        <a:blip r:embed="rId91" cstate="print"/>
        <a:stretch>
          <a:fillRect/>
        </a:stretch>
      </xdr:blipFill>
      <xdr:spPr>
        <a:xfrm>
          <a:off x="191770" y="16541750"/>
          <a:ext cx="236855" cy="225425"/>
        </a:xfrm>
        <a:prstGeom prst="rect">
          <a:avLst/>
        </a:prstGeom>
      </xdr:spPr>
    </xdr:pic>
  </etc:cellImage>
  <etc:cellImage>
    <xdr:pic>
      <xdr:nvPicPr>
        <xdr:cNvPr id="57" name="ID_A361270D57BD4D3194FAABC14477E4B5"/>
        <xdr:cNvPicPr>
          <a:picLocks noChangeAspect="1"/>
        </xdr:cNvPicPr>
      </xdr:nvPicPr>
      <xdr:blipFill>
        <a:blip r:embed="rId92" cstate="print"/>
        <a:stretch>
          <a:fillRect/>
        </a:stretch>
      </xdr:blipFill>
      <xdr:spPr>
        <a:xfrm>
          <a:off x="191770" y="17151350"/>
          <a:ext cx="236855" cy="225425"/>
        </a:xfrm>
        <a:prstGeom prst="rect">
          <a:avLst/>
        </a:prstGeom>
      </xdr:spPr>
    </xdr:pic>
  </etc:cellImage>
  <etc:cellImage>
    <xdr:pic>
      <xdr:nvPicPr>
        <xdr:cNvPr id="58" name="ID_D3C94C84644C477E80B4501FE685377A"/>
        <xdr:cNvPicPr>
          <a:picLocks noChangeAspect="1"/>
        </xdr:cNvPicPr>
      </xdr:nvPicPr>
      <xdr:blipFill>
        <a:blip r:embed="rId93" cstate="print"/>
        <a:stretch>
          <a:fillRect/>
        </a:stretch>
      </xdr:blipFill>
      <xdr:spPr>
        <a:xfrm>
          <a:off x="191770" y="17456150"/>
          <a:ext cx="236855" cy="225425"/>
        </a:xfrm>
        <a:prstGeom prst="rect">
          <a:avLst/>
        </a:prstGeom>
      </xdr:spPr>
    </xdr:pic>
  </etc:cellImage>
  <etc:cellImage>
    <xdr:pic>
      <xdr:nvPicPr>
        <xdr:cNvPr id="59" name="ID_B57407B1FFB1448A9F193090A7D94183"/>
        <xdr:cNvPicPr>
          <a:picLocks noChangeAspect="1"/>
        </xdr:cNvPicPr>
      </xdr:nvPicPr>
      <xdr:blipFill>
        <a:blip r:embed="rId94" cstate="print"/>
        <a:stretch>
          <a:fillRect/>
        </a:stretch>
      </xdr:blipFill>
      <xdr:spPr>
        <a:xfrm>
          <a:off x="191770" y="18065750"/>
          <a:ext cx="236855" cy="225425"/>
        </a:xfrm>
        <a:prstGeom prst="rect">
          <a:avLst/>
        </a:prstGeom>
      </xdr:spPr>
    </xdr:pic>
  </etc:cellImage>
  <etc:cellImage>
    <xdr:pic>
      <xdr:nvPicPr>
        <xdr:cNvPr id="60" name="ID_4A1615F9F6544F7D80011C665A2EB4E2"/>
        <xdr:cNvPicPr>
          <a:picLocks noChangeAspect="1"/>
        </xdr:cNvPicPr>
      </xdr:nvPicPr>
      <xdr:blipFill>
        <a:blip r:embed="rId95" cstate="print"/>
        <a:stretch>
          <a:fillRect/>
        </a:stretch>
      </xdr:blipFill>
      <xdr:spPr>
        <a:xfrm>
          <a:off x="191770" y="18980150"/>
          <a:ext cx="236855" cy="225425"/>
        </a:xfrm>
        <a:prstGeom prst="rect">
          <a:avLst/>
        </a:prstGeom>
      </xdr:spPr>
    </xdr:pic>
  </etc:cellImage>
  <etc:cellImage>
    <xdr:pic>
      <xdr:nvPicPr>
        <xdr:cNvPr id="61" name="ID_ADF03360FCB54C9B8CFB360EEFDD0F7C"/>
        <xdr:cNvPicPr>
          <a:picLocks noChangeAspect="1"/>
        </xdr:cNvPicPr>
      </xdr:nvPicPr>
      <xdr:blipFill>
        <a:blip r:embed="rId96" cstate="print"/>
        <a:stretch>
          <a:fillRect/>
        </a:stretch>
      </xdr:blipFill>
      <xdr:spPr>
        <a:xfrm>
          <a:off x="191770" y="18370550"/>
          <a:ext cx="236855" cy="225425"/>
        </a:xfrm>
        <a:prstGeom prst="rect">
          <a:avLst/>
        </a:prstGeom>
      </xdr:spPr>
    </xdr:pic>
  </etc:cellImage>
  <etc:cellImage>
    <xdr:pic>
      <xdr:nvPicPr>
        <xdr:cNvPr id="62" name="ID_C56A77D29ADA4B7FB56B55DD9AE196A3"/>
        <xdr:cNvPicPr>
          <a:picLocks noChangeAspect="1"/>
        </xdr:cNvPicPr>
      </xdr:nvPicPr>
      <xdr:blipFill>
        <a:blip r:embed="rId97" cstate="print"/>
        <a:stretch>
          <a:fillRect/>
        </a:stretch>
      </xdr:blipFill>
      <xdr:spPr>
        <a:xfrm>
          <a:off x="191770" y="18675350"/>
          <a:ext cx="236855" cy="225425"/>
        </a:xfrm>
        <a:prstGeom prst="rect">
          <a:avLst/>
        </a:prstGeom>
      </xdr:spPr>
    </xdr:pic>
  </etc:cellImage>
  <etc:cellImage>
    <xdr:pic>
      <xdr:nvPicPr>
        <xdr:cNvPr id="63" name="ID_BD607D28220D4CF8924E7241B1379882"/>
        <xdr:cNvPicPr>
          <a:picLocks noChangeAspect="1"/>
        </xdr:cNvPicPr>
      </xdr:nvPicPr>
      <xdr:blipFill>
        <a:blip r:embed="rId98" cstate="print"/>
        <a:stretch>
          <a:fillRect/>
        </a:stretch>
      </xdr:blipFill>
      <xdr:spPr>
        <a:xfrm>
          <a:off x="191770" y="17760950"/>
          <a:ext cx="236855" cy="225425"/>
        </a:xfrm>
        <a:prstGeom prst="rect">
          <a:avLst/>
        </a:prstGeom>
      </xdr:spPr>
    </xdr:pic>
  </etc:cellImage>
  <etc:cellImage>
    <xdr:pic>
      <xdr:nvPicPr>
        <xdr:cNvPr id="64" name="ID_874A0E0AF56643D49071006D9CD2E55B"/>
        <xdr:cNvPicPr>
          <a:picLocks noChangeAspect="1"/>
        </xdr:cNvPicPr>
      </xdr:nvPicPr>
      <xdr:blipFill>
        <a:blip r:embed="rId99" cstate="print"/>
        <a:stretch>
          <a:fillRect/>
        </a:stretch>
      </xdr:blipFill>
      <xdr:spPr>
        <a:xfrm>
          <a:off x="191770" y="19589750"/>
          <a:ext cx="236855" cy="225425"/>
        </a:xfrm>
        <a:prstGeom prst="rect">
          <a:avLst/>
        </a:prstGeom>
      </xdr:spPr>
    </xdr:pic>
  </etc:cellImage>
  <etc:cellImage>
    <xdr:pic>
      <xdr:nvPicPr>
        <xdr:cNvPr id="65" name="ID_94C966EDDDD34880A8840895C5A78696"/>
        <xdr:cNvPicPr>
          <a:picLocks noChangeAspect="1"/>
        </xdr:cNvPicPr>
      </xdr:nvPicPr>
      <xdr:blipFill>
        <a:blip r:embed="rId100" cstate="print"/>
        <a:stretch>
          <a:fillRect/>
        </a:stretch>
      </xdr:blipFill>
      <xdr:spPr>
        <a:xfrm>
          <a:off x="191770" y="19284950"/>
          <a:ext cx="236855" cy="225425"/>
        </a:xfrm>
        <a:prstGeom prst="rect">
          <a:avLst/>
        </a:prstGeom>
      </xdr:spPr>
    </xdr:pic>
  </etc:cellImage>
</etc:cellImages>
</file>

<file path=xl/sharedStrings.xml><?xml version="1.0" encoding="utf-8"?>
<sst xmlns="http://schemas.openxmlformats.org/spreadsheetml/2006/main" count="3567" uniqueCount="1448">
  <si>
    <t>图片</t>
  </si>
  <si>
    <t>ASIN</t>
  </si>
  <si>
    <t>SKU</t>
  </si>
  <si>
    <t>详细参数</t>
  </si>
  <si>
    <t>品牌</t>
  </si>
  <si>
    <t>品牌链接</t>
  </si>
  <si>
    <t>商品标题</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</si>
  <si>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</si>
  <si>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</si>
  <si>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</si>
  <si>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</si>
  <si>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</si>
  <si>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</si>
  <si>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</si>
  <si>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</si>
  <si>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</si>
  <si>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</si>
  <si>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</si>
  <si>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</si>
  <si>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</si>
  <si>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</si>
  <si>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</si>
  <si>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</si>
  <si>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</si>
  <si>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</si>
  <si>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</si>
  <si>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</si>
  <si>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</si>
  <si>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
评分数</t>
  </si>
  <si>
    <t>评分</t>
  </si>
  <si>
    <t>留评率</t>
  </si>
  <si>
    <t>FBA($)</t>
  </si>
  <si>
    <t>毛利率</t>
  </si>
  <si>
    <t>评级</t>
  </si>
  <si>
    <t>上架时间</t>
  </si>
  <si>
    <t>上架天数</t>
  </si>
  <si>
    <t>配送方式</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</si>
  <si>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</si>
  <si>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</si>
  <si>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</si>
  <si>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</si>
  <si>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</si>
  <si>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</si>
  <si>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</si>
  <si>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</si>
  <si>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</si>
  <si>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</si>
  <si>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</si>
  <si>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</si>
  <si>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</si>
  <si>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</si>
  <si>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</si>
  <si>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</si>
  <si>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</si>
  <si>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重量</t>
  </si>
  <si>
    <t>体积</t>
  </si>
  <si>
    <t>B088CYZNKS</t>
  </si>
  <si>
    <t>Size: Medium | Color: Orange</t>
  </si>
  <si>
    <t>Fabric type: 95% Polyester, 5% Spandex | Care instructions: Machine Wash | Origin: Imported | Closure type: Pull On | Country of Origin: China</t>
  </si>
  <si>
    <t>Aeuui</t>
  </si>
  <si>
    <t>https://www.amazon.com/stores/Aeuui/page/1B235759-1F2D-40E0-A8E1-BAD5B4EE45D5?ref_=ast_bln&amp;store_ref=bl_ast_dp_brandLogo_sto</t>
  </si>
  <si>
    <t>Aeuui Womens Workout Tops for Women Racerback Tank Tops Mesh Yoga Shirts Athletic Running Tank Tops Sleeveless Gym Clothes</t>
  </si>
  <si>
    <t>https://www.amazon.com/dp/B088CYZNKS?psc=1</t>
  </si>
  <si>
    <t>https://images-na.ssl-images-amazon.com/images/I/71-T2LHikYL._AC_US600_.jpg</t>
  </si>
  <si>
    <t>B07XJRWRN1</t>
  </si>
  <si>
    <t>Clothing, Shoes &amp; Jewelry:Women:Clothing:Active:Active Shirts &amp; Tees:Tank Tops</t>
  </si>
  <si>
    <t>Clothing, Shoes &amp; Jewelry</t>
  </si>
  <si>
    <t>Women's Activewear Tank Tops
Women's Running Clothing</t>
  </si>
  <si>
    <t>1
39</t>
  </si>
  <si>
    <t>500</t>
  </si>
  <si>
    <t>17%</t>
  </si>
  <si>
    <t>2019-09-08</t>
  </si>
  <si>
    <t>FBA</t>
  </si>
  <si>
    <t>CN</t>
  </si>
  <si>
    <t xml:space="preserve">公司名称：Guang Zhou Ao Yi Mao Yi You Xian Gong Si
办公地址：
南沙区丰泽东路106号
(自编1号楼)X1301-D7938
广州
广东
511458
CN
</t>
  </si>
  <si>
    <t>https://www.amazon.com/gp/help/seller/at-a-glance.html/ref=dp_merchant_link?seller=A1UGQQ7005BVGX</t>
  </si>
  <si>
    <t>Y</t>
  </si>
  <si>
    <t/>
  </si>
  <si>
    <t>orange athletic tank tops for women</t>
  </si>
  <si>
    <t>4.97 ounces</t>
  </si>
  <si>
    <t>140.90 g</t>
  </si>
  <si>
    <t>13.94 x 11.61 x 1.06 inches</t>
  </si>
  <si>
    <t>35.41 x 29.49 x 2.69 cm</t>
  </si>
  <si>
    <t>B0B81G5HTB</t>
  </si>
  <si>
    <t>Size: Medium | Color: Black</t>
  </si>
  <si>
    <t>Fabric type: Butterluxe Fabric: 81% Polyamide, 19% Lycra | Care instructions: Machine Wash | Origin: Imported | Country of Origin: China</t>
  </si>
  <si>
    <t>CRZ YOGA</t>
  </si>
  <si>
    <t>https://www.amazon.com/stores/CRZYOGA/page/F2232413-0F7D-4831-81A1-9FDFCFE5C54D?ref_=ast_bln&amp;store_ref=bl_ast_dp_brandLogo_sto</t>
  </si>
  <si>
    <t>CRZ YOGA Butterluxe Racerback Workout Tank Tops for Women Sleeveless Gym Tops Athletic Yoga Shirts Camisole</t>
  </si>
  <si>
    <t>https://www.amazon.com/dp/B0B81G5HTB?psc=1</t>
  </si>
  <si>
    <t>https://m.media-amazon.com/images/I/414IMr4cpOL._AC_SR600,600_.jpg</t>
  </si>
  <si>
    <t>B0D5YL22G1</t>
  </si>
  <si>
    <t>Women's Activewear Tank Tops</t>
  </si>
  <si>
    <t>2</t>
  </si>
  <si>
    <t>300</t>
  </si>
  <si>
    <t>2023-07-25</t>
  </si>
  <si>
    <t xml:space="preserve">公司名称：GUANGZHOU CITY QIANLUO TRADING CO., LTD
办公地址：
南村镇汉溪大道东386号2401房
广州市
番禺区
广东省
511442
CN
</t>
  </si>
  <si>
    <t>https://www.amazon.com/gp/help/seller/at-a-glance.html/ref=dp_merchant_link?seller=A1CX3Y6OPGB2MO</t>
  </si>
  <si>
    <t>2.89 ounces</t>
  </si>
  <si>
    <t>81.93 g</t>
  </si>
  <si>
    <t>10.24 x 7.09 x 0.39 inches</t>
  </si>
  <si>
    <t>26.01 x 18.01 x 0.99 cm</t>
  </si>
  <si>
    <t>B0B31GZJP1</t>
  </si>
  <si>
    <t>Fabric type: Breezease Fabric: 91% Polyester, 9% Elastane | Care instructions: Machine Wash | Origin: Imported | Closure type: Pull On | Country of Origin: China</t>
  </si>
  <si>
    <t>CRZ YOGA Lightweight Tank Top for Women Racerback Sleeveless Workout Tops High Neck Athletic Running Shirts</t>
  </si>
  <si>
    <t>https://www.amazon.com/dp/B0B31GZJP1?psc=1</t>
  </si>
  <si>
    <t>https://m.media-amazon.com/images/I/41eTUV42fsL._AC_SR600,600_.jpg</t>
  </si>
  <si>
    <t>B0B31SJ747</t>
  </si>
  <si>
    <t>Women's Activewear Tank Tops
Running Clothing</t>
  </si>
  <si>
    <t>3
280</t>
  </si>
  <si>
    <t>2022-06-01</t>
  </si>
  <si>
    <t>3 ounces</t>
  </si>
  <si>
    <t>85.05 g</t>
  </si>
  <si>
    <t>10.24 x 8.66 x 0.39 inches</t>
  </si>
  <si>
    <t>26.01 x 22.00 x 0.99 cm</t>
  </si>
  <si>
    <t>B0869G1869</t>
  </si>
  <si>
    <t>Fabric type: 92% Cotton, 8% Spandex | Care instructions: Machine Wash | Origin: Imported | Closure type: Pull On | Country of Origin: China</t>
  </si>
  <si>
    <t>CRZ YOGA Pima Cotton Cropped Tank Tops for Women - Sleeveless Sports Shirts Athletic Yoga Running Gym Workout Crop Tops</t>
  </si>
  <si>
    <t>https://www.amazon.com/dp/B0869G1869?psc=1</t>
  </si>
  <si>
    <t>https://images-na.ssl-images-amazon.com/images/I/71phVEHphvL._AC_US600_.jpg</t>
  </si>
  <si>
    <t>B0D7NZF6TH</t>
  </si>
  <si>
    <t>4
293</t>
  </si>
  <si>
    <t>600</t>
  </si>
  <si>
    <t>2020-04-23</t>
  </si>
  <si>
    <t>0.15 pounds</t>
  </si>
  <si>
    <t>68.04 g</t>
  </si>
  <si>
    <t>10.2 x 9.4 x 0.4 inches</t>
  </si>
  <si>
    <t>25.91 x 23.88 x 1.02 cm</t>
  </si>
  <si>
    <t>B0B1ZLP332</t>
  </si>
  <si>
    <t>Size: Medium | Color: Black Coffee Beige</t>
  </si>
  <si>
    <t>Fabric type: 70% Nylon, 25% Polyester, 5% Spandex | Care instructions: Machine Wash | Origin: 进口 | Closure type: Pull On | Country of Origin: China</t>
  </si>
  <si>
    <t>OQQ</t>
  </si>
  <si>
    <t>https://www.amazon.com/stores/OQQ/page/F480BC96-6404-4EE6-B706-2D8C860FF032?ref_=ast_bln&amp;store_ref=bl_ast_dp_brandLogo_sto</t>
  </si>
  <si>
    <t>OQQ Women's 3 Piece Tank Tops Ribbed Seamless Workout Exercise Shirts Yoga Crop Tops</t>
  </si>
  <si>
    <t>https://www.amazon.com/dp/B0B1ZLP332?psc=1</t>
  </si>
  <si>
    <t>https://images-na.ssl-images-amazon.com/images/I/51d6OtIphjL._AC_US600_.jpg</t>
  </si>
  <si>
    <t>B0B1ZKKP6K</t>
  </si>
  <si>
    <t>Women's Activewear Tank Tops
Women's Tanks &amp; Camis</t>
  </si>
  <si>
    <t>6
38</t>
  </si>
  <si>
    <t>400</t>
  </si>
  <si>
    <t>2022-05-22</t>
  </si>
  <si>
    <t xml:space="preserve">公司名称：AnHuiAnHongFuShiYouXianGongSi
办公地址：
新站区淮海大道1188号
京商商贸城J区7街0G栋401-16
合肥市
安徽
230012
CN
</t>
  </si>
  <si>
    <t>https://www.amazon.com/gp/help/seller/at-a-glance.html/ref=dp_merchant_link?seller=A3V4TQXRZY9U20</t>
  </si>
  <si>
    <t>5.93 ounces</t>
  </si>
  <si>
    <t>168.11 g</t>
  </si>
  <si>
    <t>14.13 x 7.13 x 1.65 inches</t>
  </si>
  <si>
    <t>35.89 x 18.11 x 4.19 cm</t>
  </si>
  <si>
    <t>B0BZZ3PR4T</t>
  </si>
  <si>
    <t>Fabric type: 90% Nylon, 10% Elastane | Closure type: Pull On | Neck style: Crew Neck | Sleeve type: Sleeveless</t>
  </si>
  <si>
    <t>MathCat</t>
  </si>
  <si>
    <t>https://www.amazon.com/stores/Mathcat/page/1F132CBA-9164-4DF4-8867-E24A0E0291C8?ref_=ast_bln&amp;store_ref=bl_ast_dp_brandLogo_sto</t>
  </si>
  <si>
    <t>MathCat Workout Tank Tops for Women with Built in Bra, Sleeveless Gym Tops Seamless Racerback Athletic Yoga Shirts</t>
  </si>
  <si>
    <t>https://www.amazon.com/dp/B0BZZ3PR4T?psc=1</t>
  </si>
  <si>
    <t>https://m.media-amazon.com/images/I/31vNgcbWbqL._AC_SR600,600_.jpg</t>
  </si>
  <si>
    <t>B0CJ47F2TN</t>
  </si>
  <si>
    <t>5</t>
  </si>
  <si>
    <t>200</t>
  </si>
  <si>
    <t>2023-03-29</t>
  </si>
  <si>
    <t>EdayUS</t>
  </si>
  <si>
    <t xml:space="preserve">公司名称：shenzhenshiyiriyifushiyeyouxiangongsi
办公地址：
新安街道海旺社区N23卓越时代广场A座海天路15-1号1407之1407A
深圳
宝安
广东
518000
CN
</t>
  </si>
  <si>
    <t>https://www.amazon.com/gp/help/seller/at-a-glance.html/ref=dp_merchant_link?seller=A3RSU166TSH1QC</t>
  </si>
  <si>
    <t>7.37 ounces</t>
  </si>
  <si>
    <t>208.94 g</t>
  </si>
  <si>
    <t>11.1 x 8.94 x 0.87 inches</t>
  </si>
  <si>
    <t>28.19 x 22.71 x 2.21 cm</t>
  </si>
  <si>
    <t>B08XKH393K</t>
  </si>
  <si>
    <t>Size: Small | Color: Black White Grey</t>
  </si>
  <si>
    <t>Fabric type: Cotton,Spandex | Care instructions: Machine Wash | Origin: Imported | Closure type: Pull On | Country of Origin: China</t>
  </si>
  <si>
    <t>Porvike</t>
  </si>
  <si>
    <t>https://www.amazon.com/stores/Porvike/page/5F3D1C29-2CDD-4B28-B3F6-7376B4CF7575?ref_=ast_bln&amp;store_ref=bl_ast_dp_brandLogo_sto</t>
  </si>
  <si>
    <t>Sports Crop Tank Tops for Women Cropped Workout Tops Racerback Running Yoga Tanks Cotton Sleeveless Gym Shirts 3 Pack</t>
  </si>
  <si>
    <t>https://www.amazon.com/dp/B08XKH393K?psc=1</t>
  </si>
  <si>
    <t>https://m.media-amazon.com/images/I/4111EASTogL._AC_SR600,600_.jpg</t>
  </si>
  <si>
    <t>B08ZKPZXR8</t>
  </si>
  <si>
    <t>7
575</t>
  </si>
  <si>
    <t>100</t>
  </si>
  <si>
    <t>2021-02-28</t>
  </si>
  <si>
    <t>Athomely</t>
  </si>
  <si>
    <t xml:space="preserve">公司名称：jin hua hao yuan dian zi shang wu you xian gong si
办公地址：
傅村镇六石村31幢2单元101
金华市
金东区
浙江省
321037
CN
</t>
  </si>
  <si>
    <t>https://www.amazon.com/gp/help/seller/at-a-glance.html/ref=dp_merchant_link?seller=A2LABRQ3X717X2</t>
  </si>
  <si>
    <t>7.62 ounces</t>
  </si>
  <si>
    <t>216.02 g</t>
  </si>
  <si>
    <t>13.5 x 9.29 x 0.87 inches</t>
  </si>
  <si>
    <t>34.29 x 23.60 x 2.21 cm</t>
  </si>
  <si>
    <t>B07F9R17N9</t>
  </si>
  <si>
    <t>Size: Large | Color: Black</t>
  </si>
  <si>
    <t>Fihapyli</t>
  </si>
  <si>
    <t>https://www.amazon.com/stores/ICTIVE/page/631E69AD-BAAF-489B-B8B8-E0BDFA538784?ref_=ast_bln&amp;store_ref=bl_ast_dp_brandLogo_sto</t>
  </si>
  <si>
    <t>ICTIVE Womens Cross Backless Workout Tops for Women Racerback Tank Tops Open Back Running Tank Tops Muscle Tank Yoga Shirts</t>
  </si>
  <si>
    <t>https://www.amazon.com/dp/B07F9R17N9?psc=1</t>
  </si>
  <si>
    <t>https://m.media-amazon.com/images/I/3129DriAD4L._AC_SR600,600_.jpg</t>
  </si>
  <si>
    <t>B07F9LDRL3</t>
  </si>
  <si>
    <t>10
248</t>
  </si>
  <si>
    <t>2018-07-05</t>
  </si>
  <si>
    <t>ICTIVE</t>
  </si>
  <si>
    <t xml:space="preserve">公司名称：Dongguanshi Haolile Fushi Youxiangongsi
办公地址：
博涌王屋教育路3号801室
东莞
虎门镇
广东
523900
CN
</t>
  </si>
  <si>
    <t>https://www.amazon.com/gp/help/seller/at-a-glance.html/ref=dp_merchant_link?seller=A1G74W3VJGHK92</t>
  </si>
  <si>
    <t>1.6 ounces</t>
  </si>
  <si>
    <t>45.36 g</t>
  </si>
  <si>
    <t>0.1 x 0.1 x 0.1 inches</t>
  </si>
  <si>
    <t>0.25 x 0.25 x 0.25 cm</t>
  </si>
  <si>
    <t>B09X9Y5S8G</t>
  </si>
  <si>
    <t>Fabric type: Butterluxe Fabric: 81% Polyamide, 19% Lycra | Care instructions: Machine Wash | Origin: Imported | Closure type: Pull On | Country of Origin: China</t>
  </si>
  <si>
    <t>CRZ YOGA Butterluxe Workout Tank Tops for Women Built in Shelf Bras Padded - Racerback Athletic Spandex Yoga Camisole</t>
  </si>
  <si>
    <t>https://www.amazon.com/dp/B09X9Y5S8G?psc=1</t>
  </si>
  <si>
    <t>https://images-na.ssl-images-amazon.com/images/I/71WU3fTVhnL._AC_US600_.jpg</t>
  </si>
  <si>
    <t>B0D66RCZ4H</t>
  </si>
  <si>
    <t>8</t>
  </si>
  <si>
    <t>2022-04-18</t>
  </si>
  <si>
    <t>workout tank top women built in bra</t>
  </si>
  <si>
    <t>0.36 pounds</t>
  </si>
  <si>
    <t>163.29 g</t>
  </si>
  <si>
    <t>17.7 x 11.4 x 0.4 inches</t>
  </si>
  <si>
    <t>44.96 x 28.96 x 1.02 cm</t>
  </si>
  <si>
    <t>B087C5NWVG</t>
  </si>
  <si>
    <t>ICTIVE Workout Tops for Women Loose fit Racerback Tank Tops for Women Mesh Backless Muscle Tank Running Tank Tops</t>
  </si>
  <si>
    <t>https://www.amazon.com/dp/B087C5NWVG?psc=1</t>
  </si>
  <si>
    <t>https://images-na.ssl-images-amazon.com/images/I/61nJW0ZoeIL._AC_US600_.jpg</t>
  </si>
  <si>
    <t>B087C5SZV7</t>
  </si>
  <si>
    <t>9
265</t>
  </si>
  <si>
    <t>2020-04-19</t>
  </si>
  <si>
    <t>B0CKYHP6Y4</t>
  </si>
  <si>
    <t>Fabric type: Butterluxe Front Double Lined: 81% Polyamide, 19% Lycra | Care instructions: Machine Wash | Origin: Imported | Closure type: Pull On | Country of Origin: China</t>
  </si>
  <si>
    <t>CRZ YOGA Womens Butterluxe Double Lined Tank Tops Scoop Neck Racerback Workout Tanks Sleeveless Casual Cropped Top</t>
  </si>
  <si>
    <t>https://www.amazon.com/dp/B0CKYHP6Y4?psc=1</t>
  </si>
  <si>
    <t>https://images-na.ssl-images-amazon.com/images/I/71x22p-uzaL._AC_US600_.jpg</t>
  </si>
  <si>
    <t>B0CKYKHJ2V</t>
  </si>
  <si>
    <t>11</t>
  </si>
  <si>
    <t>2023-10-12</t>
  </si>
  <si>
    <t>0.22 pounds</t>
  </si>
  <si>
    <t>99.79 g</t>
  </si>
  <si>
    <t>9.37 x 6.5 x 1.46 inches</t>
  </si>
  <si>
    <t>23.80 x 16.51 x 3.71 cm</t>
  </si>
  <si>
    <t>B08QVF8D69</t>
  </si>
  <si>
    <t>Fabric type: 89% Nylon, 11% Spandex | Care instructions: Machine Wash | Origin: Imported | Country of Origin: China</t>
  </si>
  <si>
    <t>ATTRACO</t>
  </si>
  <si>
    <t>https://www.amazon.com/stores/ATTRACO/page/5100F4CC-BD4B-4C9B-B3B6-ADF858C56105?ref_=ast_bln&amp;store_ref=bl_ast_dp_brandLogo_sto</t>
  </si>
  <si>
    <t>ATTRACO Ribbed Workout Tank Tops for Women with Built in Bra Tight Racerback Scoop Neck Athletic Top</t>
  </si>
  <si>
    <t>https://www.amazon.com/dp/B08QVF8D69?psc=1</t>
  </si>
  <si>
    <t>https://images-na.ssl-images-amazon.com/images/I/71ZV-v31jiL._AC_US600_.jpg</t>
  </si>
  <si>
    <t>B08QV8Q2YB</t>
  </si>
  <si>
    <t>12
473</t>
  </si>
  <si>
    <t>2021-01-02</t>
  </si>
  <si>
    <t xml:space="preserve">公司名称：Dongguan Grand Everest Tec.h. Co., Ltd.
电话号码：585-633-5126
办公地址：
南城街道新基香园路35号万科769文化创意园6幢5层502、503、504
东莞市
广东
523000
CN
</t>
  </si>
  <si>
    <t>https://www.amazon.com/gp/help/seller/at-a-glance.html/ref=dp_merchant_link?seller=APE2BZYQAOKSP</t>
  </si>
  <si>
    <t>women's tank built in bra</t>
  </si>
  <si>
    <t>2.82 ounces</t>
  </si>
  <si>
    <t>79.95 g</t>
  </si>
  <si>
    <t>5.91 x 3.94 x 0.59 inches</t>
  </si>
  <si>
    <t>15.01 x 10.01 x 1.50 cm</t>
  </si>
  <si>
    <t>B0C4F2R74C</t>
  </si>
  <si>
    <t>Size: Medium | Special Size: Slim Fit | Color: Slim Fit-black/Grey/White/Red/Purple</t>
  </si>
  <si>
    <t>Fabric type: 85% Polyester, 15% Spandex | Care instructions: Machine Wash | Origin: Imported | Closure type: Pull On | Country of Origin: China</t>
  </si>
  <si>
    <t>TELALEO</t>
  </si>
  <si>
    <t>https://www.amazon.com/stores/TELALEO/page/A4083910-6B73-40F5-885D-C30549B7DB42?ref_=ast_bln&amp;store_ref=bl_ast_dp_brandLogo_sto</t>
  </si>
  <si>
    <t>6, 5 or 3 Pack Workout Tank Tops for Women, Athletic Racerback Sports Tank Tops, Compression Sleeveless Dry Fit Shirts</t>
  </si>
  <si>
    <t>https://www.amazon.com/dp/B0C4F2R74C?psc=1</t>
  </si>
  <si>
    <t>https://images-na.ssl-images-amazon.com/images/I/71a9k3IewSL._AC_US600_.jpg</t>
  </si>
  <si>
    <t>B0C4DZJ8BQ</t>
  </si>
  <si>
    <t>13</t>
  </si>
  <si>
    <t>2023-05-04</t>
  </si>
  <si>
    <t>EraGlory</t>
  </si>
  <si>
    <t xml:space="preserve">公司名称：Shenzhen Shidai Huazhang Technology Co., Ltd.
办公地址：
龙岗区吉华街道水径社区细靓南一巷4号301
深圳市
广东
518000
CN
</t>
  </si>
  <si>
    <t>https://www.amazon.com/gp/help/seller/at-a-glance.html/ref=dp_merchant_link?seller=A3PT8IWX9PIEVU</t>
  </si>
  <si>
    <t>1.12 Pounds</t>
  </si>
  <si>
    <t>508.02 g</t>
  </si>
  <si>
    <t>11.02 x 8.27 x 1.97 inches</t>
  </si>
  <si>
    <t>27.99 x 21.01 x 5.00 cm</t>
  </si>
  <si>
    <t>B01GJ1P3CS</t>
  </si>
  <si>
    <t>Size: Medium | Color: 04# 3 Pack Black,grey,white</t>
  </si>
  <si>
    <t>Fabric type: 85% Polyester, 15% Spandex | Care instructions: Machine Wash | Origin: Imported | Closure type: Pull On</t>
  </si>
  <si>
    <t>NELEUS</t>
  </si>
  <si>
    <t>https://www.amazon.com/stores/NELEUS/page/A0E160C9-23A6-49A7-9ED4-CC0C095BF717?ref_=ast_bln&amp;store_ref=bl_ast_dp_brandLogo_sto</t>
  </si>
  <si>
    <t>NELEUS Women's 3 Pack Compression Base Layer Dry Fit Tank Top</t>
  </si>
  <si>
    <t>https://www.amazon.com/dp/B01GJ1P3CS?psc=1</t>
  </si>
  <si>
    <t>https://m.media-amazon.com/images/I/41q3yZbC5aL._AC_SR600,600_.jpg</t>
  </si>
  <si>
    <t>B09M6X79V9</t>
  </si>
  <si>
    <t>16</t>
  </si>
  <si>
    <t>2015-11-16</t>
  </si>
  <si>
    <t>Neleus</t>
  </si>
  <si>
    <t xml:space="preserve">公司名称：Shenzhen Nierousi Technology Co.,Ltd.
电话号码：+8613387999454
办公地址：
福田街道福安社区民田路178号
华融大厦1712I 11
深圳市
福田区
广东
518000
CN
</t>
  </si>
  <si>
    <t>https://www.amazon.com/gp/help/seller/at-a-glance.html/ref=dp_merchant_link?seller=A1R0LSIN4H9TM7</t>
  </si>
  <si>
    <t>compression tank for women</t>
  </si>
  <si>
    <t>9.14 ounces</t>
  </si>
  <si>
    <t>259.11 g</t>
  </si>
  <si>
    <t>9.25 x 7.83 x 1.73 inches</t>
  </si>
  <si>
    <t>23.50 x 19.89 x 4.39 cm</t>
  </si>
  <si>
    <t>B088DX9R7M</t>
  </si>
  <si>
    <t>Fabric type: 88% Polyamide, 12% Spandex | Care instructions: Hand Wash Only | Origin: Imported | Closure type: Elastic | Country of Origin: China</t>
  </si>
  <si>
    <t>THE GYM PEOPLE</t>
  </si>
  <si>
    <t>https://www.amazon.com/stores/TheGymPeople/page/A339D2ED-083D-46D9-B99E-841F768AA99E?ref_=ast_bln&amp;store_ref=bl_ast_dp_brandLogo_sto</t>
  </si>
  <si>
    <t>THE GYM PEOPLE Women's Workout Tops in Ice Silk Quick Dry Sleeveless</t>
  </si>
  <si>
    <t>https://www.amazon.com/dp/B088DX9R7M?psc=1</t>
  </si>
  <si>
    <t>https://images-na.ssl-images-amazon.com/images/I/612xd-m7tfS._AC_US600_.jpg</t>
  </si>
  <si>
    <t>B088DW19G2</t>
  </si>
  <si>
    <t>15</t>
  </si>
  <si>
    <t>2020-05-09</t>
  </si>
  <si>
    <t xml:space="preserve">公司名称：Jinjiangbaoweimaoyiyouxiangongsi
办公地址：
梅岭街道世茂满堂红A5一单元2101
泉州市
晋江市
福建省
362200
CN
</t>
  </si>
  <si>
    <t>https://www.amazon.com/gp/help/seller/at-a-glance.html/ref=dp_merchant_link?seller=AO3VMGXHKLO96</t>
  </si>
  <si>
    <t>gym people tops for women</t>
  </si>
  <si>
    <t>4.23 ounces</t>
  </si>
  <si>
    <t>119.92 g</t>
  </si>
  <si>
    <t>11.02 x 8.27 x 0.59 inches</t>
  </si>
  <si>
    <t>27.99 x 21.01 x 1.50 cm</t>
  </si>
  <si>
    <t>B087X3QCTQ</t>
  </si>
  <si>
    <t>Fabric type: 88% nylon 12% spandex ice silk | Origin: Imported | Closure type: Pull On | Neck style: Crew Neck | Country of Origin: China</t>
  </si>
  <si>
    <t>Dragon Fit</t>
  </si>
  <si>
    <t>https://www.amazon.com/stores/DragonFit/page/3A5F9513-6863-454A-B1C0-5B6F596E2649?ref_=ast_bln&amp;store_ref=bl_ast_dp_brandLogo_sto</t>
  </si>
  <si>
    <t>Dragon Fit Women Sleeveless Yoga Tops Workout Cool T-Shirt Running Short Tank Crop Tops</t>
  </si>
  <si>
    <t>https://www.amazon.com/dp/B087X3QCTQ?psc=1</t>
  </si>
  <si>
    <t>https://m.media-amazon.com/images/I/31hwC2sI87S._AC_SR600,600_.jpg</t>
  </si>
  <si>
    <t>B087X2TD8F</t>
  </si>
  <si>
    <t>14
548</t>
  </si>
  <si>
    <t>2020-04-29</t>
  </si>
  <si>
    <t>DRAGON FIT</t>
  </si>
  <si>
    <t xml:space="preserve">公司名称：Fujian Ruijian Trading Co., Ltd
办公地址：
世茂写字楼B座11楼1112号
灵秀镇石金路297号
泉州市
石狮市
福建
362700
CN
</t>
  </si>
  <si>
    <t>https://www.amazon.com/gp/help/seller/at-a-glance.html/ref=dp_merchant_link?seller=A397WKTEFGO1N7</t>
  </si>
  <si>
    <t>wicking tank</t>
  </si>
  <si>
    <t>3.21 ounces</t>
  </si>
  <si>
    <t>91.00 g</t>
  </si>
  <si>
    <t>10.8 x 7.9 x 0.5 inches</t>
  </si>
  <si>
    <t>27.43 x 20.07 x 1.27 cm</t>
  </si>
  <si>
    <t>B077XW24HV</t>
  </si>
  <si>
    <t>Size: Medium | Color: Royal Blue/Purple/Charcoal</t>
  </si>
  <si>
    <t>icyzone</t>
  </si>
  <si>
    <t>https://www.amazon.com/stores/icyzone/page/700DD740-73E0-4062-8AD3-7E0EF6C6DB7A?ref_=ast_bln&amp;store_ref=bl_ast_dp_brandLogo_sto</t>
  </si>
  <si>
    <t>icyzone Women's Racerback Workout Athletic Running Tank Tops (Pack of 3)</t>
  </si>
  <si>
    <t>https://www.amazon.com/dp/B077XW24HV?psc=1</t>
  </si>
  <si>
    <t>https://m.media-amazon.com/images/I/51X4zRNBEhL._AC_SR600,600_.jpg</t>
  </si>
  <si>
    <t>B07BZ6T96P</t>
  </si>
  <si>
    <t>18</t>
  </si>
  <si>
    <t>2017-05-01</t>
  </si>
  <si>
    <t>Icy zone</t>
  </si>
  <si>
    <t xml:space="preserve">公司名称：Foshan Qisheng Apparel Co.,ltd
办公地址：
张槎街道存院路25号内
自编车间2号楼二楼201-204室及二楼B场地
佛山市
禅城区
广东
528000
CN
</t>
  </si>
  <si>
    <t>https://www.amazon.com/gp/help/seller/at-a-glance.html/ref=dp_merchant_link?seller=A24BCT9INPL20E</t>
  </si>
  <si>
    <t>icyzone racerback tank tops for women</t>
  </si>
  <si>
    <t>12.35 ounces</t>
  </si>
  <si>
    <t>350.12 g</t>
  </si>
  <si>
    <t>13.4 x 9.45 x 0.79 inches</t>
  </si>
  <si>
    <t>34.04 x 24.00 x 2.01 cm</t>
  </si>
  <si>
    <t>B0BZNN2Q87</t>
  </si>
  <si>
    <t>Fabric type: 95% Modal, 5% Spandex | Care instructions: Machine Wash | Origin: Imported | Closure type: Pull On | Country of Origin: China</t>
  </si>
  <si>
    <t>Mippo</t>
  </si>
  <si>
    <t>https://www.amazon.com/stores/Mippo/page/17F99944-3549-45FB-8E4A-290E96BF2B86?ref_=ast_bln&amp;store_ref=bl_ast_dp_brandLogo_sto</t>
  </si>
  <si>
    <t>Mippo Workout Tops for Women Cropped Open Back Sleeveless Tank Tops Athletic Gym Yoga Shirts Loose Fit</t>
  </si>
  <si>
    <t>https://www.amazon.com/dp/B0BZNN2Q87?psc=1</t>
  </si>
  <si>
    <t>https://images-na.ssl-images-amazon.com/images/I/61DthzUt3hL._AC_US600_.jpg</t>
  </si>
  <si>
    <t>B0BZNN2VMN</t>
  </si>
  <si>
    <t>17</t>
  </si>
  <si>
    <t>5%</t>
  </si>
  <si>
    <t>2023-03-26</t>
  </si>
  <si>
    <t xml:space="preserve">公司名称：Shenzhen Huirongheng Technology Co., Ltd.
办公地址：
社岗南路3号青创大厦1301
东莞市
虎门镇
广东
523900
CN
</t>
  </si>
  <si>
    <t>https://www.amazon.com/gp/help/seller/at-a-glance.html/ref=dp_merchant_link?seller=A36ZAC1EOE5YGO</t>
  </si>
  <si>
    <t>mippo workout tops for women</t>
  </si>
  <si>
    <t>12 x 10 x 0.5 inches</t>
  </si>
  <si>
    <t>30.48 x 25.40 x 1.27 cm</t>
  </si>
  <si>
    <t>B09KN7R4F8</t>
  </si>
  <si>
    <t>Size: 6 | Fit Type: Waist Length | Color: Black</t>
  </si>
  <si>
    <t>Fabric type: 80% Nylon, 20% Spandex | Origin: Imported | Closure type: Pull-On | Neck style: Racer Back | Country of Origin: China</t>
  </si>
  <si>
    <t>Ukaste</t>
  </si>
  <si>
    <t>https://www.amazon.com/stores/Ukaste/page/06E31FC6-D0F4-448B-B497-8142375E6020?ref_=ast_bln&amp;store_ref=bl_ast_dp_brandLogo_sto</t>
  </si>
  <si>
    <t>Ukaste Women's Studio Essential Racerback Tank Top Yoga Performance Workout Tops</t>
  </si>
  <si>
    <t>https://www.amazon.com/dp/B09KN7R4F8?psc=1</t>
  </si>
  <si>
    <t>https://images-na.ssl-images-amazon.com/images/I/613XEQm0b4L._AC_US600_.jpg</t>
  </si>
  <si>
    <t>B08ZXTM6MM</t>
  </si>
  <si>
    <t>19</t>
  </si>
  <si>
    <t>2021-03-23</t>
  </si>
  <si>
    <t>Ukaste Sports</t>
  </si>
  <si>
    <t xml:space="preserve">公司名称：Guangzhou Jingbao Trading Co. Ltd.
办公地址：
白云区鹤龙街鹤边坑头南二横路2号A208
广州市
广东省
510000
CN
</t>
  </si>
  <si>
    <t>https://www.amazon.com/gp/help/seller/at-a-glance.html/ref=dp_merchant_link?seller=A2ATGSCYMM1WIW</t>
  </si>
  <si>
    <t>ukaste racerback tank top</t>
  </si>
  <si>
    <t>4 ounces</t>
  </si>
  <si>
    <t>113.40 g</t>
  </si>
  <si>
    <t>9 x 8 x 0.78 inches</t>
  </si>
  <si>
    <t>22.86 x 20.32 x 1.98 cm</t>
  </si>
  <si>
    <t>B0C4JQB7N5</t>
  </si>
  <si>
    <t>Size: Medium | Color: Black + Brown + Beige</t>
  </si>
  <si>
    <t>Fabric type: 90% Nylon, 10% Elastane | Care instructions: Machine Wash | Origin: Imported | Closure type: Pull On | Country of Origin: China</t>
  </si>
  <si>
    <t>OLCHEE</t>
  </si>
  <si>
    <t>https://www.amazon.com/stores/OLCHEE/page/CBAA9A8C-AE5A-4C46-AE08-6B11FFCEA312?ref_=ast_bln&amp;store_ref=bl_ast_dp_brandLogo_sto</t>
  </si>
  <si>
    <t>OLCHEE Womens 3 Pack Crop Tank Tops Basic Seamless Ribbed Sleeveless Square Neck Workout Top Summer Exercise Yoga Gym Shirts</t>
  </si>
  <si>
    <t>https://www.amazon.com/dp/B0C4JQB7N5?psc=1</t>
  </si>
  <si>
    <t>https://images-na.ssl-images-amazon.com/images/I/51+xyyTokFL._AC_US600_.jpg</t>
  </si>
  <si>
    <t>B0C4HJ868G</t>
  </si>
  <si>
    <t>20
388</t>
  </si>
  <si>
    <t>700</t>
  </si>
  <si>
    <t>2023-05-05</t>
  </si>
  <si>
    <t>OLCHEE Direct</t>
  </si>
  <si>
    <t xml:space="preserve">公司名称：yi wu wan er na wang luo ke ji you xian gong si
电话号码：861-807-289-8710
办公地址：
北苑街道
万达路9号7楼728
义乌市
金华市
浙江省
322015
CN
</t>
  </si>
  <si>
    <t>https://www.amazon.com/gp/help/seller/at-a-glance.html/ref=dp_merchant_link?seller=A13L03SHQKPLB</t>
  </si>
  <si>
    <t>0.3 pounds</t>
  </si>
  <si>
    <t>136.08 g</t>
  </si>
  <si>
    <t>12.52 x 8.23 x 1.85 inches</t>
  </si>
  <si>
    <t>31.80 x 20.90 x 4.70 cm</t>
  </si>
  <si>
    <t>B0CQC29BSR</t>
  </si>
  <si>
    <t>Size: XX-Large | Color: Black/Light Grey | Team Name: 2PCS</t>
  </si>
  <si>
    <t>Fabric type: 76%Polyester, 19%Viscose, 5%Spandex Moisture wicking, soft, lightweight | Care instructions: Machine Wash | Origin: Imported | Closure type: Pull On</t>
  </si>
  <si>
    <t>PINSPARK</t>
  </si>
  <si>
    <t>https://www.amazon.com/stores/Pinspark/page/73638A0C-799E-4A9E-BD52-A76030463125?ref_=ast_bln&amp;store_ref=bl_ast_dp_brandLogo_sto</t>
  </si>
  <si>
    <t>PINSPARK Workout Tank Tops for Women Racerback Loose Fit Yoga Top Sleeveless Gym Shirt Running Athletic Tanks Pack S-3XL</t>
  </si>
  <si>
    <t>https://www.amazon.com/dp/B0CQC29BSR?psc=1</t>
  </si>
  <si>
    <t>https://m.media-amazon.com/images/I/41sn0KD1i5L._AC_SR600,600_.jpg</t>
  </si>
  <si>
    <t>B0D31NVWKF</t>
  </si>
  <si>
    <t>23
1352</t>
  </si>
  <si>
    <t>50</t>
  </si>
  <si>
    <t>10%</t>
  </si>
  <si>
    <t>2024-04-29</t>
  </si>
  <si>
    <t xml:space="preserve">公司名称：dongguanshiqiufengshangmaoyouxiangongsi
办公地址：
蚬涌苏屋路三街1号105室
东莞市
万江街道
广东省
523000
CN
</t>
  </si>
  <si>
    <t>https://www.amazon.com/gp/help/seller/at-a-glance.html/ref=dp_merchant_link?seller=A154O6JL5L5T2Z</t>
  </si>
  <si>
    <t>B083NRCFRB</t>
  </si>
  <si>
    <t>Fabric type: 90% Polyester, 10% Spandex | Care instructions: Machine Wash | Origin: Imported | Fur description: Workout Tank Tops for Women | Country of Origin: China</t>
  </si>
  <si>
    <t>BALEAF</t>
  </si>
  <si>
    <t>https://www.amazon.com/stores/baleaf/page/243A5985-DEA3-405F-83ED-364B4A3733C5?ref_=ast_bln&amp;store_ref=bl_ast_dp_brandLogo_sto</t>
  </si>
  <si>
    <t>BALEAF Workout Tank Tops for Women Sleeveless Running Loose Fit Yoga Tops Active Shirts Pickleball Sports Gym Exercise</t>
  </si>
  <si>
    <t>https://www.amazon.com/dp/B083NRCFRB?psc=1</t>
  </si>
  <si>
    <t>https://images-na.ssl-images-amazon.com/images/I/61bihm5Yv0L._AC_US600_.jpg</t>
  </si>
  <si>
    <t>B09MK2S9M8</t>
  </si>
  <si>
    <t>21
403</t>
  </si>
  <si>
    <t>2020-02-26</t>
  </si>
  <si>
    <t>Baleaf Sports</t>
  </si>
  <si>
    <t>US</t>
  </si>
  <si>
    <t xml:space="preserve">公司名称：FREEDOM SPORTS GOODS INC.
办公地址：
41-14B Main ST G21
FLUSHING
NY
11355-3133
US
</t>
  </si>
  <si>
    <t>https://www.amazon.com/gp/help/seller/at-a-glance.html/ref=dp_merchant_link?seller=AUCI3SOXHH004</t>
  </si>
  <si>
    <t>4.59 ounces</t>
  </si>
  <si>
    <t>130.12 g</t>
  </si>
  <si>
    <t>7.44 x 6.26 x 2.44 inches</t>
  </si>
  <si>
    <t>18.90 x 15.90 x 6.20 cm</t>
  </si>
  <si>
    <t>B09B3N4Y47</t>
  </si>
  <si>
    <t>Fabric type: Cotton+ Spandex | Care instructions: Machine Wash | Origin: Imported | Closure type: Pull On</t>
  </si>
  <si>
    <t>ARRIVE GUIDE</t>
  </si>
  <si>
    <t>https://www.amazon.com/stores/ArriveGuide/page/72736D65-6004-49B5-A4E7-487F381ED667?ref_=ast_bln</t>
  </si>
  <si>
    <t>ARRIVE GUIDE Crop Top Athletic Shirts for Women Cute Sleeveless Yoga Tops Running Gym Workout Shirts</t>
  </si>
  <si>
    <t>https://www.amazon.com/dp/B09B3N4Y47?psc=1</t>
  </si>
  <si>
    <t>https://images-na.ssl-images-amazon.com/images/I/61kOczU078L._AC_US600_.jpg</t>
  </si>
  <si>
    <t>B09B3MVBVR</t>
  </si>
  <si>
    <t>29</t>
  </si>
  <si>
    <t>2018-11-12</t>
  </si>
  <si>
    <t>Arrive Guide</t>
  </si>
  <si>
    <t xml:space="preserve">公司名称：Shenzhen YuSong electronic technology co., LTD
办公地址：
大浪街道高峰社区赤岭头新二村59-1
深圳市
龙华区
广东省
518000
CN
</t>
  </si>
  <si>
    <t>https://www.amazon.com/gp/help/seller/at-a-glance.html/ref=dp_merchant_link?seller=AST829DFD22N3</t>
  </si>
  <si>
    <t>7.83 ounces</t>
  </si>
  <si>
    <t>221.98 g</t>
  </si>
  <si>
    <t>14.02 x 8.03 x 0.67 inches</t>
  </si>
  <si>
    <t>35.61 x 20.40 x 1.70 cm</t>
  </si>
  <si>
    <t>B0B1MWMRWZ</t>
  </si>
  <si>
    <t>Size: Medium | Color: Royal Blue</t>
  </si>
  <si>
    <t>Fabric type: 100% Polyester | Care instructions: Machine Wash | Closure type: Pull On | Neck style: Scoop Neck</t>
  </si>
  <si>
    <t>YYV</t>
  </si>
  <si>
    <t>https://www.amazon.com/stores/YYV/page/B3CF9010-49D8-40BA-A05B-B68D02D8F2EC?ref_=ast_bln&amp;store_ref=bl_ast_dp_brandLogo_sto</t>
  </si>
  <si>
    <t>YYV Women's Workout Tank Tops Lightweight Sleeveless Shirts for Women Loose Fit Tops for Athletic Running Tennis Yoga</t>
  </si>
  <si>
    <t>https://www.amazon.com/dp/B0B1MWMRWZ?psc=1</t>
  </si>
  <si>
    <t>https://m.media-amazon.com/images/I/31VVakwH55L._AC_SR600,600_.jpg</t>
  </si>
  <si>
    <t>B0BYP7BY67</t>
  </si>
  <si>
    <t>24
898</t>
  </si>
  <si>
    <t>15%</t>
  </si>
  <si>
    <t>2022-05-16</t>
  </si>
  <si>
    <t>YYV Online</t>
  </si>
  <si>
    <t xml:space="preserve">公司名称：Xia Men Si Qing Apparel Co., Ltd.
办公地址：
霞阳南路688-3号101室C20
厦门
海沧
福建
361026
CN
</t>
  </si>
  <si>
    <t>https://www.amazon.com/gp/help/seller/at-a-glance.html/ref=dp_merchant_link?seller=A1OH9F3A55BKR7</t>
  </si>
  <si>
    <t>yyv womens workout tank tops</t>
  </si>
  <si>
    <t>6.74 Ounces</t>
  </si>
  <si>
    <t>191.08 g</t>
  </si>
  <si>
    <t>11.46 x 9.13 x 1.18 inches</t>
  </si>
  <si>
    <t>29.11 x 23.19 x 3.00 cm</t>
  </si>
  <si>
    <t>B0899NQ2RD</t>
  </si>
  <si>
    <t>Size: Small | Fit Type: Cropped-length | Color: Black</t>
  </si>
  <si>
    <t>Fabric type: 87% Nylon, 13% Spandex | Care instructions: Dry Clean Only | Origin: Imported | Fur description: Cottony soft, breathable n sweat-wicking | Country of Origin: China</t>
  </si>
  <si>
    <t>Lavento</t>
  </si>
  <si>
    <t>https://www.amazon.com/stores/Lavento/page/CE5A281D-176F-438B-96C0-826F50B54968?ref_=ast_bln&amp;store_ref=bl_ast_dp_brandLogo_sto</t>
  </si>
  <si>
    <t>Lavento Women's Racerback Workout Tank Top Sports Yoga Tops Active Sleeveless Shirts</t>
  </si>
  <si>
    <t>https://www.amazon.com/dp/B0899NQ2RD?psc=1</t>
  </si>
  <si>
    <t>https://images-na.ssl-images-amazon.com/images/I/61X9VLDtTXL._AC_US600_.jpg</t>
  </si>
  <si>
    <t>B0899XC5DP</t>
  </si>
  <si>
    <t>28
2250</t>
  </si>
  <si>
    <t>2020-05-27</t>
  </si>
  <si>
    <t>Lavento Sports</t>
  </si>
  <si>
    <t xml:space="preserve">公司名称：Guangzhou Nanrui Trade Co. Ltd.
办公地址：
鹤龙街鹤边坑头南二横路2号A201
广州
白云
广东
510440
CN
</t>
  </si>
  <si>
    <t>https://www.amazon.com/gp/help/seller/at-a-glance.html/ref=dp_merchant_link?seller=A1VFAP7VFYSDQE</t>
  </si>
  <si>
    <t>3.2 ounces</t>
  </si>
  <si>
    <t>90.72 g</t>
  </si>
  <si>
    <t>10 x 7.6 x 0.7 inches</t>
  </si>
  <si>
    <t>25.40 x 19.30 x 1.78 cm</t>
  </si>
  <si>
    <t>B0D5Y9N5YH</t>
  </si>
  <si>
    <t>Size: Medium | Color: A White</t>
  </si>
  <si>
    <t>Fabric type: 88%POLYESTER,12%ELASTANE | Care instructions: Machine Wash | Origin: Imported | Closure type: Pull On | Country of Origin: China</t>
  </si>
  <si>
    <t>G Gradual</t>
  </si>
  <si>
    <t>https://www.amazon.com/stores/GGradual/page/83E26C48-D353-4DB2-BBB1-1B1E939F003F?ref_=ast_bln&amp;store_ref=bl_ast_dp_brandLogo_sto</t>
  </si>
  <si>
    <t>Women's Workout Tops Racerback Athletic Tank Tops Sleeveless Loose Fit Yoga Running Gym Shirts for Women</t>
  </si>
  <si>
    <t>https://www.amazon.com/dp/B0D5Y9N5YH?psc=1</t>
  </si>
  <si>
    <t>https://images-na.ssl-images-amazon.com/images/I/71K3nspF-eL._AC_US600_.jpg</t>
  </si>
  <si>
    <t>B0D92DQW83</t>
  </si>
  <si>
    <t>26
959</t>
  </si>
  <si>
    <t>2024-07-07</t>
  </si>
  <si>
    <t>G-GRADUAL</t>
  </si>
  <si>
    <t xml:space="preserve">公司名称：Xia Men Wei Er Jia E-Business Co.,Ltd
办公地址：
火炬高新区软件园三期诚毅北大街8号1901室-1
厦门市
集美
福建
361021
CN
</t>
  </si>
  <si>
    <t>https://www.amazon.com/gp/help/seller/at-a-glance.html/ref=dp_merchant_link?seller=A3J1UQ06EUSAGL</t>
  </si>
  <si>
    <t>3.53 ounces</t>
  </si>
  <si>
    <t>100.07 g</t>
  </si>
  <si>
    <t>7.52 x 5.43 x 1.18 inches</t>
  </si>
  <si>
    <t>19.10 x 13.79 x 3.00 cm</t>
  </si>
  <si>
    <t>B0C739KNZD</t>
  </si>
  <si>
    <t>Fabric type: 92% Pima Cotton, 8% Elastane | Care instructions: Machine Wash | Origin: Imported | Closure type: Pull On | Country of Origin: China</t>
  </si>
  <si>
    <t>CRZ YOGA Womens Pima Cotton Racerback Workout Tank Tops Scoop Neck Loose Sleeveless Tops Athletic Gym Shirts</t>
  </si>
  <si>
    <t>https://www.amazon.com/dp/B0C739KNZD?psc=1</t>
  </si>
  <si>
    <t>https://images-na.ssl-images-amazon.com/images/I/71-EMVEH8aL._AC_US600_.jpg</t>
  </si>
  <si>
    <t>B0CCNCB5GH</t>
  </si>
  <si>
    <t>27</t>
  </si>
  <si>
    <t>2023-07-02</t>
  </si>
  <si>
    <t>black womens workout tank</t>
  </si>
  <si>
    <t>0.17 pounds</t>
  </si>
  <si>
    <t>77.11 g</t>
  </si>
  <si>
    <t>9.09 x 6.5 x 1.22 inches</t>
  </si>
  <si>
    <t>23.09 x 16.51 x 3.10 cm</t>
  </si>
  <si>
    <t>B0B2HN57YG</t>
  </si>
  <si>
    <t>Size: Medium | Color: Black/White/Grey/Striped</t>
  </si>
  <si>
    <t>Fabric type: 95% Cotton &amp; 5% Spandex | Care instructions: Machine Wash | Origin: 进口 | Closure type: Pull On | Country of Origin: China</t>
  </si>
  <si>
    <t>Kole Meego</t>
  </si>
  <si>
    <t>https://www.amazon.com/stores/WOMENSTOPSINHIGHQIALITLYCOTTONFBRIC/page/2C098EC2-C511-48D6-B1E0-3CF6324F4CFA?ref_=ast_bln&amp;store_ref=bl_ast_dp_brandLogo_sto</t>
  </si>
  <si>
    <t>Kole Meego Crop Tops For Women Workout Cropped Tank Top High Neck Camisole Yoga Shirts Athletic Undershirts 4 Pack</t>
  </si>
  <si>
    <t>https://www.amazon.com/dp/B0B2HN57YG?psc=1</t>
  </si>
  <si>
    <t>https://images-na.ssl-images-amazon.com/images/I/61aXdH5pTFL._AC_US600_.jpg</t>
  </si>
  <si>
    <t>B09PL6L8Y6</t>
  </si>
  <si>
    <t>32</t>
  </si>
  <si>
    <t>2022-01-02</t>
  </si>
  <si>
    <t xml:space="preserve">公司名称：huzhoushiyimaidianzishangwuyouxiangongsi
办公地址：
太湖街道
金宇丽苑23幢601室-55
湖州市
长兴县
浙江省
313100
CN
</t>
  </si>
  <si>
    <t>https://www.amazon.com/gp/help/seller/at-a-glance.html/ref=dp_merchant_link?seller=A1R2G5XQH2OP5W</t>
  </si>
  <si>
    <t>13.5 x 9.84 x 0.79 inches</t>
  </si>
  <si>
    <t>34.29 x 24.99 x 2.01 cm</t>
  </si>
  <si>
    <t>B07WBVW81F</t>
  </si>
  <si>
    <t>Mippo Crop Tops for Women Womens Workout Tops Flowy Cropped Tank Tops Athletic Shirts</t>
  </si>
  <si>
    <t>https://www.amazon.com/dp/B07WBVW81F?psc=1</t>
  </si>
  <si>
    <t>https://m.media-amazon.com/images/I/31pOSH-Hg7L._AC_SR600,600_.jpg</t>
  </si>
  <si>
    <t>B0CBQVRKZD</t>
  </si>
  <si>
    <t>22</t>
  </si>
  <si>
    <t>2019-08-06</t>
  </si>
  <si>
    <t>8 x 8 x 0.5 inches</t>
  </si>
  <si>
    <t>20.32 x 20.32 x 1.27 cm</t>
  </si>
  <si>
    <t>B0C338T2QM</t>
  </si>
  <si>
    <t>CRZ YOGA Butterluxe Womens Racerback Workout Tank Top with Built in Shelf Bra - Padded High Neck Yoga Athletic Camisole</t>
  </si>
  <si>
    <t>https://www.amazon.com/dp/B0C338T2QM?psc=1</t>
  </si>
  <si>
    <t>https://m.media-amazon.com/images/I/31V8e59PEAL._AC_SR600,600_.jpg</t>
  </si>
  <si>
    <t>B0C3376P9M</t>
  </si>
  <si>
    <t>34</t>
  </si>
  <si>
    <t>2023-04-19</t>
  </si>
  <si>
    <t>4.48 ounces</t>
  </si>
  <si>
    <t>127.01 g</t>
  </si>
  <si>
    <t>13.11 x 7.68 x 2.64 inches</t>
  </si>
  <si>
    <t>33.30 x 19.51 x 6.71 cm</t>
  </si>
  <si>
    <t>B0CKL3CYVJ</t>
  </si>
  <si>
    <t>Size: XX-Large | Color: Black</t>
  </si>
  <si>
    <t>Fabric type: 66.7%Polyester+29.5%Lyocell+3.8%Spandex | Care instructions: Machine Wash | Origin: Imported | Closure type: Pull On</t>
  </si>
  <si>
    <t>LALAGEN</t>
  </si>
  <si>
    <t>https://www.amazon.com/stores/Lalagen/page/E64041B2-DBB2-495D-8EBC-5B2DFCE86969?ref_=ast_bln&amp;store_ref=bl_ast_dp_brandLogo_sto</t>
  </si>
  <si>
    <t>LALAGEN Plus Size Womens Workout Tank Tops Sleeveless Flowy Yoga Athletic Running Shirts</t>
  </si>
  <si>
    <t>https://www.amazon.com/dp/B0CKL3CYVJ?psc=1</t>
  </si>
  <si>
    <t>https://images-na.ssl-images-amazon.com/images/I/61CXFjENUpL._AC_US600_.jpg</t>
  </si>
  <si>
    <t>B0D44DMWFN</t>
  </si>
  <si>
    <t>43
693</t>
  </si>
  <si>
    <t>2023-11-09</t>
  </si>
  <si>
    <t>lalagen</t>
  </si>
  <si>
    <t xml:space="preserve">公司名称：Xiamen zhongdong shangmao Co.,Ltd
办公地址：
安岭路999号208室之五
厦门市
湖里区
福建
361000
CN
</t>
  </si>
  <si>
    <t>https://www.amazon.com/gp/help/seller/at-a-glance.html/ref=dp_merchant_link?seller=A129N7F11RS16B</t>
  </si>
  <si>
    <t>5.29 ounces</t>
  </si>
  <si>
    <t>149.97 g</t>
  </si>
  <si>
    <t>3.1 x 2.4 x 0.8 inches</t>
  </si>
  <si>
    <t>7.87 x 6.10 x 2.03 cm</t>
  </si>
  <si>
    <t>B07V9DYGVZ</t>
  </si>
  <si>
    <t>Fabric type: Body: 100% Polyamide; Lining: 90% Polyamide, 10% Spandex | Care instructions: Machine Wash | Origin: Imported | Closure type: Pull On | Country of Origin: China</t>
  </si>
  <si>
    <t>CRZ YOGA Seamless Workout Tank Tops for Women Racerback Athletic Camisole Sports Shirts with Built in Bra</t>
  </si>
  <si>
    <t>https://www.amazon.com/dp/B07V9DYGVZ?psc=1</t>
  </si>
  <si>
    <t>https://m.media-amazon.com/images/I/41dmdv7zfnL._AC_SR600,600_.jpg</t>
  </si>
  <si>
    <t>B0D7P5C5JT</t>
  </si>
  <si>
    <t>25</t>
  </si>
  <si>
    <t>2024-06-20</t>
  </si>
  <si>
    <t>4.3 ounces</t>
  </si>
  <si>
    <t>121.90 g</t>
  </si>
  <si>
    <t>15.75 x 8.66 x 0.39 inches</t>
  </si>
  <si>
    <t>40.01 x 22.00 x 0.99 cm</t>
  </si>
  <si>
    <t>B0BN2XYPY9</t>
  </si>
  <si>
    <t>Size: Medium | Color: Pink</t>
  </si>
  <si>
    <t>Fabric type: 82% Polyester , 18% Spandex | Care instructions: Machine Wash | Origin: Imported | Closure type: Pull On | Country of Origin: China</t>
  </si>
  <si>
    <t>JOYSPELS</t>
  </si>
  <si>
    <t>https://www.amazon.com/stores/Joyspels/page/54FCF92F-4764-4024-A8B8-1EDC1CCC931E?ref_=ast_bln&amp;store_ref=bl_ast_dp_brandLogo_sto</t>
  </si>
  <si>
    <t>JOYSPELS Ice Silk Workout Tank Tops for Women Cool-Dry Sleeveless Loose Fit Yoga Shirts Athletic</t>
  </si>
  <si>
    <t>https://www.amazon.com/dp/B0BN2XYPY9?psc=1</t>
  </si>
  <si>
    <t>https://m.media-amazon.com/images/I/31eZgm2e+3L._AC_SR600,600_.jpg</t>
  </si>
  <si>
    <t>B09PV7FM1X</t>
  </si>
  <si>
    <t>30</t>
  </si>
  <si>
    <t>2022-04-20</t>
  </si>
  <si>
    <t>Joyspels direct</t>
  </si>
  <si>
    <t xml:space="preserve">公司名称：Yi Wu Shi Wo Hui Dian Zi Shang Wu You Xian Gong Si
办公地址：
月明路560号正泰大厦1号楼1203室江汇
杭州
滨江
浙江
310051
CN
</t>
  </si>
  <si>
    <t>https://www.amazon.com/gp/help/seller/at-a-glance.html/ref=dp_merchant_link?seller=A18IA2MBVZ2X62</t>
  </si>
  <si>
    <t>tops for yoga pants</t>
  </si>
  <si>
    <t>6.74 ounces</t>
  </si>
  <si>
    <t>12.05 x 8.9 x 0.75 inches</t>
  </si>
  <si>
    <t>30.61 x 22.61 x 1.91 cm</t>
  </si>
  <si>
    <t>B087BHBG6L</t>
  </si>
  <si>
    <t>Size: 4 | Color: Black</t>
  </si>
  <si>
    <t>Fabric type: 89.1% Nylon, 10.9% Spandex | Care instructions: Machine Wash | Closure type: Pull On | Underwire type: Wire Free</t>
  </si>
  <si>
    <t>sphinx cat</t>
  </si>
  <si>
    <t>https://www.amazon.com/sphinx-cat/b/ref=bl_sl_s_ap_web_19183874011?ie=UTF8&amp;node=19183874011&amp;field-lbr_brands_browse-bin=sphinx+cat</t>
  </si>
  <si>
    <t>Yoga Racerback Tank Top for Women with Built in Bra,Women's Padded Sports Bra Fitness Workout Running Shirts</t>
  </si>
  <si>
    <t>https://www.amazon.com/dp/B087BHBG6L?psc=1</t>
  </si>
  <si>
    <t>https://m.media-amazon.com/images/I/41pvavK98oL._AC_SR600,600_.jpg</t>
  </si>
  <si>
    <t>B087BHXXC4</t>
  </si>
  <si>
    <t>Clothing, Shoes &amp; Jewelry:Women:Clothing:Lingerie, Sleep &amp; Lounge:Lingerie:Bras:Sports Bras</t>
  </si>
  <si>
    <t>Women's Activewear Tank Tops
Women's Sports Bras</t>
  </si>
  <si>
    <t>38
124</t>
  </si>
  <si>
    <t>2020-04-18</t>
  </si>
  <si>
    <t xml:space="preserve">公司名称：yiwushimanpinwangluokejiyouxiangongsi
办公地址：
银海路1326号
义乌市
廿三里街道
浙江省
322000
CN
</t>
  </si>
  <si>
    <t>https://www.amazon.com/gp/help/seller/at-a-glance.html/ref=dp_merchant_link?seller=A1G8L2XUV3HSNH</t>
  </si>
  <si>
    <t>2.4 ounces</t>
  </si>
  <si>
    <t>11 x 6 x 1 inches</t>
  </si>
  <si>
    <t>27.94 x 15.24 x 2.54 cm</t>
  </si>
  <si>
    <t>B0C53CKCQN</t>
  </si>
  <si>
    <t>Fabric type: Butterluxe Collection Fabric: 81% Polyamide, 19% Lycra | Care instructions: Machine Wash | Origin: Imported | Closure type: Pull On | Country of Origin: China</t>
  </si>
  <si>
    <t>CRZ YOGA Butterluxe Womens Racerback High Neck Tank Top - with Built in Bra Workout Padded Yoga Athletic Camisole</t>
  </si>
  <si>
    <t>https://www.amazon.com/dp/B0C53CKCQN?psc=1</t>
  </si>
  <si>
    <t>https://m.media-amazon.com/images/I/41ZeSlTJhvL._AC_SR600,600_.jpg</t>
  </si>
  <si>
    <t>B0CGMTZLGD</t>
  </si>
  <si>
    <t>31</t>
  </si>
  <si>
    <t>2023-08-25</t>
  </si>
  <si>
    <t>13.74 x 6.34 x 2.91 inches</t>
  </si>
  <si>
    <t>34.90 x 16.10 x 7.39 cm</t>
  </si>
  <si>
    <t>B08L8C343P</t>
  </si>
  <si>
    <t>Size: Small | Color: Bright Olive Green</t>
  </si>
  <si>
    <t>Fabric type: 56% Pima Cotton, 38% Modal, 6% Elastane | Care instructions: Machine Wash | Origin: Imported | Closure type: Pull On | Country of Origin: Vietnam</t>
  </si>
  <si>
    <t>Amazon Essentials</t>
  </si>
  <si>
    <t>https://www.amazon.com/stores/AmazonEssentials/page/F8FB6F3C-F896-455C-BC52-7879F4CEF0CF?ref_=ast_bln&amp;store_ref=bl_ast_dp_brandLogo_sto</t>
  </si>
  <si>
    <t>Amazon Essentials Women's Soft Cotton Standard-Fit Yoga Tank (Available in Plus Size) (Previously Core 10)</t>
  </si>
  <si>
    <t>https://www.amazon.com/dp/B08L8C343P?psc=1</t>
  </si>
  <si>
    <t>https://m.media-amazon.com/images/I/41hxkrZxDvL._AC_SR600,600_.jpg</t>
  </si>
  <si>
    <t>B0D3NDP7NB</t>
  </si>
  <si>
    <t>Our Brands</t>
  </si>
  <si>
    <t>37</t>
  </si>
  <si>
    <t>2023-07-06</t>
  </si>
  <si>
    <t>AMZ</t>
  </si>
  <si>
    <t>Amazon.com</t>
  </si>
  <si>
    <t>3.74 Ounces</t>
  </si>
  <si>
    <t>106.03 g</t>
  </si>
  <si>
    <t>7.13 x 5.71 x 1.97 inches</t>
  </si>
  <si>
    <t>18.11 x 14.50 x 5.00 cm</t>
  </si>
  <si>
    <t>B0C4XZLQNV</t>
  </si>
  <si>
    <t>Size: Small | Color: Square Neck-black/White/Grey/Deepgreen</t>
  </si>
  <si>
    <t>Fabric type: 95% Cotton, 5% Spandex | Care instructions: Machine wash on a gentle cycle, tumble dry on low, iron on low if needed, and store folded or hung. | Origin: Imported | Closure type: Button | Country of Origin: China</t>
  </si>
  <si>
    <t>Joviren</t>
  </si>
  <si>
    <t>https://www.amazon.com/stores/Joviren/page/66B7A0B4-E96C-4BF1-96F4-9924EF233A43?ref_=ast_bln&amp;store_ref=bl_ast_dp_brandLogo_sto</t>
  </si>
  <si>
    <t>Cotton Workout Crop Tank Top for Women Racerback Yoga Tank Tops Athletic Sports Shirts Exercise Undershirts 4 Pack</t>
  </si>
  <si>
    <t>https://www.amazon.com/dp/B0C4XZLQNV?psc=1</t>
  </si>
  <si>
    <t>https://m.media-amazon.com/images/I/418MmqszZiL._AC_SR600,600_.jpg</t>
  </si>
  <si>
    <t>B09BDSWPH5</t>
  </si>
  <si>
    <t>33
1759</t>
  </si>
  <si>
    <t>2021-07-28</t>
  </si>
  <si>
    <t>Aolenor</t>
  </si>
  <si>
    <t xml:space="preserve">公司名称：jin hua jian yi dian zi shang wu you xian gong si
办公地址：
孝顺镇大湖沿村（盛才户二楼201）
金华市
金东区
浙江省
321035
CN
</t>
  </si>
  <si>
    <t>https://www.amazon.com/gp/help/seller/at-a-glance.html/ref=dp_merchant_link?seller=A3CLXGTYGRLXLG</t>
  </si>
  <si>
    <t>square neck workout top</t>
  </si>
  <si>
    <t>4.16 ounces</t>
  </si>
  <si>
    <t>117.93 g</t>
  </si>
  <si>
    <t>14.35 x 9.4 x 0.25 inches</t>
  </si>
  <si>
    <t>36.45 x 23.88 x 0.64 cm</t>
  </si>
  <si>
    <t>B0CY2V523Z</t>
  </si>
  <si>
    <t>Fabric type: 100% Polyester | Care instructions: Machine Wash | Origin: Imported | Closure type: Pull On | Country of Origin: China</t>
  </si>
  <si>
    <t>SANTINY</t>
  </si>
  <si>
    <t>https://www.amazon.com/stores/SANTINY/page/C8E491B5-0FA2-4D0C-979E-F3B657EE0FA5?ref_=ast_bln&amp;store_ref=bl_ast_dp_brandLogo_sto</t>
  </si>
  <si>
    <t>SANTINY Women's Sleeveless Workout Tops Breathable Lightweight Active Tennis Yoga Shirts Athletic Running Tank Tops for Women</t>
  </si>
  <si>
    <t>https://www.amazon.com/dp/B0CY2V523Z?psc=1</t>
  </si>
  <si>
    <t>https://images-na.ssl-images-amazon.com/images/I/61qKwbsxb8L._AC_US600_.jpg</t>
  </si>
  <si>
    <t>B0CY2WVB4P</t>
  </si>
  <si>
    <t>39
638</t>
  </si>
  <si>
    <t>2024-03-13</t>
  </si>
  <si>
    <t>Santiny</t>
  </si>
  <si>
    <t xml:space="preserve">公司名称：Jin Hua Shi Li Pu Import and Export Co., Ltd.
办公地址：
东上小区10幢17号1-2楼
金华
婺城区
浙江
321000
CN
</t>
  </si>
  <si>
    <t>https://www.amazon.com/gp/help/seller/at-a-glance.html/ref=dp_merchant_link?seller=A3E1SQM5WUB3RR</t>
  </si>
  <si>
    <t>7.2 x 5.59 x 1.06 inches</t>
  </si>
  <si>
    <t>18.29 x 14.20 x 2.69 cm</t>
  </si>
  <si>
    <t>B07SG39YS1</t>
  </si>
  <si>
    <t>CRZ YOGA Pima Cotton Cropped Tank Tops for Women Workout Crop Tops High Neck Sleeveless Athletic Gym Shirts</t>
  </si>
  <si>
    <t>https://www.amazon.com/dp/B07SG39YS1?psc=1</t>
  </si>
  <si>
    <t>https://m.media-amazon.com/images/I/41xuQMrJW7L._AC_SR600,600_.jpg</t>
  </si>
  <si>
    <t>B0DD3PLYTG</t>
  </si>
  <si>
    <t>35</t>
  </si>
  <si>
    <t>2021-01-12</t>
  </si>
  <si>
    <t>2.08 ounces</t>
  </si>
  <si>
    <t>58.97 g</t>
  </si>
  <si>
    <t>10.24 x 7.87 x 0.39 inches</t>
  </si>
  <si>
    <t>26.01 x 19.99 x 0.99 cm</t>
  </si>
  <si>
    <t>B075XC9MQK</t>
  </si>
  <si>
    <t>Size: Medium | Color: Black/Grey/Lavender</t>
  </si>
  <si>
    <t>Fabric type: 70% Polyester, 30% Rayon | Care instructions: Machine Wash | Origin: Imported | Closure type: Pull On | Country of Origin: China</t>
  </si>
  <si>
    <t>icyzone Women's Racerback High Neck Workout Athletic Yoga Muscle Tank Tops</t>
  </si>
  <si>
    <t>https://www.amazon.com/dp/B075XC9MQK?psc=1</t>
  </si>
  <si>
    <t>https://m.media-amazon.com/images/I/41QSasIdRGL._AC_SR600,600_.jpg</t>
  </si>
  <si>
    <t>B0753GBMVM</t>
  </si>
  <si>
    <t>41</t>
  </si>
  <si>
    <t>2017-08-23</t>
  </si>
  <si>
    <t>gym cover up top for women</t>
  </si>
  <si>
    <t>10.23 ounces</t>
  </si>
  <si>
    <t>290.02 g</t>
  </si>
  <si>
    <t>13.39 x 9.45 x 0.79 inches</t>
  </si>
  <si>
    <t>34.01 x 24.00 x 2.01 cm</t>
  </si>
  <si>
    <t>B0CJWLL2DY</t>
  </si>
  <si>
    <t>Size: Medium | Color: (102) White / / Black</t>
  </si>
  <si>
    <t>Fabric type: 100% Polyester | Care instructions: Machine Wash | Origin: Imported | Closure type: Button | Country of Origin: Mexico</t>
  </si>
  <si>
    <t>Under Armour</t>
  </si>
  <si>
    <t>https://www.amazon.com/stores/UnderArmour/page/4750579C-0CF4-4BF9-B7E8-F782E52D7683?ref_=ast_bln&amp;store_ref=bl_ast_dp_brandLogo_sto</t>
  </si>
  <si>
    <t>Under Armour Women's HeatGear Racer Tank</t>
  </si>
  <si>
    <t>https://www.amazon.com/dp/B0CJWLL2DY?psc=1</t>
  </si>
  <si>
    <t>https://m.media-amazon.com/images/I/31R6KJLCrpL._AC_SR600,600_.jpg</t>
  </si>
  <si>
    <t>B09YW149XP</t>
  </si>
  <si>
    <t>44</t>
  </si>
  <si>
    <t>2019-02-14</t>
  </si>
  <si>
    <t>12 x 8 x 0.5 inches</t>
  </si>
  <si>
    <t>30.48 x 20.32 x 1.27 cm</t>
  </si>
  <si>
    <t>B0DBQPQLQD</t>
  </si>
  <si>
    <t>Size: Medium | Color: White</t>
  </si>
  <si>
    <t>Fabric type: 92%Rayon 8%Spandex | Care instructions: Machine Wash | Origin: Imported | Closure type: Pull On | Country of Origin: China</t>
  </si>
  <si>
    <t>SVALIY</t>
  </si>
  <si>
    <t>https://www.amazon.com/SVALIY/b/ref=bl_sl_s_ap_web_18229911011?ie=UTF8&amp;node=18229911011&amp;field-lbr_brands_browse-bin=SVALIY</t>
  </si>
  <si>
    <t>SVALIY Summer Womens Tank Tops 2024 Square Neck Fitted Sleeveless Shirts for Women Ribbed Basic Top</t>
  </si>
  <si>
    <t>https://www.amazon.com/dp/B0DBQPQLQD?psc=1</t>
  </si>
  <si>
    <t>https://images-na.ssl-images-amazon.com/images/I/6190fTtJeYL._AC_US600_.jpg</t>
  </si>
  <si>
    <t>B0DBQLQJ54</t>
  </si>
  <si>
    <t>40</t>
  </si>
  <si>
    <t>20%</t>
  </si>
  <si>
    <t>2024-07-30</t>
  </si>
  <si>
    <t>SVALIY Fashion</t>
  </si>
  <si>
    <t xml:space="preserve">公司名称：Shenzhenshiqiaofenmaoyiyouxiangongsi
办公地址：
大浪街道浪口社区
浪口工业园68号307
深圳市
龙华区
广东
518109
CN
</t>
  </si>
  <si>
    <t>https://www.amazon.com/gp/help/seller/at-a-glance.html/ref=dp_merchant_link?seller=A30RISEUMG8SY4</t>
  </si>
  <si>
    <t>3.84 ounces</t>
  </si>
  <si>
    <t>108.86 g</t>
  </si>
  <si>
    <t>10.39 x 7.91 x 0.83 inches</t>
  </si>
  <si>
    <t>26.39 x 20.09 x 2.11 cm</t>
  </si>
  <si>
    <t>B0D7Z78VFP</t>
  </si>
  <si>
    <t>Size: Small | Color: White</t>
  </si>
  <si>
    <t>Fabric type: 96% Polyamide, 4% Elastane | Care instructions: Machine Wash | Origin: Imported | Closure type: Pull On | Country of Origin: China</t>
  </si>
  <si>
    <t>CRZ YOGA Seamless Womens Tank Tops Racerback Breathable Workout Sleeveless Top High Neck Running Athletic Shirts</t>
  </si>
  <si>
    <t>https://www.amazon.com/dp/B0D7Z78VFP?psc=1</t>
  </si>
  <si>
    <t>https://m.media-amazon.com/images/I/31yL62a+GWL._AC_SR600,600_.jpg</t>
  </si>
  <si>
    <t>B0D7ZHM3RW</t>
  </si>
  <si>
    <t>36
1127</t>
  </si>
  <si>
    <t>2024-07-21</t>
  </si>
  <si>
    <t>2.26 ounces</t>
  </si>
  <si>
    <t>64.07 g</t>
  </si>
  <si>
    <t>9.17 x 7.28 x 1.3 inches</t>
  </si>
  <si>
    <t>23.29 x 18.49 x 3.30 cm</t>
  </si>
  <si>
    <t>B0BVPKVTN8</t>
  </si>
  <si>
    <t>Size: Large | Special Size: Regular Size | Color: Set 11</t>
  </si>
  <si>
    <t>Fabric type: 90% Polyester, 10% Spandex | Care instructions: Machine Wash | Origin: Imported | Closure type: Pull On | Country of Origin: China</t>
  </si>
  <si>
    <t>Real Essentials</t>
  </si>
  <si>
    <t>https://www.amazon.com/stores/RealEssentials/page/FBE83AF6-EE5D-4217-AB93-7822B24A96FB?ref_=ast_bln&amp;store_ref=bl_ast_dp_brandLogo_sto</t>
  </si>
  <si>
    <t>Real Essentials 5-Pack Women's Racerback Tank Top Dry-Fit Athletic Performance Yoga Activewear (Available in Plus Size)</t>
  </si>
  <si>
    <t>https://www.amazon.com/dp/B0BVPKVTN8?psc=1</t>
  </si>
  <si>
    <t>https://m.media-amazon.com/images/I/41OmEBOxOrL._AC_SR600,600_.jpg</t>
  </si>
  <si>
    <t>B07KPKQ1DQ</t>
  </si>
  <si>
    <t>48
1166</t>
  </si>
  <si>
    <t>2018-11-11</t>
  </si>
  <si>
    <t xml:space="preserve">公司名称：Real Essentials Corp
办公地址：
1726 Mcdonald Avenue
BROOKLYN
NY
11230
US
</t>
  </si>
  <si>
    <t>https://www.amazon.com/gp/help/seller/at-a-glance.html/ref=dp_merchant_link?seller=A2ZO1F0HRSC2G3</t>
  </si>
  <si>
    <t>6.38 Ounces</t>
  </si>
  <si>
    <t>180.87 g</t>
  </si>
  <si>
    <t>12.6 x 8.11 x 2.91 inches</t>
  </si>
  <si>
    <t>32.00 x 20.60 x 7.39 cm</t>
  </si>
  <si>
    <t>B0CPP2J9QD</t>
  </si>
  <si>
    <t>Fabric type: 92%Rayon + 8%Elastane | Care instructions: Hand Wash Only or Dry Clean Only | Origin: Imported | Closure type: Pull On</t>
  </si>
  <si>
    <t>ANRABESS</t>
  </si>
  <si>
    <t>https://www.amazon.com/stores/ANRABESS/page/937C5045-E1CD-46BB-99F1-38FA5C0E3B27?ref_=ast_bln&amp;store_ref=bl_ast_dp_brandLogo_sto</t>
  </si>
  <si>
    <t>ANRABESS Womens Sleeveless High Neck Tank Tops Fashion Summer Casual Basic Slim Fit Ribbed Racerback Top Shirt Blouses</t>
  </si>
  <si>
    <t>https://www.amazon.com/dp/B0CPP2J9QD?psc=1</t>
  </si>
  <si>
    <t>https://m.media-amazon.com/images/I/416Y0TS+uJL._AC_SR600,600_.jpg</t>
  </si>
  <si>
    <t>B0CP7WGWWV</t>
  </si>
  <si>
    <t>60
119</t>
  </si>
  <si>
    <t>2023-11-29</t>
  </si>
  <si>
    <t xml:space="preserve">公司名称：Yiwu Ceteng e-commerce firm
办公地址：
稠江街道楼下村四区22幢3单元205室
金华市
义乌市
浙江省
322001
CN
</t>
  </si>
  <si>
    <t>https://www.amazon.com/gp/help/seller/at-a-glance.html/ref=dp_merchant_link?seller=ADPI9LE50EUV</t>
  </si>
  <si>
    <t>5.61 ounces</t>
  </si>
  <si>
    <t>159.04 g</t>
  </si>
  <si>
    <t>11.46 x 8.35 x 1.3 inches</t>
  </si>
  <si>
    <t>29.11 x 21.21 x 3.30 cm</t>
  </si>
  <si>
    <t>B0CNZ2K3YT</t>
  </si>
  <si>
    <t>Size: Large | Color: Black/Grey/White/Blue/Purple</t>
  </si>
  <si>
    <t>TELALEO 2 or 5 Pack Workout Tank Tops for Women Sleeveless Athletic Yoga Gym Tank Tops Quick Dry Loose Fit Sports Shirts</t>
  </si>
  <si>
    <t>https://www.amazon.com/dp/B0CNZ2K3YT?psc=1</t>
  </si>
  <si>
    <t>https://m.media-amazon.com/images/I/316z+-yRqBL._AC_SR600,600_.jpg</t>
  </si>
  <si>
    <t>B0CNZ6QG3M</t>
  </si>
  <si>
    <t>42
654</t>
  </si>
  <si>
    <t>2023-11-24</t>
  </si>
  <si>
    <t>1.15 Pounds</t>
  </si>
  <si>
    <t>521.63 g</t>
  </si>
  <si>
    <t>11.22 x 9.61 x 2.24 inches</t>
  </si>
  <si>
    <t>28.50 x 24.41 x 5.69 cm</t>
  </si>
  <si>
    <t>B08XFXNLF3</t>
  </si>
  <si>
    <t>Size: Small | Color: 911-silk Mustard</t>
  </si>
  <si>
    <t>Fabric type: 95% Cotton, 5% Spandex | Care instructions: Machine Wash Cold With Like Colors, Do Not Bleach, Hang Dry | Closure type: Pull On | Neck style: Scoop Neck</t>
  </si>
  <si>
    <t>HATOPANTS</t>
  </si>
  <si>
    <t>https://www.amazon.com/stores/HATOPANTS-EVERYDAYWEAR/page/A64BF909-7E14-4039-9394-BDF035B60EDA?ref_=ast_bln</t>
  </si>
  <si>
    <t>HATOPANTS Women's Sleeveless Camisole Crop Tank Tops Racerback High Halter Neck Shirts</t>
  </si>
  <si>
    <t>https://www.amazon.com/dp/B08XFXNLF3?psc=1</t>
  </si>
  <si>
    <t>https://m.media-amazon.com/images/I/41PvR9HlUFL._AC_SR600,600_.jpg</t>
  </si>
  <si>
    <t>B09H54D15Q</t>
  </si>
  <si>
    <t>45</t>
  </si>
  <si>
    <t>2021-04-02</t>
  </si>
  <si>
    <t xml:space="preserve">公司名称：EBLY INC
办公地址：
1038 E BASTANCHURY RD SUITE 365
FULLERTON
CA
92835
US
</t>
  </si>
  <si>
    <t>https://www.amazon.com/gp/help/seller/at-a-glance.html/ref=dp_merchant_link?seller=A3OWKH4NEZD31B</t>
  </si>
  <si>
    <t>2 ounces</t>
  </si>
  <si>
    <t>56.70 g</t>
  </si>
  <si>
    <t>7 x 5 x 0.2 inches</t>
  </si>
  <si>
    <t>17.78 x 12.70 x 0.51 cm</t>
  </si>
  <si>
    <t>B07Z548CG9</t>
  </si>
  <si>
    <t>Size: Medium | Number of Items: 2 | Color: Black/Grey Camo</t>
  </si>
  <si>
    <t>Fabric type: 94% Polyester, 6% Spandex | Care instructions: Machine Wash Warm, Tumble Dry | Origin: Imported | Closure type: Button | Country of Origin: China</t>
  </si>
  <si>
    <t>Amazon Essentials Women's Tech Stretch Racerback Tank Top (Available in Plus Size), Multipacks</t>
  </si>
  <si>
    <t>https://www.amazon.com/dp/B07Z548CG9?psc=1</t>
  </si>
  <si>
    <t>https://m.media-amazon.com/images/I/41D1Q4ReHdL._AC_SR600,600_.jpg</t>
  </si>
  <si>
    <t>B0D3Q4BG54</t>
  </si>
  <si>
    <t>47</t>
  </si>
  <si>
    <t>2024-05-08</t>
  </si>
  <si>
    <t>Women's Activewear Tank Tops by Amazon Essentials</t>
  </si>
  <si>
    <t>7.05 ounces</t>
  </si>
  <si>
    <t>199.86 g</t>
  </si>
  <si>
    <t>8.27 x 6.42 x 2.72 inches</t>
  </si>
  <si>
    <t>21.01 x 16.31 x 6.91 cm</t>
  </si>
  <si>
    <t>B0D4QQ4CZY</t>
  </si>
  <si>
    <t>Size: Small | Color: Black</t>
  </si>
  <si>
    <t>Fabric type: 75% Nylon, 25% Spandex | Care instructions: Machine Wash, Tumble Dry | Origin: Imported | Closure type: Pull On</t>
  </si>
  <si>
    <t>YEOREO</t>
  </si>
  <si>
    <t>https://www.amazon.com/stores/YEOREO/page/D0186F57-88F5-43BB-9577-A57BEC074E3B?ref_=ast_bln&amp;store_ref=bl_ast_dp_brandLogo_sto</t>
  </si>
  <si>
    <t>YEOREO Women's Halter Crop Top V Neck Workout Going Out Tank Top Hazel Padded Sleeveless Backless Trendy Summer Camisole</t>
  </si>
  <si>
    <t>https://www.amazon.com/dp/B0D4QQ4CZY?psc=1</t>
  </si>
  <si>
    <t>https://m.media-amazon.com/images/I/31vN5aogLYL._AC_SR600,600_.jpg</t>
  </si>
  <si>
    <t>B0D4QTS421</t>
  </si>
  <si>
    <t>46</t>
  </si>
  <si>
    <t>2024-05-21</t>
  </si>
  <si>
    <t xml:space="preserve">公司名称：Guangzhoushi Baiyunqu Liangyingyiyi Fuzhuang Chang
办公地址：
棠景街棠溪祥岗后二街7号
二楼
广州市
白云区
广东省
510000
CN
</t>
  </si>
  <si>
    <t>https://www.amazon.com/gp/help/seller/at-a-glance.html/ref=dp_merchant_link?seller=AAQSFT3KOH2D5</t>
  </si>
  <si>
    <t>8 x 8 x 1.2 inches</t>
  </si>
  <si>
    <t>20.32 x 20.32 x 3.05 cm</t>
  </si>
  <si>
    <t>B08H1Z695F</t>
  </si>
  <si>
    <t>Size: X-Large | Color: Black/Light Gray/White/Wine</t>
  </si>
  <si>
    <t>Fabric type: 70% polyester and 30% rayon | Care instructions: Dry Clean Only | Origin: Imported | Closure type: Pull On | Country of Origin: China</t>
  </si>
  <si>
    <t>Cosy Pyro</t>
  </si>
  <si>
    <t>https://www.amazon.com/stores/CosyPyro/page/26123B7D-2A77-4663-BF4F-F66FAE63A93C?ref_=ast_bln&amp;store_ref=bl_ast_dp_brandLogo_sto</t>
  </si>
  <si>
    <t>Cosy Pyro Workout Tank Tops for Women Lightweight Running Tanks Basic Gym Tops Sleeveless Athletic Yoga Shirts-4 Pack</t>
  </si>
  <si>
    <t>https://www.amazon.com/dp/B08H1Z695F?psc=1</t>
  </si>
  <si>
    <t>https://m.media-amazon.com/images/I/413+V5fKJTL._AC_SR600,600_.jpg</t>
  </si>
  <si>
    <t>B088ZHBXNK</t>
  </si>
  <si>
    <t>59</t>
  </si>
  <si>
    <t>7%</t>
  </si>
  <si>
    <t>2021-05-20</t>
  </si>
  <si>
    <t xml:space="preserve">公司名称：yi wu shi fu yu dian zi shang wu you xian gong si
办公地址：
街道诚信二区
义乌市
福田
浙江省
322000
CN
</t>
  </si>
  <si>
    <t>https://www.amazon.com/gp/help/seller/at-a-glance.html/ref=dp_merchant_link?seller=A6ZS2FQICRIT</t>
  </si>
  <si>
    <t>11.85 Ounces</t>
  </si>
  <si>
    <t>335.94 g</t>
  </si>
  <si>
    <t>14.25 x 11.55 x 1.2 inches</t>
  </si>
  <si>
    <t>36.20 x 29.34 x 3.05 cm</t>
  </si>
  <si>
    <t>B07C2TFFV2</t>
  </si>
  <si>
    <t>ICTIVE Workout Tank Tops for Women Sleeveless Yoga Tops for Women Mesh Racerback Tank Tops Muscle Tank</t>
  </si>
  <si>
    <t>https://www.amazon.com/dp/B07C2TFFV2?psc=1</t>
  </si>
  <si>
    <t>https://m.media-amazon.com/images/I/41QBjoqzAML._AC_SR600,600_.jpg</t>
  </si>
  <si>
    <t>B07C2QPRRB</t>
  </si>
  <si>
    <t>51
866</t>
  </si>
  <si>
    <t>2018-04-09</t>
  </si>
  <si>
    <t>B0DGL61HW7</t>
  </si>
  <si>
    <t>Size: Medium | Color: Hot Fudge Brown</t>
  </si>
  <si>
    <t>Fabric type: Butterluxe Fabric: 81% Polyamide, 19% Lycra | Care instructions: Machine Wash | Origin: Imported | Neck style: Scoop Neck | Country of Origin: China</t>
  </si>
  <si>
    <t>CRZ YOGA Butterluxe Workout Tank Tops for Women U Neck Padded Crop Tops Athletic Camisole Tops with Built in Bra</t>
  </si>
  <si>
    <t>https://www.amazon.com/dp/B0DGL61HW7?psc=1</t>
  </si>
  <si>
    <t>https://m.media-amazon.com/images/I/31eZeUcOMwL._AC_SR600,600_.jpg</t>
  </si>
  <si>
    <t>B0CV3LPYTW</t>
  </si>
  <si>
    <t>52</t>
  </si>
  <si>
    <t>2024-04-10</t>
  </si>
  <si>
    <t>5.26 ounces</t>
  </si>
  <si>
    <t>149.12 g</t>
  </si>
  <si>
    <t>14.53 x 7.52 x 1.73 inches</t>
  </si>
  <si>
    <t>36.91 x 19.10 x 4.39 cm</t>
  </si>
  <si>
    <t>B07QQY7FVQ</t>
  </si>
  <si>
    <t>Size: Medium | Color: Mauve Orchid</t>
  </si>
  <si>
    <t>icyzone Women's Open Back Workout Athletic Yoga Tank Tops with Built in Bra</t>
  </si>
  <si>
    <t>https://www.amazon.com/dp/B07QQY7FVQ?psc=1</t>
  </si>
  <si>
    <t>https://m.media-amazon.com/images/I/41zp2bQPwVL._AC_SR600,600_.jpg</t>
  </si>
  <si>
    <t>B01LXJ90ZE</t>
  </si>
  <si>
    <t>56
4015</t>
  </si>
  <si>
    <t>2016-09-15</t>
  </si>
  <si>
    <t>B074Z7C9FV</t>
  </si>
  <si>
    <t>Fabric type: 95% Rayon, 5% Spandex | Care instructions: Hand Wash Only | Origin: Imported | Country of Origin: China</t>
  </si>
  <si>
    <t>Bestisun</t>
  </si>
  <si>
    <t>https://www.amazon.com/stores/Bestisun/page/B9E60706-212A-4D26-9B9D-2808CE81D2FC?ref_=ast_bln&amp;store_ref=bl_ast_dp_brandLogo_sto</t>
  </si>
  <si>
    <t>Bestisun Workout Tops Open Back Shirts Gym Workout Clothes Tie Back Musle Tank for Women</t>
  </si>
  <si>
    <t>https://www.amazon.com/dp/B074Z7C9FV?psc=1</t>
  </si>
  <si>
    <t>https://m.media-amazon.com/images/I/41zbZAdnfYL._AC_SR600,600_.jpg</t>
  </si>
  <si>
    <t>B074ZBVSTY</t>
  </si>
  <si>
    <t>61
3114</t>
  </si>
  <si>
    <t>2017-08-20</t>
  </si>
  <si>
    <t xml:space="preserve">公司名称：Shenzhen Baisitong Technology Co., Ltd.
办公地址：
冠科泊樾湾3栋0803号
东莞市
虎门镇
广东省
523900
CN
</t>
  </si>
  <si>
    <t>https://www.amazon.com/gp/help/seller/at-a-glance.html/ref=dp_merchant_link?seller=ARIK0ZVGOK8ND</t>
  </si>
  <si>
    <t>bestisun open back workout tops for women</t>
  </si>
  <si>
    <t>9 x 4 x 0.3 inches</t>
  </si>
  <si>
    <t>22.86 x 10.16 x 0.76 cm</t>
  </si>
  <si>
    <t>B0C1HQFPMG</t>
  </si>
  <si>
    <t>Size: Medium | Special Size: Standard | Color: Set 9</t>
  </si>
  <si>
    <t>Real Essentials 5 Pack: Women's Dry Fit Crop Summer Tank Top - Gym Yoga Workout Sports Tee (Available in Plus Size)</t>
  </si>
  <si>
    <t>https://www.amazon.com/dp/B0C1HQFPMG?psc=1</t>
  </si>
  <si>
    <t>https://images-na.ssl-images-amazon.com/images/I/81nBNKFWYfL._AC_US600_.jpg</t>
  </si>
  <si>
    <t>B0C4RYHGJW</t>
  </si>
  <si>
    <t>55
1766</t>
  </si>
  <si>
    <t>2023-05-08</t>
  </si>
  <si>
    <t>13.44 ounces</t>
  </si>
  <si>
    <t>381.02 g</t>
  </si>
  <si>
    <t>10.24 x 9.33 x 1.93 inches</t>
  </si>
  <si>
    <t>26.01 x 23.70 x 4.90 cm</t>
  </si>
  <si>
    <t>B083QVQJPM</t>
  </si>
  <si>
    <t>Size: Large | Color: Black/Grey/White/Army Green</t>
  </si>
  <si>
    <t>Fabric type: 95% Modal, 5% Spandex | Care instructions: Machine Wash | Origin: Imported | Closure type: Closure | Country of Origin: China</t>
  </si>
  <si>
    <t>Star Vibe</t>
  </si>
  <si>
    <t>https://www.amazon.com/stores/StarVibe/page/E1A8001C-F49C-49D2-BFDC-90FE31F4C5D2?ref_=ast_bln&amp;store_ref=bl_ast_dp_brandLogo_sto</t>
  </si>
  <si>
    <t>Star Vibe Racerback Workout Tank Tops for Women Basic Athletic Tanks Yoga Shirt Sleeveless Exercise Tops 4 Pack</t>
  </si>
  <si>
    <t>https://www.amazon.com/dp/B083QVQJPM?psc=1</t>
  </si>
  <si>
    <t>https://m.media-amazon.com/images/I/41wsbziQXEL._AC_SR600,600_.jpg</t>
  </si>
  <si>
    <t>B0D4876ZRT</t>
  </si>
  <si>
    <t>50
1893</t>
  </si>
  <si>
    <t>jin hua si yue dian zi shang wu you xian gong si</t>
  </si>
  <si>
    <t xml:space="preserve">公司名称：jin hua si yue dian zi shang wu you xian gong si
办公地址：
金港大道2011号1号楼西4层2号
金华市
金东区
浙江省
321000
CN
</t>
  </si>
  <si>
    <t>https://www.amazon.com/gp/help/seller/at-a-glance.html/ref=dp_merchant_link?seller=AX00NMSL0P3ZM</t>
  </si>
  <si>
    <t>11.68 ounces</t>
  </si>
  <si>
    <t>331.12 g</t>
  </si>
  <si>
    <t>14.68 x 9.57 x 0.83 inches</t>
  </si>
  <si>
    <t>37.29 x 24.31 x 2.11 cm</t>
  </si>
  <si>
    <t>B07FGDYRSP</t>
  </si>
  <si>
    <t>Size: Large | Color: Black/Denim</t>
  </si>
  <si>
    <t>Fabric type: 75% Polyester, 22% Viscose, 3% Elastane | Care instructions: Machine Wash | Origin: Imported | Closure type: Pull On | Country of Origin: China</t>
  </si>
  <si>
    <t>icyzone Women's Racerback Workout Athletic Running Tank Tops Loose Fit (Pack of 2)</t>
  </si>
  <si>
    <t>https://www.amazon.com/dp/B07FGDYRSP?psc=1</t>
  </si>
  <si>
    <t>https://m.media-amazon.com/images/I/41kNz4t0BqL._AC_SR600,600_.jpg</t>
  </si>
  <si>
    <t>B07DW4CQ2F</t>
  </si>
  <si>
    <t>57</t>
  </si>
  <si>
    <t>2018-06-19</t>
  </si>
  <si>
    <t>6.7 Ounces</t>
  </si>
  <si>
    <t>189.94 g</t>
  </si>
  <si>
    <t>B0C4NBQW9Y</t>
  </si>
  <si>
    <t>Size: Medium | Color: 1# Red</t>
  </si>
  <si>
    <t>Fabric type: 90% Nylon, 10% Elastane | Origin: Imported | Closure type: Pull On | Neck style: Scoop Neck | Country of Origin: China</t>
  </si>
  <si>
    <t>MathCat Workout Tops for Women Seamless Basic Sleeveless Muscle Tank Tops Racerback Athletic Yoga Running Daily Shirts</t>
  </si>
  <si>
    <t>https://www.amazon.com/dp/B0C4NBQW9Y?psc=1</t>
  </si>
  <si>
    <t>https://m.media-amazon.com/images/I/41GqmQm2hhL._AC_SR600,600_.jpg</t>
  </si>
  <si>
    <t>B09TW88NL1</t>
  </si>
  <si>
    <t>58
2386</t>
  </si>
  <si>
    <t>2022-03-03</t>
  </si>
  <si>
    <t>B0C12T5LM4</t>
  </si>
  <si>
    <t>Size: X-Large | Color: (001) Black / / White</t>
  </si>
  <si>
    <t>Fabric type: 100% Polyester | Care instructions: Machine Wash | Origin: Imported | Sleeve type: Sleeveless | Country of Origin: Mexico</t>
  </si>
  <si>
    <t>Under Armour Women's Tech Tank Top</t>
  </si>
  <si>
    <t>https://www.amazon.com/dp/B0C12T5LM4?psc=1</t>
  </si>
  <si>
    <t>https://m.media-amazon.com/images/I/316j9bv-2GL._AC_SR600,600_.jpg</t>
  </si>
  <si>
    <t>B0D9199BYS</t>
  </si>
  <si>
    <t>53</t>
  </si>
  <si>
    <t>2024-01-08</t>
  </si>
  <si>
    <t>10.51 x 6.65 x 3.11 inches</t>
  </si>
  <si>
    <t>26.70 x 16.89 x 7.90 cm</t>
  </si>
  <si>
    <t>B09Y189Y97</t>
  </si>
  <si>
    <t>Size: 8 | Color: Black</t>
  </si>
  <si>
    <t>Fabric type: 89% Nylon, 11% Spandex | Care instructions: Machine Wash | Origin: Imported | Closure type: Pull On | Country of Origin: China</t>
  </si>
  <si>
    <t>ATTRACO Women Ribbed Workout Crop Tops with Built in Bra Yoga Racerback Tank Top Tight Fit</t>
  </si>
  <si>
    <t>https://www.amazon.com/dp/B09Y189Y97?psc=1</t>
  </si>
  <si>
    <t>https://m.media-amazon.com/images/I/31ig4cqaakL._AC_SR600,600_.jpg</t>
  </si>
  <si>
    <t>B09YQDF2YN</t>
  </si>
  <si>
    <t>49</t>
  </si>
  <si>
    <t>6%</t>
  </si>
  <si>
    <t>2022-04-14</t>
  </si>
  <si>
    <t>4.66 ounces</t>
  </si>
  <si>
    <t>132.11 g</t>
  </si>
  <si>
    <t>8.31 x 6.73 x 1.77 inches</t>
  </si>
  <si>
    <t>21.11 x 17.09 x 4.50 cm</t>
  </si>
  <si>
    <t>B0BP1FH62Q</t>
  </si>
  <si>
    <t>Size: Medium | Color: Red</t>
  </si>
  <si>
    <t>Fabric type: 88% Polyester , 12% Spandex | Care instructions: Machine Wash | Origin: Imported | Closure type: Pull On | Country of Origin: China</t>
  </si>
  <si>
    <t>JOYSPELS Ice Silk Crop Workout Tank Tops for Women Cool-Dry Sleeveless Loose Fit Yoga Shirts</t>
  </si>
  <si>
    <t>https://www.amazon.com/dp/B0BP1FH62Q?psc=1</t>
  </si>
  <si>
    <t>https://m.media-amazon.com/images/I/416N6s3I+VL._AC_SR600,600_.jpg</t>
  </si>
  <si>
    <t>B0BP1GVMQZ</t>
  </si>
  <si>
    <t>54
1809</t>
  </si>
  <si>
    <t>2023-02-19</t>
  </si>
  <si>
    <t>3.53 Ounces</t>
  </si>
  <si>
    <t>9.61 x 9.49 x 0.55 inches</t>
  </si>
  <si>
    <t>24.41 x 24.10 x 1.40 cm</t>
  </si>
  <si>
    <t>B0DBZD9PHZ</t>
  </si>
  <si>
    <t>Fabric type: 92% Viscose, 8% Elastane | Closure type: Pull On | Neck style: Scoop Neck | Sleeve type: Sleeveless</t>
  </si>
  <si>
    <t>Hragc</t>
  </si>
  <si>
    <t>https://www.amazon.com/stores/Hragc/page/466AF72A-24AF-4924-BB6C-0BC8D6DF346C?ref_=ast_bln</t>
  </si>
  <si>
    <t>Womens Halter Top Deep Scoop Neck Low Cut Racerback Tank Top for Women Workout Ribbed Knit Fitted Sleeveless Cami Shirt</t>
  </si>
  <si>
    <t>https://www.amazon.com/dp/B0DBZD9PHZ?psc=1</t>
  </si>
  <si>
    <t>https://images-na.ssl-images-amazon.com/images/I/61rEl3umwDL._AC_US600_.jpg</t>
  </si>
  <si>
    <t>B0DBZ99SVK</t>
  </si>
  <si>
    <t>70</t>
  </si>
  <si>
    <t>2024-08-01</t>
  </si>
  <si>
    <t xml:space="preserve">公司名称：Guangzhoushi Kaiya Fushi Youxiangongsi
办公地址：
棠乐路7号
2504房
广州市
白云区
广东省
510410
CN
</t>
  </si>
  <si>
    <t>https://www.amazon.com/gp/help/seller/at-a-glance.html/ref=dp_merchant_link?seller=AFMBZRUDFS19D</t>
  </si>
  <si>
    <t>9.53 x 7.44 x 0.98 inches</t>
  </si>
  <si>
    <t>24.21 x 18.90 x 2.49 cm</t>
  </si>
  <si>
    <t>B0BYZP52VH</t>
  </si>
  <si>
    <t>MathCat Workout Tank Tops for Women Sleeveless Gym Tops Seamless Racerback Athletic Yoga Shirts</t>
  </si>
  <si>
    <t>https://www.amazon.com/dp/B0BYZP52VH?psc=1</t>
  </si>
  <si>
    <t>https://m.media-amazon.com/images/I/31Fh+DaKKEL._AC_SR600,600_.jpg</t>
  </si>
  <si>
    <t>B0BYZNL97W</t>
  </si>
  <si>
    <t>71
2255</t>
  </si>
  <si>
    <t>2023-02-04</t>
  </si>
  <si>
    <t>10.94 x 8.82 x 0.75 inches</t>
  </si>
  <si>
    <t>27.79 x 22.40 x 1.91 cm</t>
  </si>
  <si>
    <t>B0B9T24MSK</t>
  </si>
  <si>
    <t>Size: 10 | Color: Black</t>
  </si>
  <si>
    <t>sphinx cat Ribbed Workout Short Racerback Tank Tops for Women with Built in Bra</t>
  </si>
  <si>
    <t>https://www.amazon.com/dp/B0B9T24MSK?psc=1</t>
  </si>
  <si>
    <t>https://m.media-amazon.com/images/I/31vTldklhXL._AC_SR600,600_.jpg</t>
  </si>
  <si>
    <t>B09PT8ZRS3</t>
  </si>
  <si>
    <t>67
587</t>
  </si>
  <si>
    <t>8%</t>
  </si>
  <si>
    <t>2022-01-05</t>
  </si>
  <si>
    <t>athletic tank too</t>
  </si>
  <si>
    <t>14.65 x 8.74 x 1.77 inches</t>
  </si>
  <si>
    <t>37.21 x 22.20 x 4.50 cm</t>
  </si>
  <si>
    <t>B0D6YRL44H</t>
  </si>
  <si>
    <t>Fabric type: 95% Viscose,5% Spandex | Care instructions: Machine Wash | Origin: Imported | Closure type: Pull On | Country of Origin: China</t>
  </si>
  <si>
    <t>Jar of Love</t>
  </si>
  <si>
    <t>https://www.amazon.com/stores/JarofLove/page/4640E5A7-34B3-4E5C-81B1-133AB5A40ABD?ref_=ast_bln&amp;store_ref=bl_ast_dp_brandLogo_sto</t>
  </si>
  <si>
    <t>Jar of Love Workout Tank Tops V Neck Racerback Tank Top for Women with Built in Bra Cotton Ribbed Tank Fitted Basic Cami Tops</t>
  </si>
  <si>
    <t>https://www.amazon.com/dp/B0D6YRL44H?psc=1</t>
  </si>
  <si>
    <t>https://m.media-amazon.com/images/I/41IST2BREXL._AC_SR600,600_.jpg</t>
  </si>
  <si>
    <t>B0DBL8NBDL</t>
  </si>
  <si>
    <t>Women's Activewear Tank Tops
Women's Cycling Clothing</t>
  </si>
  <si>
    <t>62
177</t>
  </si>
  <si>
    <t>2024-06-05</t>
  </si>
  <si>
    <t>zhuoer-US</t>
  </si>
  <si>
    <t xml:space="preserve">公司名称：WANG ZHUOTING
办公地址：
NO 001124, Room 206, 6# Building
NO1 Dongke Road, Dongcheng Street
Dongguan
Guangdong
523900
CN
</t>
  </si>
  <si>
    <t>https://www.amazon.com/gp/help/seller/at-a-glance.html/ref=dp_merchant_link?seller=AAQ3G1ZNTCFFU</t>
  </si>
  <si>
    <t>13.39 x 11.02 x 0.79 inches</t>
  </si>
  <si>
    <t>34.01 x 27.99 x 2.01 cm</t>
  </si>
  <si>
    <t>B0CTDDN74H</t>
  </si>
  <si>
    <t>Size: X-Large | Color: Black</t>
  </si>
  <si>
    <t>Fabric type: 88% Polyester, 12% Spandex | Care instructions: Machine Wash on Gentle Cycle, Tumble Dry on Low Heat | Origin: Imported | Closure type: Pull On</t>
  </si>
  <si>
    <t>Hiwzffy</t>
  </si>
  <si>
    <t>https://www.amazon.com/stores/Hiwzffy/page/0E999CED-1253-446A-99A2-E1F89E8109CB?ref_=ast_bln</t>
  </si>
  <si>
    <t>Workout Tank Tops for Women Racerback Tops Sleeveless Running Shirts Loose Fit Athletic Gym Quick Dry Exercise</t>
  </si>
  <si>
    <t>https://www.amazon.com/dp/B0CTDDN74H?psc=1</t>
  </si>
  <si>
    <t>https://m.media-amazon.com/images/I/31+sN0SWe7L._AC_SR600,600_.jpg</t>
  </si>
  <si>
    <t>B0CTCZTYGV</t>
  </si>
  <si>
    <t>68
2126</t>
  </si>
  <si>
    <t>2024-01-25</t>
  </si>
  <si>
    <t xml:space="preserve">公司名称：xiamenlemengdigongyinglianyouxiangongsi
办公地址：
集美区
滨水中二里20号2604室
厦门市
福建
361000
CN
</t>
  </si>
  <si>
    <t>https://www.amazon.com/gp/help/seller/at-a-glance.html/ref=dp_merchant_link?seller=A1CUN78WUCCP7Z</t>
  </si>
  <si>
    <t>12.01 x 10.55 x 0.47 inches</t>
  </si>
  <si>
    <t>30.51 x 26.80 x 1.19 cm</t>
  </si>
  <si>
    <t>B07R2JFNGV</t>
  </si>
  <si>
    <t>Bestisun Womens Workout Yoga Tops Long Tank Tops Loose fit Racerback Tank Tops for Women</t>
  </si>
  <si>
    <t>https://www.amazon.com/dp/B07R2JFNGV?psc=1</t>
  </si>
  <si>
    <t>https://m.media-amazon.com/images/I/31piq2TBefL._AC_SR600,600_.jpg</t>
  </si>
  <si>
    <t>B07QZD83GP</t>
  </si>
  <si>
    <t>64</t>
  </si>
  <si>
    <t>2017-08-13</t>
  </si>
  <si>
    <t>9 x 4 x 0.4 inches</t>
  </si>
  <si>
    <t>22.86 x 10.16 x 1.02 cm</t>
  </si>
  <si>
    <t>B0BW8HC4VS</t>
  </si>
  <si>
    <t>Fabric type: 93% Modal,7% Spandex. | Care instructions: Machine Wash | Origin: Imported | Closure type: Button</t>
  </si>
  <si>
    <t>LASLULU</t>
  </si>
  <si>
    <t>https://www.amazon.com/stores/LASLULU/page/5CF9E229-4A56-44CC-A695-13A36C59741A?ref_=ast_bln&amp;store_ref=bl_ast_dp_brandLogo_sto</t>
  </si>
  <si>
    <t>LASLULU Womens Crop Tops Sleeveless Workout Tops Halter Neck Flowy Athletic Shirts Cropped Tank Tops Muscle Tank</t>
  </si>
  <si>
    <t>https://www.amazon.com/dp/B0BW8HC4VS?psc=1</t>
  </si>
  <si>
    <t>https://images-na.ssl-images-amazon.com/images/I/61o+I-kIC+L._AC_US600_.jpg</t>
  </si>
  <si>
    <t>B0BW8F34FN</t>
  </si>
  <si>
    <t>66
1016</t>
  </si>
  <si>
    <t xml:space="preserve">公司名称：Shenzhen MoTuo Trading Co., Ltd.
办公地址：
桃源街道塘朗社区塘益路塘朗村112号302
深圳市
南山区
广东省
518000
CN
</t>
  </si>
  <si>
    <t>https://www.amazon.com/gp/help/seller/at-a-glance.html/ref=dp_merchant_link?seller=AZGV1IEN6OI6N</t>
  </si>
  <si>
    <t>laslulu womens crop tops sleeveless workout tops h</t>
  </si>
  <si>
    <t>10.47 x 7.48 x 0.94 inches</t>
  </si>
  <si>
    <t>26.59 x 19.00 x 2.39 cm</t>
  </si>
  <si>
    <t>B0CP6SXS1T</t>
  </si>
  <si>
    <t>Size: Small | Color: Black,pea Green,beige</t>
  </si>
  <si>
    <t>Fabric type: 90%Nylon, 10% Spandex | Care instructions: Machine Wash | Origin: Imported | Closure type: Pull-On</t>
  </si>
  <si>
    <t>OQQ Women's 3 Piece Tank Tops Strappy Sleeveless Square Neck Stretch Tee Shirts Crop Camis</t>
  </si>
  <si>
    <t>https://www.amazon.com/dp/B0CP6SXS1T?psc=1</t>
  </si>
  <si>
    <t>https://m.media-amazon.com/images/I/31AgD0NoW+L._AC_SR600,600_.jpg</t>
  </si>
  <si>
    <t>B0CP78PRK2</t>
  </si>
  <si>
    <t>77
300</t>
  </si>
  <si>
    <t>9.59 ounces</t>
  </si>
  <si>
    <t>271.87 g</t>
  </si>
  <si>
    <t>13.86 x 9.88 x 1.77 inches</t>
  </si>
  <si>
    <t>35.20 x 25.10 x 4.50 cm</t>
  </si>
  <si>
    <t>B0D1DKS951</t>
  </si>
  <si>
    <t>Size: X-Large | Color: Navy/Purple/Maroon/Baby Blue/Neon Yellow</t>
  </si>
  <si>
    <t>Fabric type: 90% Polyester, 10% Spandex | Origin: Designed in USA, Imported | Closure type: Pull On | Neck style: Crew Neck</t>
  </si>
  <si>
    <t>Liberty Pro</t>
  </si>
  <si>
    <t>https://www.amazon.com/stores/LibertyBrandsUS/page/86B8F426-1D1E-4E88-9059-DDB4DF1E042E?ref_=ast_bln</t>
  </si>
  <si>
    <t>5 Pack Wide Straps Womens Workout Tank Tops, Athletic Sleeveless Shirts for Women, Ladies Exercise Tops for Yoga Tennis</t>
  </si>
  <si>
    <t>https://www.amazon.com/dp/B0D1DKS951?psc=1</t>
  </si>
  <si>
    <t>https://m.media-amazon.com/images/I/41LCmbYvW-L._AC_SR600,600_.jpg</t>
  </si>
  <si>
    <t>B0C45219G2</t>
  </si>
  <si>
    <t>72
2013</t>
  </si>
  <si>
    <t>2023-05-02</t>
  </si>
  <si>
    <t>Liberty Brands US</t>
  </si>
  <si>
    <t xml:space="preserve">公司名称：World Idea Corp
办公地址：
8 Fernwood Road
Florham Park
NJ
07932
US
</t>
  </si>
  <si>
    <t>https://www.amazon.com/gp/help/seller/at-a-glance.html/ref=dp_merchant_link?seller=A1E4Y5YJSDRM31</t>
  </si>
  <si>
    <t>1 Pounds</t>
  </si>
  <si>
    <t>453.59 g</t>
  </si>
  <si>
    <t>12 x 10 x 1 inches</t>
  </si>
  <si>
    <t>30.48 x 25.40 x 2.54 cm</t>
  </si>
  <si>
    <t>B07YCD7JLF</t>
  </si>
  <si>
    <t>Size: Medium | Color: D-black</t>
  </si>
  <si>
    <t>Fabric type: 88% Nylon, 12% Spandex | Care instructions: Hand Wash Only | Origin: Imported | Closure type: Pull On | Country of Origin: China</t>
  </si>
  <si>
    <t>RUNNING GIRL</t>
  </si>
  <si>
    <t>https://www.amazon.com/stores/RUNNINGGIRL/page/B7ACC67E-2539-43EF-98B5-E77ACC4F1B02?ref_=ast_bln&amp;store_ref=bl_ast_dp_brandLogo_sto</t>
  </si>
  <si>
    <t>RUNNING GIRL Yoga Tank Tops for Women Built in Shelf Bra B/C Cups Strappy Back Activewear Workout Compression Tops</t>
  </si>
  <si>
    <t>https://www.amazon.com/dp/B07YCD7JLF?psc=1</t>
  </si>
  <si>
    <t>https://m.media-amazon.com/images/I/419uWYA2FSL._AC_SR600,600_.jpg</t>
  </si>
  <si>
    <t>B07QCSDVYS</t>
  </si>
  <si>
    <t>81
3208</t>
  </si>
  <si>
    <t>2019-04-09</t>
  </si>
  <si>
    <t xml:space="preserve">公司名称：Yiwu Rocky Apparel Co.,LTD
办公地址：
江东街道新光北路18号5号4楼
金华市
义乌
浙江
322000
CN
</t>
  </si>
  <si>
    <t>https://www.amazon.com/gp/help/seller/at-a-glance.html/ref=dp_merchant_link?seller=A175AG80UVDQ2Q</t>
  </si>
  <si>
    <t>running girl tank with built in bra</t>
  </si>
  <si>
    <t>13.78 x 8.58 x 1.81 inches</t>
  </si>
  <si>
    <t>35.00 x 21.79 x 4.60 cm</t>
  </si>
  <si>
    <t>B0C44F1WS2</t>
  </si>
  <si>
    <t>Size: Medium | Color: Heather Baby Blue/Lime Yellow/Purple/Red/Charcoal</t>
  </si>
  <si>
    <t>Fabric type: 90% Polyester, 10% Spandex | Care instructions: Machine wash cold, tumble dry low, low iron if needed | Origin: Designed in USA, Imported | Closure type: Pull On</t>
  </si>
  <si>
    <t>Liberty Imports</t>
  </si>
  <si>
    <t>https://www.amazon.com/stores/LibertyBrandsUS/page/86B8F426-1D1E-4E88-9059-DDB4DF1E042E?ref_=ast_bln&amp;store_ref=bl_ast_dp_brandLogo_sto</t>
  </si>
  <si>
    <t>5 Pack Women's Workout Tops, Athletic Racerback Tank Tops for Women, Mesh Sleeveless Shirts Yoga for Gym Running</t>
  </si>
  <si>
    <t>https://www.amazon.com/dp/B0C44F1WS2?psc=1</t>
  </si>
  <si>
    <t>https://images-na.ssl-images-amazon.com/images/I/813qJr9yaOL._AC_US600_.jpg</t>
  </si>
  <si>
    <t>B09K4J9BXH</t>
  </si>
  <si>
    <t>63
969</t>
  </si>
  <si>
    <t>2020-06-06</t>
  </si>
  <si>
    <t>1.4 Pounds</t>
  </si>
  <si>
    <t>635.03 g</t>
  </si>
  <si>
    <t>B0CLD3B3DM</t>
  </si>
  <si>
    <t>Size: X-Large | Color: A-black</t>
  </si>
  <si>
    <t>Fabric type: 93.3% Polyester, 6.7% Spandex | Care instructions: Machine Wash | Origin: Imported | Fur description: This athletic tank tops for women has a really nice drape and the armholes are perfect, no big gap. Lengthened hem and looser shape create a more comfortable fit and versatile effect. The lightweight material is very easy to carry, if you want to make time for exercise in your daily routine, you can carry in the bag and change at any time.</t>
  </si>
  <si>
    <t>BALEAF Women's Workout Tank Top Racerback Tops Sleeveless Running Shirts Loose Fit Yoga Athletic Gym Sports</t>
  </si>
  <si>
    <t>https://www.amazon.com/dp/B0CLD3B3DM?psc=1</t>
  </si>
  <si>
    <t>https://m.media-amazon.com/images/I/319Mc5BCpZL._AC_SR600,600_.jpg</t>
  </si>
  <si>
    <t>B0CLD4M6ZK</t>
  </si>
  <si>
    <t>73
1141</t>
  </si>
  <si>
    <t>2023-10-18</t>
  </si>
  <si>
    <t>3.94 x 1.97 x 1.97 inches</t>
  </si>
  <si>
    <t>10.01 x 5.00 x 5.00 cm</t>
  </si>
  <si>
    <t>B0BTN88Y7R</t>
  </si>
  <si>
    <t>CRZ YOGA Butterluxe Womens Racerback Tank Top High Neck Workout Tops Athletic Sleeveless Top Camisole Gym Tanks</t>
  </si>
  <si>
    <t>https://www.amazon.com/dp/B0BTN88Y7R?psc=1</t>
  </si>
  <si>
    <t>https://images-na.ssl-images-amazon.com/images/I/71QBkIl4DHL._AC_US600_.jpg</t>
  </si>
  <si>
    <t>B0BTN6VM3W</t>
  </si>
  <si>
    <t>65</t>
  </si>
  <si>
    <t>2023-02-01</t>
  </si>
  <si>
    <t>0.24 pounds</t>
  </si>
  <si>
    <t>6.85 x 6.34 x 1.38 inches</t>
  </si>
  <si>
    <t>17.40 x 16.10 x 3.51 cm</t>
  </si>
  <si>
    <t>B0CVV57XYC</t>
  </si>
  <si>
    <t>Size: Small | Color: Green</t>
  </si>
  <si>
    <t>Fabric type: 90% Polyester, 10% Spandex | Care instructions: Machine Wash | Closure type: Pull On | Neck style: Crew Neck</t>
  </si>
  <si>
    <t>YYV Women's Workout Tank Tops Lightweight Sleeveless Workout Tops Loose Fit Yoga Athletic Running Shirts</t>
  </si>
  <si>
    <t>https://www.amazon.com/dp/B0CVV57XYC?psc=1</t>
  </si>
  <si>
    <t>https://m.media-amazon.com/images/I/41Yov4doBhL._AC_SR600,600_.jpg</t>
  </si>
  <si>
    <t>B0CVV2K9CS</t>
  </si>
  <si>
    <t>79
2507</t>
  </si>
  <si>
    <t>2024-02-16</t>
  </si>
  <si>
    <t>B0CTCPNWW8</t>
  </si>
  <si>
    <t>Size: X-Large | Color: White</t>
  </si>
  <si>
    <t>Fabric type: 92%Rayon 8%Spandex | Care instructions: Hand Wash Only | Origin: Imported | Closure type: Pull On | Country of Origin: China</t>
  </si>
  <si>
    <t>SVALIY Workout Tops for Women Racerback Tank Tops Yoga Gym Ribbed Sleeveless Shirts Clothes</t>
  </si>
  <si>
    <t>https://www.amazon.com/dp/B0CTCPNWW8?psc=1</t>
  </si>
  <si>
    <t>https://m.media-amazon.com/images/I/419WR3mxCDL._AC_SR600,600_.jpg</t>
  </si>
  <si>
    <t>B0CTCQSJR2</t>
  </si>
  <si>
    <t>87</t>
  </si>
  <si>
    <t>2024-02-15</t>
  </si>
  <si>
    <t>10.28 x 8.11 x 0.71 inches</t>
  </si>
  <si>
    <t>26.11 x 20.60 x 1.80 cm</t>
  </si>
  <si>
    <t>B0CYGT3C65</t>
  </si>
  <si>
    <t>Fabric type: 47.5% Cotton, 47.5% Rayon, 5% Spandex | Care instructions: Machine Wash | Origin: Imported | Closure type: Pull On | Country of Origin: China</t>
  </si>
  <si>
    <t>THE GYM PEOPLE Women's Workout Tank Tops Loose Fit Sleeveless Breathable Yoga Shirts with Side Slits</t>
  </si>
  <si>
    <t>https://www.amazon.com/dp/B0CYGT3C65?psc=1</t>
  </si>
  <si>
    <t>https://images-na.ssl-images-amazon.com/images/I/71y5uo6f-cL._AC_US600_.jpg</t>
  </si>
  <si>
    <t>B0CYGQ7WP1</t>
  </si>
  <si>
    <t>82</t>
  </si>
  <si>
    <t>2024-03-18</t>
  </si>
  <si>
    <t>B08K3SZQGL</t>
  </si>
  <si>
    <t>Fabric type: 86% Nylon, 14% Lycra Spandex | Care instructions: Machine Wash | Origin: Imported</t>
  </si>
  <si>
    <t>Tommie Copper</t>
  </si>
  <si>
    <t>https://www.amazon.com/stores/TommieCopper/page/70DECED9-40DC-41C3-A3A2-FD4EDBBE175E?ref_=ast_bln&amp;store_ref=bl_ast_dp_brandLogo_sto</t>
  </si>
  <si>
    <t>Tommie Copper for Women Lower Back Support Tank Compression Shirt for Women for Lower Back Pain Relief</t>
  </si>
  <si>
    <t>https://www.amazon.com/dp/B08K3SZQGL?psc=1</t>
  </si>
  <si>
    <t>https://m.media-amazon.com/images/I/41vROWA2OTL._AC_SR600,600_.jpg</t>
  </si>
  <si>
    <t>B08MWYR3GP</t>
  </si>
  <si>
    <t>74</t>
  </si>
  <si>
    <t>2020-09-24</t>
  </si>
  <si>
    <t>Tommie Copper Store</t>
  </si>
  <si>
    <t xml:space="preserve">公司名称：BBDB Industries LLC
办公地址：
147-16 NEPONSIT AVENUE
ROCKAWAY PARK
NY
11694
US
</t>
  </si>
  <si>
    <t>https://www.amazon.com/gp/help/seller/at-a-glance.html/ref=dp_merchant_link?seller=AVZRFC68CM6GS</t>
  </si>
  <si>
    <t>5.93 Ounces</t>
  </si>
  <si>
    <t>12.24 x 9.53 x 0.71 inches</t>
  </si>
  <si>
    <t>31.09 x 24.21 x 1.80 cm</t>
  </si>
  <si>
    <t>B086N35814</t>
  </si>
  <si>
    <t>Fabric type: 95% Polyester, 5% Spandex | Care instructions: Hand Wash Only | Origin: Imported | Closure type: Pull On | Country of Origin: China</t>
  </si>
  <si>
    <t>ICTIVE Yoga Tops for Women Loose fit Workout Tank Tops for Women Backless Sleeveless Keyhole Open Back Muscle Tank</t>
  </si>
  <si>
    <t>https://www.amazon.com/dp/B086N35814?psc=1</t>
  </si>
  <si>
    <t>https://m.media-amazon.com/images/I/31pAEgZWcEL._AC_SR600,600_.jpg</t>
  </si>
  <si>
    <t>B07572YBCZ</t>
  </si>
  <si>
    <t>75
1417</t>
  </si>
  <si>
    <t>2017-08-28</t>
  </si>
  <si>
    <t>B08QRRRDFL</t>
  </si>
  <si>
    <t>Size: Medium | Color: 1.0 Light Green</t>
  </si>
  <si>
    <t>Fabric type: √Material: Made of excellent sports fabric. Lightweight, stretchy Loose Fit, moisture-wicking, soft seamless fabric gives you better experience | Care instructions: Hand Wash, Machine Wash | Origin: √Double Straps: Yoga workout tank top with smooth spaghetti strap racerback design allows natural range of motion，easy to get on &amp; off. | Closure type: Pull On | Country of Origin: China</t>
  </si>
  <si>
    <t>Hibelle</t>
  </si>
  <si>
    <t>https://www.amazon.com/stores/FashionSoftComfy/page/F94BEF6B-74D5-4AC1-BD71-9F0F0A2A23DC?ref_=ast_bln&amp;store_ref=bl_ast_dp_brandLogo_sto</t>
  </si>
  <si>
    <t>Hibelle Women's Workout Yoga Racerback Tank Tops with Built in Shelf Bra</t>
  </si>
  <si>
    <t>https://www.amazon.com/dp/B08QRRRDFL?psc=1</t>
  </si>
  <si>
    <t>https://m.media-amazon.com/images/I/4152XHYrHDL._AC_SR600,600_.jpg</t>
  </si>
  <si>
    <t>B08QRRZ5GF</t>
  </si>
  <si>
    <t>76</t>
  </si>
  <si>
    <t>2020-12-15</t>
  </si>
  <si>
    <t xml:space="preserve">公司名称：Guangzhou Mengqianqian Clothing CO., LTD.
办公地址：
高铁岭镇九龙村二组7号
咸宁
嘉鱼县
湖北
437000
CN
</t>
  </si>
  <si>
    <t>https://www.amazon.com/gp/help/seller/at-a-glance.html/ref=dp_merchant_link?seller=A2TF1X0GE0FZU3</t>
  </si>
  <si>
    <t>10 x 8 x 0.5 inches</t>
  </si>
  <si>
    <t>25.40 x 20.32 x 1.27 cm</t>
  </si>
  <si>
    <t>B0CLGQ8LY5</t>
  </si>
  <si>
    <t>Size: Large | Color: Black Dusty-lavender Pine-green 3 Pack</t>
  </si>
  <si>
    <t>Fabric type: 80%Nylon,15%Polyester,5%Spandex | Care instructions: Machine Wash | Origin: Imported | Closure type: Pull On</t>
  </si>
  <si>
    <t>Evercute</t>
  </si>
  <si>
    <t>https://www.amazon.com/stores/BeautifulComfortableSimple/page/D495F3C2-CF99-413E-B5CA-5535D1642B73?ref_=ast_bln&amp;store_ref=bl_ast_dp_brandLogo_sto</t>
  </si>
  <si>
    <t>Evercute Women's 1/2/3 Pack Ribbed Workout Tank Tops with Built in Bra Racerback Seamless Crop Tank Tops Camisole Sport Tanks</t>
  </si>
  <si>
    <t>https://www.amazon.com/dp/B0CLGQ8LY5?psc=1</t>
  </si>
  <si>
    <t>https://images-na.ssl-images-amazon.com/images/I/81yPtmxDFbL._AC_US600_.jpg</t>
  </si>
  <si>
    <t>B0CLGQGRPH</t>
  </si>
  <si>
    <t>69
1148</t>
  </si>
  <si>
    <t>2023-10-19</t>
  </si>
  <si>
    <t>Evercute Online</t>
  </si>
  <si>
    <t xml:space="preserve">公司名称：Nanchang Yuang Jianzhugongcheng Co., Ltd.
办公地址：
青山湖大道199号
五湖国际广场 2#3# 综合楼写字楼917室
南昌市
南昌高新技术产业开发区
江西
330096
CN
</t>
  </si>
  <si>
    <t>https://www.amazon.com/gp/help/seller/at-a-glance.html/ref=dp_merchant_link?seller=AMHZIN0PH11X</t>
  </si>
  <si>
    <t>B0DD36X6TZ</t>
  </si>
  <si>
    <t>Fabric type: 92% Supima, 8% Elastane | Care instructions: Machine Wash | Origin: Imported | Neck style: Crew Neck | Country of Origin: China</t>
  </si>
  <si>
    <t>CRZ YOGA Pima Cotton Women Racerback Sleeveless Workout Tops High Neck Ruched Side Tank Top Athletic Casual Loose Shirts</t>
  </si>
  <si>
    <t>https://www.amazon.com/dp/B0DD36X6TZ?psc=1</t>
  </si>
  <si>
    <t>https://images-na.ssl-images-amazon.com/images/I/71xWuOTEWgL._AC_US600_.jpg</t>
  </si>
  <si>
    <t>B0DCVLQ71G</t>
  </si>
  <si>
    <t>84</t>
  </si>
  <si>
    <t>2024-10-07</t>
  </si>
  <si>
    <t>0.18 pounds</t>
  </si>
  <si>
    <t>81.65 g</t>
  </si>
  <si>
    <t>B0CBTSFQ7D</t>
  </si>
  <si>
    <t>Size: Medium-Large | Special Size: Waist Length | Color: Beige+coral+teal</t>
  </si>
  <si>
    <t>Fabric type: 82% Nylon, 18% Spandex | Care instructions: Separate washing is recommended. Please do not use softener! Because of the soft nature of the product, there may be a pilling if washing with other products! | Origin: Imported | Closure type: Pull On | Country of Origin: China</t>
  </si>
  <si>
    <t>ODODOS</t>
  </si>
  <si>
    <t>https://www.amazon.com/stores/ODODOS/page/4EE07D3A-483C-4E62-A43F-1E8D9A75F92A?ref_=ast_bln&amp;store_ref=bl_ast_dp_brandLogo_sto</t>
  </si>
  <si>
    <t>ODODOS 3-Pack Seamless Racerback Crop Tank for Women Ribbed Knit Soft Crop Tops</t>
  </si>
  <si>
    <t>https://www.amazon.com/dp/B0CBTSFQ7D?psc=1</t>
  </si>
  <si>
    <t>https://m.media-amazon.com/images/I/31D8XSS3G-L._AC_SR600,600_.jpg</t>
  </si>
  <si>
    <t>B0DB5KDBL6</t>
  </si>
  <si>
    <t>80</t>
  </si>
  <si>
    <t>2024-07-24</t>
  </si>
  <si>
    <t>CN(HK)</t>
  </si>
  <si>
    <t xml:space="preserve">公司名称：HK FOUR IN ONE CO., LIMITED
办公地址：
Unit 201, 2/F, Two Harbourfront, 22 Tak Fung Street
Hunghom
Kowloon
0
HK
</t>
  </si>
  <si>
    <t>https://www.amazon.com/gp/help/seller/at-a-glance.html/ref=dp_merchant_link?seller=A1HPK4MEBNYOYY</t>
  </si>
  <si>
    <t>10.16 x 8.15 x 1.22 inches</t>
  </si>
  <si>
    <t>25.81 x 20.70 x 3.10 cm</t>
  </si>
  <si>
    <t>B08CGVL5WM</t>
  </si>
  <si>
    <t>Mippo Womens Long Workout Tops Racerback Athletic Yoga Gym Tank Top Sports Tennis Shirt</t>
  </si>
  <si>
    <t>https://www.amazon.com/dp/B08CGVL5WM?psc=1</t>
  </si>
  <si>
    <t>https://images-na.ssl-images-amazon.com/images/I/51x1JTJ3d9L._AC_US600_.jpg</t>
  </si>
  <si>
    <t>B07QW5BWSH</t>
  </si>
  <si>
    <t>78
5202</t>
  </si>
  <si>
    <t>2018-07-09</t>
  </si>
  <si>
    <t>red tennis tops for women</t>
  </si>
  <si>
    <t>0.31 pounds</t>
  </si>
  <si>
    <t>140.61 g</t>
  </si>
  <si>
    <t>10 x 10 x 0.5 inches</t>
  </si>
  <si>
    <t>25.40 x 25.40 x 1.27 cm</t>
  </si>
  <si>
    <t>B07PHMYRWB</t>
  </si>
  <si>
    <t>Fabric type: 95% Modal and 5% Spandex. Hand wash or machine wash | Care instructions: Hand Wash Only | Origin: Imported | Closure type: Drawstring</t>
  </si>
  <si>
    <t>Bestisun Womens Workout Shirts Mesh Workout Tops for Women Yoga Shirts</t>
  </si>
  <si>
    <t>https://www.amazon.com/dp/B07PHMYRWB?psc=1</t>
  </si>
  <si>
    <t>https://m.media-amazon.com/images/I/41VKEGbDxTL._AC_SR600,600_.jpg</t>
  </si>
  <si>
    <t>B07PGLNLK3</t>
  </si>
  <si>
    <t>92
1860</t>
  </si>
  <si>
    <t>2019-03-05</t>
  </si>
  <si>
    <t>womens tennis tank</t>
  </si>
  <si>
    <t>B0BD3K5PD8</t>
  </si>
  <si>
    <t>CRZ YOGA Women's Butterluxe Workout Tank Tops Racerback Tank Yoga Sleeveless Top Camisole Athletic Gym Shirt</t>
  </si>
  <si>
    <t>https://www.amazon.com/dp/B0BD3K5PD8?psc=1</t>
  </si>
  <si>
    <t>https://images-na.ssl-images-amazon.com/images/I/71T3jhChn1L._AC_US600_.jpg</t>
  </si>
  <si>
    <t>B0BTCM12L3</t>
  </si>
  <si>
    <t>114</t>
  </si>
  <si>
    <t>2022-09-04</t>
  </si>
  <si>
    <t>12.05 x 10.71 x 1.73 inches</t>
  </si>
  <si>
    <t>30.61 x 27.20 x 4.39 cm</t>
  </si>
  <si>
    <t>B07QPTBNGQ</t>
  </si>
  <si>
    <t>Size: Small | Color: Sky Blue</t>
  </si>
  <si>
    <t>icyzone Women's Open Back High Neck Workout Athletic Gym Tank Tops</t>
  </si>
  <si>
    <t>https://www.amazon.com/dp/B07QPTBNGQ?psc=1</t>
  </si>
  <si>
    <t>https://m.media-amazon.com/images/I/41gzAqOq9DL._AC_SR600,600_.jpg</t>
  </si>
  <si>
    <t>B07G82DC3B</t>
  </si>
  <si>
    <t>98</t>
  </si>
  <si>
    <t>2018-08-06</t>
  </si>
  <si>
    <t>0.35 ounces</t>
  </si>
  <si>
    <t>9.92 g</t>
  </si>
  <si>
    <t>B088WLTJ64</t>
  </si>
  <si>
    <t>Fabric type: 95% Rayon, 5% Spandex | Care instructions: Machine Wash | Origin: Imported | Closure type: Pull On | Country of Origin: China</t>
  </si>
  <si>
    <t>Bestisun Womens Open Back Workout Tops Cropped Loose Fit Ribbed Yoga Tank Tops Backless Athletic Shirt</t>
  </si>
  <si>
    <t>https://www.amazon.com/dp/B088WLTJ64?psc=1</t>
  </si>
  <si>
    <t>https://m.media-amazon.com/images/I/41hoSOdJlqL._AC_SR600,600_.jpg</t>
  </si>
  <si>
    <t>B088WGWKC7</t>
  </si>
  <si>
    <t>94
6351</t>
  </si>
  <si>
    <t>2020-05-19</t>
  </si>
  <si>
    <t>3.99 Ounces</t>
  </si>
  <si>
    <t>113.11 g</t>
  </si>
  <si>
    <t>B0CMH5GM1Y</t>
  </si>
  <si>
    <t>Size: Medium-Large | Special Size: Waist Length | Color: Mushroom+taupe+charcoal</t>
  </si>
  <si>
    <t>ODODOS 3-Pack Seamless Crop Tank for Women Ribbed Soft High Neck Cropped Tops</t>
  </si>
  <si>
    <t>https://www.amazon.com/dp/B0CMH5GM1Y?psc=1</t>
  </si>
  <si>
    <t>https://m.media-amazon.com/images/I/31V8rhqybbL._AC_SR600,600_.jpg</t>
  </si>
  <si>
    <t>B0CYQB4J7R</t>
  </si>
  <si>
    <t>95</t>
  </si>
  <si>
    <t>2024-03-20</t>
  </si>
  <si>
    <t>8.15 ounces</t>
  </si>
  <si>
    <t>231.05 g</t>
  </si>
  <si>
    <t>10.16 x 7.68 x 1.69 inches</t>
  </si>
  <si>
    <t>25.81 x 19.51 x 4.29 cm</t>
  </si>
  <si>
    <t>B07MBCGHWD</t>
  </si>
  <si>
    <t>Size: X-Large | Color: 5 Pk-black/Navy/White/Grey/Royal Blue</t>
  </si>
  <si>
    <t>Fabric type: 100% Polyester | Care instructions: Machine Wash | Origin: Made in the USA or Imported | Closure type: Pull-On | Country of Origin: Bangladesh</t>
  </si>
  <si>
    <t>Sexy Basics</t>
  </si>
  <si>
    <t>https://www.amazon.com/stores/SexyBasics/page/41586B5A-7169-4159-BC2B-27D44E3974C8?ref_=ast_bln&amp;store_ref=bl_ast_dp_brandLogo_sto</t>
  </si>
  <si>
    <t>Women's 5 Pack Everyday Flowy Burnout Racer Back Active Workout Tank Tops</t>
  </si>
  <si>
    <t>https://www.amazon.com/dp/B07MBCGHWD?psc=1</t>
  </si>
  <si>
    <t>https://m.media-amazon.com/images/I/41gsDMfYI-L._AC_SR600,600_.jpg</t>
  </si>
  <si>
    <t>B07GBHW7NH</t>
  </si>
  <si>
    <t>85</t>
  </si>
  <si>
    <t>2020-05-20</t>
  </si>
  <si>
    <t>Best Brand Basics</t>
  </si>
  <si>
    <t xml:space="preserve">公司名称：Starlite Capital LLC
办公地址：
100 Matawan Road
Suite 325 #1044
Matawan
NJ
07747
US
</t>
  </si>
  <si>
    <t>https://www.amazon.com/gp/help/seller/at-a-glance.html/ref=dp_merchant_link?seller=A21SJT5YHO64UG</t>
  </si>
  <si>
    <t>yoga tops for women loose fit multi pack</t>
  </si>
  <si>
    <t>6 Ounces</t>
  </si>
  <si>
    <t>170.10 g</t>
  </si>
  <si>
    <t>8 x 6 x 1.5 inches</t>
  </si>
  <si>
    <t>20.32 x 15.24 x 3.81 cm</t>
  </si>
  <si>
    <t>B09Q2X4GKC</t>
  </si>
  <si>
    <t>LASLULU Womens Crop Tops Sleeveless Workout Tops Halter Neck Cropped Tank Tops Flowy Athletic Shirts Muscle Tank</t>
  </si>
  <si>
    <t>https://www.amazon.com/dp/B09Q2X4GKC?psc=1</t>
  </si>
  <si>
    <t>https://images-na.ssl-images-amazon.com/images/I/61TOgTxZRyL._AC_US600_.jpg</t>
  </si>
  <si>
    <t>117</t>
  </si>
  <si>
    <t>2022-01-09</t>
  </si>
  <si>
    <t>11.54 x 8.39 x 0.67 inches</t>
  </si>
  <si>
    <t>29.31 x 21.31 x 1.70 cm</t>
  </si>
  <si>
    <t>B0CPDYNZKL</t>
  </si>
  <si>
    <t>Size: Medium | Color: Green Jade</t>
  </si>
  <si>
    <t>Fabric type: Body: 100% Polyamide; Lining: 90% Polyamide, 10% Elastane | Care instructions: Machine Wash | Origin: Imported | Closure type: Pull On | Country of Origin: China</t>
  </si>
  <si>
    <t>CRZ YOGA Seamless Ribbed Womens Tank Top Racerback Camisoles with Built in Bra Padded Scoop Neck Athletic Workout Slim Tanks</t>
  </si>
  <si>
    <t>https://www.amazon.com/dp/B0CPDYNZKL?psc=1</t>
  </si>
  <si>
    <t>https://m.media-amazon.com/images/I/41FDQuBcFML._AC_SR600,600_.jpg</t>
  </si>
  <si>
    <t>B0CP9D57PZ</t>
  </si>
  <si>
    <t>103</t>
  </si>
  <si>
    <t>2024-01-29</t>
  </si>
  <si>
    <t>11.77 x 9.41 x 1.46 inches</t>
  </si>
  <si>
    <t>29.90 x 23.90 x 3.71 cm</t>
  </si>
  <si>
    <t>B08Q7JN5F4</t>
  </si>
  <si>
    <t>CADMUS</t>
  </si>
  <si>
    <t>https://www.amazon.com/stores/Cadmus/page/C6C47BA1-A38D-4DCA-88C8-58D9088E24A0?ref_=ast_bln</t>
  </si>
  <si>
    <t>CADMUS Workout Crop Tops Women Racerback Dry Fit Athletic Shirts Short Sleeve 3 Piecese</t>
  </si>
  <si>
    <t>https://www.amazon.com/dp/B08Q7JN5F4?psc=1</t>
  </si>
  <si>
    <t>https://m.media-amazon.com/images/I/31qTkqqQbCS._AC_SR600,600_.jpg</t>
  </si>
  <si>
    <t>2024-04-25</t>
  </si>
  <si>
    <t>CADMUS.</t>
  </si>
  <si>
    <t xml:space="preserve">公司名称：Shenzhen Shengwen Technology Co.,Ltd.
办公地址：
福田街道福安社区金田路3037号
金中环国际商务大厦2107D15
深圳市
福田区
广东
518109
CN
</t>
  </si>
  <si>
    <t>https://www.amazon.com/gp/help/seller/at-a-glance.html/ref=dp_merchant_link?seller=ANHWNEOH68L68</t>
  </si>
  <si>
    <t>moisture wicking crop top women</t>
  </si>
  <si>
    <t>9.91 Ounces</t>
  </si>
  <si>
    <t>280.94 g</t>
  </si>
  <si>
    <t>8.3 x 8 x 2 inches</t>
  </si>
  <si>
    <t>21.08 x 20.32 x 5.08 cm</t>
  </si>
  <si>
    <t>B0C6FGMHCT</t>
  </si>
  <si>
    <t>OQQ Women's 3 Piece Crop Tank Tops Ribbed Seamless Workout Sleeveless Shirts Racerback Crop Tops</t>
  </si>
  <si>
    <t>https://www.amazon.com/dp/B0C6FGMHCT?psc=1</t>
  </si>
  <si>
    <t>https://m.media-amazon.com/images/I/41tZtDJAY-L._AIweblab959719,T4_AC_SR38,50_.jpg?aicid=AUI-3.1</t>
  </si>
  <si>
    <t>125
731</t>
  </si>
  <si>
    <t>2023-01-07</t>
  </si>
  <si>
    <t>neutral tanks for women</t>
  </si>
  <si>
    <t>9.59 Ounces</t>
  </si>
  <si>
    <t>13.98 x 9.53 x 1.1 inches</t>
  </si>
  <si>
    <t>35.51 x 24.21 x 2.79 cm</t>
  </si>
  <si>
    <t>B08TC6CW81</t>
  </si>
  <si>
    <t>BALEAF Workout Tops for Women Crop Tank Top Quick Dry Athletic Gym Exercise Sleeveless Shirts Muscle Yoga Loose Fit</t>
  </si>
  <si>
    <t>https://www.amazon.com/dp/B08TC6CW81?psc=1</t>
  </si>
  <si>
    <t>https://images-na.ssl-images-amazon.com/images/I/61W6Xe9v8nL._AC_US600_.jpg</t>
  </si>
  <si>
    <t>2021-02-23</t>
  </si>
  <si>
    <t>B0BPHJDP27</t>
  </si>
  <si>
    <t>CRZ YOGA Womens Seamless Ribbed Racerback Tank Tops with Built in Bra - Padded Scoop Neck Slimming Athletic Long Camisole</t>
  </si>
  <si>
    <t>https://www.amazon.com/dp/B0BPHJDP27?psc=1</t>
  </si>
  <si>
    <t>https://images-na.ssl-images-amazon.com/images/I/81ymN7wtvnL._AC_US600_.jpg</t>
  </si>
  <si>
    <t>88</t>
  </si>
  <si>
    <t>2022-12-07</t>
  </si>
  <si>
    <t>black sport tank top women</t>
  </si>
  <si>
    <t>0.43 pounds</t>
  </si>
  <si>
    <t>195.04 g</t>
  </si>
  <si>
    <t>17.7 x 10.6 x 0.4 inches</t>
  </si>
  <si>
    <t>44.96 x 26.92 x 1.02 cm</t>
  </si>
  <si>
    <t>B0CTMXNKCZ</t>
  </si>
  <si>
    <t>OLCHEE Womens Ribbed Crop Tank Tops Seamless Square Neck Sleeveless Cropped Shirts 2024 Summer Trendy Top</t>
  </si>
  <si>
    <t>https://www.amazon.com/dp/B0CTMXNKCZ?psc=1</t>
  </si>
  <si>
    <t>https://images-na.ssl-images-amazon.com/images/I/71T31k6lt9L._AC_US600_.jpg</t>
  </si>
  <si>
    <t>92
1455</t>
  </si>
  <si>
    <t>2024-01-30</t>
  </si>
  <si>
    <t>0.1 pounds</t>
  </si>
  <si>
    <t>10.47 x 8.82 x 0.79 inches</t>
  </si>
  <si>
    <t>26.59 x 22.40 x 2.01 cm</t>
  </si>
  <si>
    <t>B0B3Y8GZNK</t>
  </si>
  <si>
    <t>Oalka</t>
  </si>
  <si>
    <t>https://www.amazon.com/stores/Oalka/page/D6A38ABA-9F69-4831-9A9C-55DA3AC21E1D?ref_=ast_bln&amp;store_ref=bl_ast_dp_brandLogo_sto</t>
  </si>
  <si>
    <t>Women's High Neck Crop Top Sleeveless Racer Back Basic Workout Tank Tops Shirt</t>
  </si>
  <si>
    <t>https://www.amazon.com/dp/B0B3Y8GZNK?psc=1</t>
  </si>
  <si>
    <t>https://images-na.ssl-images-amazon.com/images/I/71ZIrCGcOSL._AC_US600_.jpg</t>
  </si>
  <si>
    <t>162</t>
  </si>
  <si>
    <t>2022-06-12</t>
  </si>
  <si>
    <t xml:space="preserve">公司名称：Zhangzhoushi Ziqi Garment Weaving Co., Ltd.
办公地址：
绥安镇迎宾大道麦埔村209号
漳州市
漳浦县
福建
363200
CN
</t>
  </si>
  <si>
    <t>https://www.amazon.com/gp/help/seller/at-a-glance.html/ref=dp_merchant_link?seller=A3PS6Y91HTF7A3</t>
  </si>
  <si>
    <t>B0BLS5YDKG</t>
  </si>
  <si>
    <t>OYOANGLE</t>
  </si>
  <si>
    <t>https://www.amazon.com/stores/OYOANGLE/page/F1C7E3DD-FEE7-4C15-8821-3B4A02151751?ref_=ast_bln&amp;store_ref=bl_ast_dp_brandLogo_sto</t>
  </si>
  <si>
    <t>OYOANGLE Women's Camo Print Sleeveless Workout Shirts Exercise Running Tank Tops Active Gym Tops</t>
  </si>
  <si>
    <t>https://www.amazon.com/dp/B0BLS5YDKG?psc=1</t>
  </si>
  <si>
    <t>https://m.media-amazon.com/images/I/41LVhTOUAQL._AC_SR600,600_.jpg</t>
  </si>
  <si>
    <t>Clothing, Shoes &amp; Jewelry:Women:Clothing:Tops, Tees &amp; Blouses:Tanks &amp; Camis</t>
  </si>
  <si>
    <t>Women's Tanks &amp; Camis</t>
  </si>
  <si>
    <t>5262</t>
  </si>
  <si>
    <t>2022-12-01</t>
  </si>
  <si>
    <t>OYOANGLE ONLINE STORE</t>
  </si>
  <si>
    <t xml:space="preserve">公司名称：NION TECHNOLOGY HK CO., LIMITED
办公地址：
NO.8 WANG KWONG ROAD
FLAT/RM F 6/F MEGA CUBE
KL
Hong Kong
999077
HK
</t>
  </si>
  <si>
    <t>https://www.amazon.com/gp/help/seller/at-a-glance.html/ref=dp_merchant_link?seller=A19FFR8R0QPQHY</t>
  </si>
  <si>
    <t>14 x 10.5 x 0.5 inches</t>
  </si>
  <si>
    <t>35.56 x 26.67 x 1.27 cm</t>
  </si>
  <si>
    <t>B0D8QK8MVL</t>
  </si>
  <si>
    <t>Evercute 1/2 Pack Workout Tank Tops for Women with Built in Bra Racerback Yoga Sleeveless Top Camisole Athletic Gym Tops</t>
  </si>
  <si>
    <t>https://www.amazon.com/dp/B0D8QK8MVL?psc=1</t>
  </si>
  <si>
    <t>https://m.media-amazon.com/images/I/414aWWB7MOL._AC_SR600,600_.jpg</t>
  </si>
  <si>
    <t>115</t>
  </si>
  <si>
    <t>2024-07-02</t>
  </si>
  <si>
    <t>卖家精灵官网：https://www.sellersprite.com</t>
  </si>
  <si>
    <t>客服电话：139-8227-0926(谭先生)</t>
  </si>
  <si>
    <t>微信客服</t>
  </si>
  <si>
    <t>插件使用指南：https://www.sellersprite.com/cn/help/chrome-guide</t>
  </si>
  <si>
    <t>插件视频教程：https://www.sellersprite.com/cn/help/tour-of-sellersprite-extension</t>
  </si>
  <si>
    <t>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</si>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</sst>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 numFmtId="177" formatCode="#,##0.0"/>
    <numFmt numFmtId="178" formatCode="#,##0.00%"/>
  </numFmts>
  <fonts count="26">
    <font>
      <sz val="11"/>
      <color theme="1"/>
      <name val="宋体"/>
      <charset val="134"/>
      <scheme val="minor"/>
    </font>
    <font>
      <sz val="11"/>
      <name val="微软雅黑"/>
      <charset val="134"/>
    </font>
    <font>
      <sz val="11"/>
      <color rgb="FFFF0000"/>
      <name val="微软雅黑"/>
      <charset val="134"/>
    </font>
    <font>
      <sz val="15"/>
      <color rgb="FFFFFFFF"/>
      <name val="微软雅黑"/>
      <charset val="134"/>
    </font>
    <font>
      <sz val="11"/>
      <color rgb="FFFEFEFE"/>
      <name val="等线"/>
      <charset val="134"/>
    </font>
    <font>
      <sz val="11"/>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98A00"/>
        <bgColor rgb="FF00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30">
    <xf numFmtId="0" fontId="0" fillId="0" borderId="0" xfId="0"/>
    <xf numFmtId="0" fontId="1" fillId="0" borderId="0" xfId="0" applyFont="1"/>
    <xf numFmtId="0" fontId="2" fillId="0" borderId="0" xfId="0" applyFont="1"/>
    <xf numFmtId="0" fontId="0" fillId="0" borderId="0" xfId="0"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0" fillId="0" borderId="0" xfId="0" applyAlignment="1">
      <alignment horizontal="center" vertical="center"/>
    </xf>
    <xf numFmtId="3" fontId="0" fillId="0" borderId="0" xfId="0" applyNumberFormat="1" applyAlignment="1">
      <alignment horizontal="center" vertical="center"/>
    </xf>
    <xf numFmtId="176" fontId="0" fillId="0" borderId="0" xfId="0" applyNumberFormat="1" applyAlignment="1">
      <alignment horizontal="center" vertical="center"/>
    </xf>
    <xf numFmtId="4" fontId="0" fillId="0" borderId="0" xfId="0" applyNumberFormat="1" applyAlignment="1">
      <alignment horizontal="center"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0" fontId="4" fillId="2" borderId="0" xfId="0" applyFont="1" applyFill="1"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xf>
    <xf numFmtId="3" fontId="4" fillId="2" borderId="0" xfId="0" applyNumberFormat="1" applyFont="1" applyFill="1" applyAlignment="1">
      <alignment horizontal="center" vertical="center"/>
    </xf>
    <xf numFmtId="176" fontId="4" fillId="2" borderId="0" xfId="0" applyNumberFormat="1" applyFont="1" applyFill="1" applyAlignment="1">
      <alignment horizontal="center" vertical="center"/>
    </xf>
    <xf numFmtId="3" fontId="5" fillId="0" borderId="0" xfId="0" applyNumberFormat="1" applyFont="1" applyAlignment="1">
      <alignment horizontal="right" vertical="center"/>
    </xf>
    <xf numFmtId="176" fontId="5" fillId="0" borderId="0" xfId="0" applyNumberFormat="1" applyFont="1" applyAlignment="1">
      <alignment horizontal="right" vertical="center"/>
    </xf>
    <xf numFmtId="0" fontId="5" fillId="0" borderId="0" xfId="0" applyFont="1" applyAlignment="1">
      <alignment horizontal="left" vertical="center" wrapText="1"/>
    </xf>
    <xf numFmtId="4" fontId="4" fillId="2" borderId="0" xfId="0" applyNumberFormat="1" applyFont="1" applyFill="1" applyAlignment="1">
      <alignment horizontal="center" vertical="center"/>
    </xf>
    <xf numFmtId="3" fontId="5" fillId="0" borderId="0" xfId="0" applyNumberFormat="1" applyFont="1" applyAlignment="1">
      <alignment horizontal="right" vertical="center" wrapText="1"/>
    </xf>
    <xf numFmtId="0" fontId="5" fillId="0" borderId="0" xfId="0" applyFont="1" applyAlignment="1">
      <alignment horizontal="right" vertical="center"/>
    </xf>
    <xf numFmtId="3" fontId="5" fillId="0" borderId="0" xfId="0" applyNumberFormat="1" applyFont="1" applyAlignment="1">
      <alignment horizontal="center" vertical="center"/>
    </xf>
    <xf numFmtId="4" fontId="5" fillId="0" borderId="0" xfId="0" applyNumberFormat="1" applyFont="1" applyAlignment="1">
      <alignment horizontal="right" vertical="center"/>
    </xf>
    <xf numFmtId="177" fontId="4" fillId="2" borderId="0" xfId="0" applyNumberFormat="1" applyFont="1" applyFill="1" applyAlignment="1">
      <alignment horizontal="center" vertical="center"/>
    </xf>
    <xf numFmtId="178" fontId="4" fillId="2" borderId="0" xfId="0" applyNumberFormat="1" applyFont="1" applyFill="1" applyAlignment="1">
      <alignment horizontal="center" vertical="center"/>
    </xf>
    <xf numFmtId="177" fontId="5" fillId="0" borderId="0" xfId="0" applyNumberFormat="1" applyFont="1" applyAlignment="1">
      <alignment horizontal="right" vertical="center"/>
    </xf>
    <xf numFmtId="178" fontId="5" fillId="0" borderId="0" xfId="0" applyNumberFormat="1"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9" Type="http://schemas.openxmlformats.org/officeDocument/2006/relationships/image" Target="media/image100.jpeg"/><Relationship Id="rId98" Type="http://schemas.openxmlformats.org/officeDocument/2006/relationships/image" Target="media/image99.jpeg"/><Relationship Id="rId97" Type="http://schemas.openxmlformats.org/officeDocument/2006/relationships/image" Target="media/image98.jpeg"/><Relationship Id="rId96" Type="http://schemas.openxmlformats.org/officeDocument/2006/relationships/image" Target="media/image97.jpeg"/><Relationship Id="rId95" Type="http://schemas.openxmlformats.org/officeDocument/2006/relationships/image" Target="media/image96.jpeg"/><Relationship Id="rId94" Type="http://schemas.openxmlformats.org/officeDocument/2006/relationships/image" Target="media/image95.jpeg"/><Relationship Id="rId93" Type="http://schemas.openxmlformats.org/officeDocument/2006/relationships/image" Target="media/image94.jpeg"/><Relationship Id="rId92" Type="http://schemas.openxmlformats.org/officeDocument/2006/relationships/image" Target="media/image93.jpeg"/><Relationship Id="rId91" Type="http://schemas.openxmlformats.org/officeDocument/2006/relationships/image" Target="media/image92.jpeg"/><Relationship Id="rId90" Type="http://schemas.openxmlformats.org/officeDocument/2006/relationships/image" Target="media/image91.jpeg"/><Relationship Id="rId9" Type="http://schemas.openxmlformats.org/officeDocument/2006/relationships/image" Target="media/image10.jpeg"/><Relationship Id="rId89" Type="http://schemas.openxmlformats.org/officeDocument/2006/relationships/image" Target="media/image90.jpeg"/><Relationship Id="rId88" Type="http://schemas.openxmlformats.org/officeDocument/2006/relationships/image" Target="media/image89.jpeg"/><Relationship Id="rId87" Type="http://schemas.openxmlformats.org/officeDocument/2006/relationships/image" Target="media/image88.jpeg"/><Relationship Id="rId86" Type="http://schemas.openxmlformats.org/officeDocument/2006/relationships/image" Target="media/image87.jpeg"/><Relationship Id="rId85" Type="http://schemas.openxmlformats.org/officeDocument/2006/relationships/image" Target="media/image86.jpeg"/><Relationship Id="rId84" Type="http://schemas.openxmlformats.org/officeDocument/2006/relationships/image" Target="media/image85.jpeg"/><Relationship Id="rId83" Type="http://schemas.openxmlformats.org/officeDocument/2006/relationships/image" Target="media/image84.jpeg"/><Relationship Id="rId82" Type="http://schemas.openxmlformats.org/officeDocument/2006/relationships/image" Target="media/image83.jpeg"/><Relationship Id="rId81" Type="http://schemas.openxmlformats.org/officeDocument/2006/relationships/image" Target="media/image82.jpeg"/><Relationship Id="rId80" Type="http://schemas.openxmlformats.org/officeDocument/2006/relationships/image" Target="media/image81.jpeg"/><Relationship Id="rId8" Type="http://schemas.openxmlformats.org/officeDocument/2006/relationships/image" Target="media/image9.jpeg"/><Relationship Id="rId79" Type="http://schemas.openxmlformats.org/officeDocument/2006/relationships/image" Target="media/image80.jpeg"/><Relationship Id="rId78" Type="http://schemas.openxmlformats.org/officeDocument/2006/relationships/image" Target="media/image79.jpeg"/><Relationship Id="rId77" Type="http://schemas.openxmlformats.org/officeDocument/2006/relationships/image" Target="media/image78.jpeg"/><Relationship Id="rId76" Type="http://schemas.openxmlformats.org/officeDocument/2006/relationships/image" Target="media/image77.jpeg"/><Relationship Id="rId75" Type="http://schemas.openxmlformats.org/officeDocument/2006/relationships/image" Target="media/image76.jpeg"/><Relationship Id="rId74" Type="http://schemas.openxmlformats.org/officeDocument/2006/relationships/image" Target="media/image75.jpeg"/><Relationship Id="rId73" Type="http://schemas.openxmlformats.org/officeDocument/2006/relationships/image" Target="media/image74.jpeg"/><Relationship Id="rId72" Type="http://schemas.openxmlformats.org/officeDocument/2006/relationships/image" Target="media/image73.jpeg"/><Relationship Id="rId71" Type="http://schemas.openxmlformats.org/officeDocument/2006/relationships/image" Target="media/image72.jpeg"/><Relationship Id="rId70" Type="http://schemas.openxmlformats.org/officeDocument/2006/relationships/image" Target="media/image71.jpeg"/><Relationship Id="rId7" Type="http://schemas.openxmlformats.org/officeDocument/2006/relationships/image" Target="media/image8.jpeg"/><Relationship Id="rId69" Type="http://schemas.openxmlformats.org/officeDocument/2006/relationships/image" Target="media/image70.jpeg"/><Relationship Id="rId68" Type="http://schemas.openxmlformats.org/officeDocument/2006/relationships/image" Target="media/image69.jpeg"/><Relationship Id="rId67" Type="http://schemas.openxmlformats.org/officeDocument/2006/relationships/image" Target="media/image68.jpeg"/><Relationship Id="rId66" Type="http://schemas.openxmlformats.org/officeDocument/2006/relationships/image" Target="media/image67.jpeg"/><Relationship Id="rId65" Type="http://schemas.openxmlformats.org/officeDocument/2006/relationships/image" Target="media/image66.jpeg"/><Relationship Id="rId64" Type="http://schemas.openxmlformats.org/officeDocument/2006/relationships/image" Target="media/image65.jpeg"/><Relationship Id="rId63" Type="http://schemas.openxmlformats.org/officeDocument/2006/relationships/image" Target="media/image64.jpeg"/><Relationship Id="rId62" Type="http://schemas.openxmlformats.org/officeDocument/2006/relationships/image" Target="media/image63.jpeg"/><Relationship Id="rId61" Type="http://schemas.openxmlformats.org/officeDocument/2006/relationships/image" Target="media/image62.jpeg"/><Relationship Id="rId60" Type="http://schemas.openxmlformats.org/officeDocument/2006/relationships/image" Target="media/image61.jpeg"/><Relationship Id="rId6" Type="http://schemas.openxmlformats.org/officeDocument/2006/relationships/image" Target="media/image7.jpeg"/><Relationship Id="rId59" Type="http://schemas.openxmlformats.org/officeDocument/2006/relationships/image" Target="media/image60.jpeg"/><Relationship Id="rId58" Type="http://schemas.openxmlformats.org/officeDocument/2006/relationships/image" Target="media/image59.jpeg"/><Relationship Id="rId57" Type="http://schemas.openxmlformats.org/officeDocument/2006/relationships/image" Target="media/image58.jpeg"/><Relationship Id="rId56" Type="http://schemas.openxmlformats.org/officeDocument/2006/relationships/image" Target="media/image57.jpeg"/><Relationship Id="rId55" Type="http://schemas.openxmlformats.org/officeDocument/2006/relationships/image" Target="media/image56.jpeg"/><Relationship Id="rId54" Type="http://schemas.openxmlformats.org/officeDocument/2006/relationships/image" Target="media/image55.jpeg"/><Relationship Id="rId53" Type="http://schemas.openxmlformats.org/officeDocument/2006/relationships/image" Target="media/image54.jpeg"/><Relationship Id="rId52" Type="http://schemas.openxmlformats.org/officeDocument/2006/relationships/image" Target="media/image53.jpeg"/><Relationship Id="rId51" Type="http://schemas.openxmlformats.org/officeDocument/2006/relationships/image" Target="media/image52.jpeg"/><Relationship Id="rId50" Type="http://schemas.openxmlformats.org/officeDocument/2006/relationships/image" Target="media/image51.jpeg"/><Relationship Id="rId5" Type="http://schemas.openxmlformats.org/officeDocument/2006/relationships/image" Target="media/image6.jpeg"/><Relationship Id="rId49" Type="http://schemas.openxmlformats.org/officeDocument/2006/relationships/image" Target="media/image50.jpeg"/><Relationship Id="rId48" Type="http://schemas.openxmlformats.org/officeDocument/2006/relationships/image" Target="media/image49.jpeg"/><Relationship Id="rId47" Type="http://schemas.openxmlformats.org/officeDocument/2006/relationships/image" Target="media/image48.jpeg"/><Relationship Id="rId46" Type="http://schemas.openxmlformats.org/officeDocument/2006/relationships/image" Target="media/image47.jpeg"/><Relationship Id="rId45" Type="http://schemas.openxmlformats.org/officeDocument/2006/relationships/image" Target="media/image46.jpeg"/><Relationship Id="rId44" Type="http://schemas.openxmlformats.org/officeDocument/2006/relationships/image" Target="media/image45.jpeg"/><Relationship Id="rId43" Type="http://schemas.openxmlformats.org/officeDocument/2006/relationships/image" Target="media/image44.jpeg"/><Relationship Id="rId42" Type="http://schemas.openxmlformats.org/officeDocument/2006/relationships/image" Target="media/image43.jpeg"/><Relationship Id="rId41" Type="http://schemas.openxmlformats.org/officeDocument/2006/relationships/image" Target="media/image42.jpeg"/><Relationship Id="rId40" Type="http://schemas.openxmlformats.org/officeDocument/2006/relationships/image" Target="media/image41.jpeg"/><Relationship Id="rId4" Type="http://schemas.openxmlformats.org/officeDocument/2006/relationships/image" Target="media/image5.jpeg"/><Relationship Id="rId39" Type="http://schemas.openxmlformats.org/officeDocument/2006/relationships/image" Target="media/image40.jpeg"/><Relationship Id="rId38" Type="http://schemas.openxmlformats.org/officeDocument/2006/relationships/image" Target="media/image39.jpeg"/><Relationship Id="rId37" Type="http://schemas.openxmlformats.org/officeDocument/2006/relationships/image" Target="media/image38.jpeg"/><Relationship Id="rId36" Type="http://schemas.openxmlformats.org/officeDocument/2006/relationships/image" Target="media/image37.jpeg"/><Relationship Id="rId35" Type="http://schemas.openxmlformats.org/officeDocument/2006/relationships/image" Target="media/image36.jpeg"/><Relationship Id="rId34" Type="http://schemas.openxmlformats.org/officeDocument/2006/relationships/image" Target="media/image35.jpeg"/><Relationship Id="rId33" Type="http://schemas.openxmlformats.org/officeDocument/2006/relationships/image" Target="media/image34.jpeg"/><Relationship Id="rId32" Type="http://schemas.openxmlformats.org/officeDocument/2006/relationships/image" Target="media/image33.jpeg"/><Relationship Id="rId31" Type="http://schemas.openxmlformats.org/officeDocument/2006/relationships/image" Target="media/image32.jpeg"/><Relationship Id="rId30" Type="http://schemas.openxmlformats.org/officeDocument/2006/relationships/image" Target="media/image31.jpeg"/><Relationship Id="rId3" Type="http://schemas.openxmlformats.org/officeDocument/2006/relationships/image" Target="media/image4.jpeg"/><Relationship Id="rId29" Type="http://schemas.openxmlformats.org/officeDocument/2006/relationships/image" Target="media/image30.jpeg"/><Relationship Id="rId28" Type="http://schemas.openxmlformats.org/officeDocument/2006/relationships/image" Target="media/image29.jpeg"/><Relationship Id="rId27" Type="http://schemas.openxmlformats.org/officeDocument/2006/relationships/image" Target="media/image28.jpeg"/><Relationship Id="rId26" Type="http://schemas.openxmlformats.org/officeDocument/2006/relationships/image" Target="media/image27.jpeg"/><Relationship Id="rId25" Type="http://schemas.openxmlformats.org/officeDocument/2006/relationships/image" Target="media/image26.jpeg"/><Relationship Id="rId24" Type="http://schemas.openxmlformats.org/officeDocument/2006/relationships/image" Target="media/image25.jpeg"/><Relationship Id="rId23" Type="http://schemas.openxmlformats.org/officeDocument/2006/relationships/image" Target="media/image24.jpeg"/><Relationship Id="rId22" Type="http://schemas.openxmlformats.org/officeDocument/2006/relationships/image" Target="media/image23.jpeg"/><Relationship Id="rId21" Type="http://schemas.openxmlformats.org/officeDocument/2006/relationships/image" Target="media/image22.jpeg"/><Relationship Id="rId20" Type="http://schemas.openxmlformats.org/officeDocument/2006/relationships/image" Target="media/image21.jpeg"/><Relationship Id="rId2" Type="http://schemas.openxmlformats.org/officeDocument/2006/relationships/image" Target="media/image3.jpeg"/><Relationship Id="rId19" Type="http://schemas.openxmlformats.org/officeDocument/2006/relationships/image" Target="media/image20.jpeg"/><Relationship Id="rId18" Type="http://schemas.openxmlformats.org/officeDocument/2006/relationships/image" Target="media/image19.jpeg"/><Relationship Id="rId17" Type="http://schemas.openxmlformats.org/officeDocument/2006/relationships/image" Target="media/image18.jpeg"/><Relationship Id="rId16" Type="http://schemas.openxmlformats.org/officeDocument/2006/relationships/image" Target="media/image17.jpeg"/><Relationship Id="rId15" Type="http://schemas.openxmlformats.org/officeDocument/2006/relationships/image" Target="media/image16.jpeg"/><Relationship Id="rId14" Type="http://schemas.openxmlformats.org/officeDocument/2006/relationships/image" Target="media/image15.jpeg"/><Relationship Id="rId13" Type="http://schemas.openxmlformats.org/officeDocument/2006/relationships/image" Target="media/image14.jpeg"/><Relationship Id="rId12" Type="http://schemas.openxmlformats.org/officeDocument/2006/relationships/image" Target="media/image13.jpeg"/><Relationship Id="rId11" Type="http://schemas.openxmlformats.org/officeDocument/2006/relationships/image" Target="media/image12.jpeg"/><Relationship Id="rId100" Type="http://schemas.openxmlformats.org/officeDocument/2006/relationships/image" Target="media/image101.jpeg"/><Relationship Id="rId10" Type="http://schemas.openxmlformats.org/officeDocument/2006/relationships/image" Target="media/image11.jpeg"/><Relationship Id="rId1" Type="http://schemas.openxmlformats.org/officeDocument/2006/relationships/image" Target="media/image2.jpeg"/></Relationships>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633600</xdr:colOff>
      <xdr:row>2</xdr:row>
      <xdr:rowOff>150000</xdr:rowOff>
    </xdr:from>
    <xdr:ext cx="952500" cy="952500"/>
    <xdr:pic>
      <xdr:nvPicPr>
        <xdr:cNvPr id="2" name="Picture 1"/>
        <xdr:cNvPicPr>
          <a:picLocks noChangeAspect="1"/>
        </xdr:cNvPicPr>
      </xdr:nvPicPr>
      <xdr:blipFill>
        <a:blip r:embed="rId1" cstate="print"/>
        <a:stretch>
          <a:fillRect/>
        </a:stretch>
      </xdr:blipFill>
      <xdr:spPr>
        <a:xfrm>
          <a:off x="633095" y="1292860"/>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amazon.com/dp/B0BZNN2VMN" TargetMode="External"/><Relationship Id="rId98" Type="http://schemas.openxmlformats.org/officeDocument/2006/relationships/hyperlink" Target="https://images-na.ssl-images-amazon.com/images/I/61DthzUt3hL._AC_US600_.jpg" TargetMode="External"/><Relationship Id="rId97" Type="http://schemas.openxmlformats.org/officeDocument/2006/relationships/hyperlink" Target="https://www.amazon.com/dp/B0BZNN2Q87?psc=1" TargetMode="External"/><Relationship Id="rId96" Type="http://schemas.openxmlformats.org/officeDocument/2006/relationships/hyperlink" Target="https://www.amazon.com/stores/Mippo/page/17F99944-3549-45FB-8E4A-290E96BF2B86?ref_=ast_bln&amp;store_ref=bl_ast_dp_brandLogo_sto" TargetMode="External"/><Relationship Id="rId95" Type="http://schemas.openxmlformats.org/officeDocument/2006/relationships/hyperlink" Target="https://www.amazon.com/dp/B0BZNN2Q87" TargetMode="External"/><Relationship Id="rId94" Type="http://schemas.openxmlformats.org/officeDocument/2006/relationships/hyperlink" Target="https://www.amazon.com/gp/help/seller/at-a-glance.html/ref=dp_merchant_link?seller=A24BCT9INPL20E" TargetMode="External"/><Relationship Id="rId93" Type="http://schemas.openxmlformats.org/officeDocument/2006/relationships/hyperlink" Target="https://www.amazon.com/dp/B07BZ6T96P" TargetMode="External"/><Relationship Id="rId92" Type="http://schemas.openxmlformats.org/officeDocument/2006/relationships/hyperlink" Target="https://m.media-amazon.com/images/I/51X4zRNBEhL._AC_SR600,600_.jpg" TargetMode="External"/><Relationship Id="rId91" Type="http://schemas.openxmlformats.org/officeDocument/2006/relationships/hyperlink" Target="https://www.amazon.com/dp/B077XW24HV?psc=1" TargetMode="External"/><Relationship Id="rId90" Type="http://schemas.openxmlformats.org/officeDocument/2006/relationships/hyperlink" Target="https://www.amazon.com/stores/icyzone/page/700DD740-73E0-4062-8AD3-7E0EF6C6DB7A?ref_=ast_bln&amp;store_ref=bl_ast_dp_brandLogo_sto" TargetMode="External"/><Relationship Id="rId9" Type="http://schemas.openxmlformats.org/officeDocument/2006/relationships/hyperlink" Target="https://www.amazon.com/dp/B0B81G5HTB" TargetMode="External"/><Relationship Id="rId89" Type="http://schemas.openxmlformats.org/officeDocument/2006/relationships/hyperlink" Target="https://www.amazon.com/dp/B077XW24HV" TargetMode="External"/><Relationship Id="rId88" Type="http://schemas.openxmlformats.org/officeDocument/2006/relationships/hyperlink" Target="https://www.amazon.com/gp/help/seller/at-a-glance.html/ref=dp_merchant_link?seller=A397WKTEFGO1N7" TargetMode="External"/><Relationship Id="rId87" Type="http://schemas.openxmlformats.org/officeDocument/2006/relationships/hyperlink" Target="https://www.amazon.com/dp/B087X2TD8F" TargetMode="External"/><Relationship Id="rId86" Type="http://schemas.openxmlformats.org/officeDocument/2006/relationships/hyperlink" Target="https://m.media-amazon.com/images/I/31hwC2sI87S._AC_SR600,600_.jpg" TargetMode="External"/><Relationship Id="rId85" Type="http://schemas.openxmlformats.org/officeDocument/2006/relationships/hyperlink" Target="https://www.amazon.com/dp/B087X3QCTQ?psc=1" TargetMode="External"/><Relationship Id="rId84" Type="http://schemas.openxmlformats.org/officeDocument/2006/relationships/hyperlink" Target="https://www.amazon.com/stores/DragonFit/page/3A5F9513-6863-454A-B1C0-5B6F596E2649?ref_=ast_bln&amp;store_ref=bl_ast_dp_brandLogo_sto" TargetMode="External"/><Relationship Id="rId83" Type="http://schemas.openxmlformats.org/officeDocument/2006/relationships/hyperlink" Target="https://www.amazon.com/dp/B087X3QCTQ" TargetMode="External"/><Relationship Id="rId82" Type="http://schemas.openxmlformats.org/officeDocument/2006/relationships/hyperlink" Target="https://www.amazon.com/gp/help/seller/at-a-glance.html/ref=dp_merchant_link?seller=AO3VMGXHKLO96" TargetMode="External"/><Relationship Id="rId81" Type="http://schemas.openxmlformats.org/officeDocument/2006/relationships/hyperlink" Target="https://www.amazon.com/dp/B088DW19G2" TargetMode="External"/><Relationship Id="rId80" Type="http://schemas.openxmlformats.org/officeDocument/2006/relationships/hyperlink" Target="https://images-na.ssl-images-amazon.com/images/I/612xd-m7tfS._AC_US600_.jpg" TargetMode="External"/><Relationship Id="rId8" Type="http://schemas.openxmlformats.org/officeDocument/2006/relationships/hyperlink" Target="https://www.amazon.com/gp/help/seller/at-a-glance.html/ref=dp_merchant_link?seller=A1UGQQ7005BVGX" TargetMode="External"/><Relationship Id="rId79" Type="http://schemas.openxmlformats.org/officeDocument/2006/relationships/hyperlink" Target="https://www.amazon.com/dp/B088DX9R7M?psc=1" TargetMode="External"/><Relationship Id="rId78" Type="http://schemas.openxmlformats.org/officeDocument/2006/relationships/hyperlink" Target="https://www.amazon.com/stores/TheGymPeople/page/A339D2ED-083D-46D9-B99E-841F768AA99E?ref_=ast_bln&amp;store_ref=bl_ast_dp_brandLogo_sto" TargetMode="External"/><Relationship Id="rId77" Type="http://schemas.openxmlformats.org/officeDocument/2006/relationships/hyperlink" Target="https://www.amazon.com/dp/B088DX9R7M" TargetMode="External"/><Relationship Id="rId76" Type="http://schemas.openxmlformats.org/officeDocument/2006/relationships/hyperlink" Target="https://www.amazon.com/gp/help/seller/at-a-glance.html/ref=dp_merchant_link?seller=A1R0LSIN4H9TM7" TargetMode="External"/><Relationship Id="rId75" Type="http://schemas.openxmlformats.org/officeDocument/2006/relationships/hyperlink" Target="https://www.amazon.com/dp/B09M6X79V9" TargetMode="External"/><Relationship Id="rId74" Type="http://schemas.openxmlformats.org/officeDocument/2006/relationships/hyperlink" Target="https://m.media-amazon.com/images/I/41q3yZbC5aL._AC_SR600,600_.jpg" TargetMode="External"/><Relationship Id="rId73" Type="http://schemas.openxmlformats.org/officeDocument/2006/relationships/hyperlink" Target="https://www.amazon.com/dp/B01GJ1P3CS?psc=1" TargetMode="External"/><Relationship Id="rId72" Type="http://schemas.openxmlformats.org/officeDocument/2006/relationships/hyperlink" Target="https://www.amazon.com/stores/NELEUS/page/A0E160C9-23A6-49A7-9ED4-CC0C095BF717?ref_=ast_bln&amp;store_ref=bl_ast_dp_brandLogo_sto" TargetMode="External"/><Relationship Id="rId71" Type="http://schemas.openxmlformats.org/officeDocument/2006/relationships/hyperlink" Target="https://www.amazon.com/dp/B01GJ1P3CS" TargetMode="External"/><Relationship Id="rId70" Type="http://schemas.openxmlformats.org/officeDocument/2006/relationships/hyperlink" Target="https://www.amazon.com/gp/help/seller/at-a-glance.html/ref=dp_merchant_link?seller=A3PT8IWX9PIEVU" TargetMode="External"/><Relationship Id="rId7" Type="http://schemas.openxmlformats.org/officeDocument/2006/relationships/hyperlink" Target="https://www.amazon.com/gp/bestsellers/fashion" TargetMode="External"/><Relationship Id="rId69" Type="http://schemas.openxmlformats.org/officeDocument/2006/relationships/hyperlink" Target="https://www.amazon.com/dp/B0C4DZJ8BQ" TargetMode="External"/><Relationship Id="rId68" Type="http://schemas.openxmlformats.org/officeDocument/2006/relationships/hyperlink" Target="https://images-na.ssl-images-amazon.com/images/I/71a9k3IewSL._AC_US600_.jpg" TargetMode="External"/><Relationship Id="rId67" Type="http://schemas.openxmlformats.org/officeDocument/2006/relationships/hyperlink" Target="https://www.amazon.com/dp/B0C4F2R74C?psc=1" TargetMode="External"/><Relationship Id="rId66" Type="http://schemas.openxmlformats.org/officeDocument/2006/relationships/hyperlink" Target="https://www.amazon.com/stores/TELALEO/page/A4083910-6B73-40F5-885D-C30549B7DB42?ref_=ast_bln&amp;store_ref=bl_ast_dp_brandLogo_sto" TargetMode="External"/><Relationship Id="rId65" Type="http://schemas.openxmlformats.org/officeDocument/2006/relationships/hyperlink" Target="https://www.amazon.com/dp/B0C4F2R74C" TargetMode="External"/><Relationship Id="rId64" Type="http://schemas.openxmlformats.org/officeDocument/2006/relationships/hyperlink" Target="https://www.amazon.com/gp/help/seller/at-a-glance.html/ref=dp_merchant_link?seller=APE2BZYQAOKSP" TargetMode="External"/><Relationship Id="rId63" Type="http://schemas.openxmlformats.org/officeDocument/2006/relationships/hyperlink" Target="https://www.amazon.com/dp/B08QV8Q2YB" TargetMode="External"/><Relationship Id="rId62" Type="http://schemas.openxmlformats.org/officeDocument/2006/relationships/hyperlink" Target="https://images-na.ssl-images-amazon.com/images/I/71ZV-v31jiL._AC_US600_.jpg" TargetMode="External"/><Relationship Id="rId61" Type="http://schemas.openxmlformats.org/officeDocument/2006/relationships/hyperlink" Target="https://www.amazon.com/dp/B08QVF8D69?psc=1" TargetMode="External"/><Relationship Id="rId60" Type="http://schemas.openxmlformats.org/officeDocument/2006/relationships/hyperlink" Target="https://www.amazon.com/stores/ATTRACO/page/5100F4CC-BD4B-4C9B-B3B6-ADF858C56105?ref_=ast_bln&amp;store_ref=bl_ast_dp_brandLogo_sto" TargetMode="External"/><Relationship Id="rId6" Type="http://schemas.openxmlformats.org/officeDocument/2006/relationships/hyperlink" Target="https://www.amazon.com/b?node=23575650011" TargetMode="External"/><Relationship Id="rId59" Type="http://schemas.openxmlformats.org/officeDocument/2006/relationships/hyperlink" Target="https://www.amazon.com/dp/B08QVF8D69" TargetMode="External"/><Relationship Id="rId58" Type="http://schemas.openxmlformats.org/officeDocument/2006/relationships/hyperlink" Target="https://www.amazon.com/dp/B0CKYKHJ2V" TargetMode="External"/><Relationship Id="rId57" Type="http://schemas.openxmlformats.org/officeDocument/2006/relationships/hyperlink" Target="https://images-na.ssl-images-amazon.com/images/I/71x22p-uzaL._AC_US600_.jpg" TargetMode="External"/><Relationship Id="rId56" Type="http://schemas.openxmlformats.org/officeDocument/2006/relationships/hyperlink" Target="https://www.amazon.com/dp/B0CKYHP6Y4?psc=1" TargetMode="External"/><Relationship Id="rId55" Type="http://schemas.openxmlformats.org/officeDocument/2006/relationships/hyperlink" Target="https://www.amazon.com/dp/B0CKYHP6Y4" TargetMode="External"/><Relationship Id="rId54" Type="http://schemas.openxmlformats.org/officeDocument/2006/relationships/hyperlink" Target="https://www.amazon.com/dp/B087C5SZV7" TargetMode="External"/><Relationship Id="rId53" Type="http://schemas.openxmlformats.org/officeDocument/2006/relationships/hyperlink" Target="https://images-na.ssl-images-amazon.com/images/I/61nJW0ZoeIL._AC_US600_.jpg" TargetMode="External"/><Relationship Id="rId52" Type="http://schemas.openxmlformats.org/officeDocument/2006/relationships/hyperlink" Target="https://www.amazon.com/dp/B087C5NWVG?psc=1" TargetMode="External"/><Relationship Id="rId51" Type="http://schemas.openxmlformats.org/officeDocument/2006/relationships/hyperlink" Target="https://www.amazon.com/dp/B087C5NWVG" TargetMode="External"/><Relationship Id="rId50" Type="http://schemas.openxmlformats.org/officeDocument/2006/relationships/hyperlink" Target="https://www.amazon.com/dp/B0D66RCZ4H" TargetMode="External"/><Relationship Id="rId5" Type="http://schemas.openxmlformats.org/officeDocument/2006/relationships/hyperlink" Target="https://www.amazon.com/dp/B07XJRWRN1" TargetMode="External"/><Relationship Id="rId497" Type="http://schemas.openxmlformats.org/officeDocument/2006/relationships/hyperlink" Target="https://m.media-amazon.com/images/I/414aWWB7MOL._AC_SR600,600_.jpg" TargetMode="External"/><Relationship Id="rId496" Type="http://schemas.openxmlformats.org/officeDocument/2006/relationships/hyperlink" Target="https://www.amazon.com/dp/B0D8QK8MVL?psc=1" TargetMode="External"/><Relationship Id="rId495" Type="http://schemas.openxmlformats.org/officeDocument/2006/relationships/hyperlink" Target="https://www.amazon.com/dp/B0D8QK8MVL" TargetMode="External"/><Relationship Id="rId494" Type="http://schemas.openxmlformats.org/officeDocument/2006/relationships/hyperlink" Target="https://www.amazon.com/gp/help/seller/at-a-glance.html/ref=dp_merchant_link?seller=A19FFR8R0QPQHY" TargetMode="External"/><Relationship Id="rId493" Type="http://schemas.openxmlformats.org/officeDocument/2006/relationships/hyperlink" Target="https://www.amazon.com/b?node=2368344011" TargetMode="External"/><Relationship Id="rId492" Type="http://schemas.openxmlformats.org/officeDocument/2006/relationships/hyperlink" Target="https://m.media-amazon.com/images/I/41LVhTOUAQL._AC_SR600,600_.jpg" TargetMode="External"/><Relationship Id="rId491" Type="http://schemas.openxmlformats.org/officeDocument/2006/relationships/hyperlink" Target="https://www.amazon.com/dp/B0BLS5YDKG?psc=1" TargetMode="External"/><Relationship Id="rId490" Type="http://schemas.openxmlformats.org/officeDocument/2006/relationships/hyperlink" Target="https://www.amazon.com/stores/OYOANGLE/page/F1C7E3DD-FEE7-4C15-8821-3B4A02151751?ref_=ast_bln&amp;store_ref=bl_ast_dp_brandLogo_sto" TargetMode="External"/><Relationship Id="rId49" Type="http://schemas.openxmlformats.org/officeDocument/2006/relationships/hyperlink" Target="https://images-na.ssl-images-amazon.com/images/I/71WU3fTVhnL._AC_US600_.jpg" TargetMode="External"/><Relationship Id="rId489" Type="http://schemas.openxmlformats.org/officeDocument/2006/relationships/hyperlink" Target="https://www.amazon.com/dp/B0BLS5YDKG" TargetMode="External"/><Relationship Id="rId488" Type="http://schemas.openxmlformats.org/officeDocument/2006/relationships/hyperlink" Target="https://www.amazon.com/gp/help/seller/at-a-glance.html/ref=dp_merchant_link?seller=A3PS6Y91HTF7A3" TargetMode="External"/><Relationship Id="rId487" Type="http://schemas.openxmlformats.org/officeDocument/2006/relationships/hyperlink" Target="https://images-na.ssl-images-amazon.com/images/I/71ZIrCGcOSL._AC_US600_.jpg" TargetMode="External"/><Relationship Id="rId486" Type="http://schemas.openxmlformats.org/officeDocument/2006/relationships/hyperlink" Target="https://www.amazon.com/dp/B0B3Y8GZNK?psc=1" TargetMode="External"/><Relationship Id="rId485" Type="http://schemas.openxmlformats.org/officeDocument/2006/relationships/hyperlink" Target="https://www.amazon.com/stores/Oalka/page/D6A38ABA-9F69-4831-9A9C-55DA3AC21E1D?ref_=ast_bln&amp;store_ref=bl_ast_dp_brandLogo_sto" TargetMode="External"/><Relationship Id="rId484" Type="http://schemas.openxmlformats.org/officeDocument/2006/relationships/hyperlink" Target="https://www.amazon.com/dp/B0B3Y8GZNK" TargetMode="External"/><Relationship Id="rId483" Type="http://schemas.openxmlformats.org/officeDocument/2006/relationships/hyperlink" Target="https://images-na.ssl-images-amazon.com/images/I/71T31k6lt9L._AC_US600_.jpg" TargetMode="External"/><Relationship Id="rId482" Type="http://schemas.openxmlformats.org/officeDocument/2006/relationships/hyperlink" Target="https://www.amazon.com/dp/B0CTMXNKCZ?psc=1" TargetMode="External"/><Relationship Id="rId481" Type="http://schemas.openxmlformats.org/officeDocument/2006/relationships/hyperlink" Target="https://www.amazon.com/dp/B0CTMXNKCZ" TargetMode="External"/><Relationship Id="rId480" Type="http://schemas.openxmlformats.org/officeDocument/2006/relationships/hyperlink" Target="https://images-na.ssl-images-amazon.com/images/I/81ymN7wtvnL._AC_US600_.jpg" TargetMode="External"/><Relationship Id="rId48" Type="http://schemas.openxmlformats.org/officeDocument/2006/relationships/hyperlink" Target="https://www.amazon.com/dp/B09X9Y5S8G?psc=1" TargetMode="External"/><Relationship Id="rId479" Type="http://schemas.openxmlformats.org/officeDocument/2006/relationships/hyperlink" Target="https://www.amazon.com/dp/B0BPHJDP27?psc=1" TargetMode="External"/><Relationship Id="rId478" Type="http://schemas.openxmlformats.org/officeDocument/2006/relationships/hyperlink" Target="https://www.amazon.com/dp/B0BPHJDP27" TargetMode="External"/><Relationship Id="rId477" Type="http://schemas.openxmlformats.org/officeDocument/2006/relationships/hyperlink" Target="https://images-na.ssl-images-amazon.com/images/I/61W6Xe9v8nL._AC_US600_.jpg" TargetMode="External"/><Relationship Id="rId476" Type="http://schemas.openxmlformats.org/officeDocument/2006/relationships/hyperlink" Target="https://www.amazon.com/dp/B08TC6CW81?psc=1" TargetMode="External"/><Relationship Id="rId475" Type="http://schemas.openxmlformats.org/officeDocument/2006/relationships/hyperlink" Target="https://www.amazon.com/dp/B08TC6CW81" TargetMode="External"/><Relationship Id="rId474" Type="http://schemas.openxmlformats.org/officeDocument/2006/relationships/hyperlink" Target="https://m.media-amazon.com/images/I/41tZtDJAY-L._AIweblab959719,T4_AC_SR38,50_.jpg?aicid=AUI-3.1" TargetMode="External"/><Relationship Id="rId473" Type="http://schemas.openxmlformats.org/officeDocument/2006/relationships/hyperlink" Target="https://www.amazon.com/dp/B0C6FGMHCT?psc=1" TargetMode="External"/><Relationship Id="rId472" Type="http://schemas.openxmlformats.org/officeDocument/2006/relationships/hyperlink" Target="https://www.amazon.com/dp/B0C6FGMHCT" TargetMode="External"/><Relationship Id="rId471" Type="http://schemas.openxmlformats.org/officeDocument/2006/relationships/hyperlink" Target="https://www.amazon.com/gp/help/seller/at-a-glance.html/ref=dp_merchant_link?seller=ANHWNEOH68L68" TargetMode="External"/><Relationship Id="rId470" Type="http://schemas.openxmlformats.org/officeDocument/2006/relationships/hyperlink" Target="https://m.media-amazon.com/images/I/31qTkqqQbCS._AC_SR600,600_.jpg" TargetMode="External"/><Relationship Id="rId47" Type="http://schemas.openxmlformats.org/officeDocument/2006/relationships/hyperlink" Target="https://www.amazon.com/dp/B09X9Y5S8G" TargetMode="External"/><Relationship Id="rId469" Type="http://schemas.openxmlformats.org/officeDocument/2006/relationships/hyperlink" Target="https://www.amazon.com/dp/B08Q7JN5F4?psc=1" TargetMode="External"/><Relationship Id="rId468" Type="http://schemas.openxmlformats.org/officeDocument/2006/relationships/hyperlink" Target="https://www.amazon.com/stores/Cadmus/page/C6C47BA1-A38D-4DCA-88C8-58D9088E24A0?ref_=ast_bln" TargetMode="External"/><Relationship Id="rId467" Type="http://schemas.openxmlformats.org/officeDocument/2006/relationships/hyperlink" Target="https://www.amazon.com/dp/B08Q7JN5F4" TargetMode="External"/><Relationship Id="rId466" Type="http://schemas.openxmlformats.org/officeDocument/2006/relationships/hyperlink" Target="https://www.amazon.com/dp/B0CP9D57PZ" TargetMode="External"/><Relationship Id="rId465" Type="http://schemas.openxmlformats.org/officeDocument/2006/relationships/hyperlink" Target="https://m.media-amazon.com/images/I/41FDQuBcFML._AC_SR600,600_.jpg" TargetMode="External"/><Relationship Id="rId464" Type="http://schemas.openxmlformats.org/officeDocument/2006/relationships/hyperlink" Target="https://www.amazon.com/dp/B0CPDYNZKL?psc=1" TargetMode="External"/><Relationship Id="rId463" Type="http://schemas.openxmlformats.org/officeDocument/2006/relationships/hyperlink" Target="https://www.amazon.com/dp/B0CPDYNZKL" TargetMode="External"/><Relationship Id="rId462" Type="http://schemas.openxmlformats.org/officeDocument/2006/relationships/hyperlink" Target="https://images-na.ssl-images-amazon.com/images/I/61TOgTxZRyL._AC_US600_.jpg" TargetMode="External"/><Relationship Id="rId461" Type="http://schemas.openxmlformats.org/officeDocument/2006/relationships/hyperlink" Target="https://www.amazon.com/dp/B09Q2X4GKC?psc=1" TargetMode="External"/><Relationship Id="rId460" Type="http://schemas.openxmlformats.org/officeDocument/2006/relationships/hyperlink" Target="https://www.amazon.com/dp/B09Q2X4GKC" TargetMode="External"/><Relationship Id="rId46" Type="http://schemas.openxmlformats.org/officeDocument/2006/relationships/hyperlink" Target="https://www.amazon.com/gp/help/seller/at-a-glance.html/ref=dp_merchant_link?seller=A1G74W3VJGHK92" TargetMode="External"/><Relationship Id="rId459" Type="http://schemas.openxmlformats.org/officeDocument/2006/relationships/hyperlink" Target="https://www.amazon.com/gp/help/seller/at-a-glance.html/ref=dp_merchant_link?seller=A21SJT5YHO64UG" TargetMode="External"/><Relationship Id="rId458" Type="http://schemas.openxmlformats.org/officeDocument/2006/relationships/hyperlink" Target="https://www.amazon.com/dp/B07GBHW7NH" TargetMode="External"/><Relationship Id="rId457" Type="http://schemas.openxmlformats.org/officeDocument/2006/relationships/hyperlink" Target="https://m.media-amazon.com/images/I/41gsDMfYI-L._AC_SR600,600_.jpg" TargetMode="External"/><Relationship Id="rId456" Type="http://schemas.openxmlformats.org/officeDocument/2006/relationships/hyperlink" Target="https://www.amazon.com/dp/B07MBCGHWD?psc=1" TargetMode="External"/><Relationship Id="rId455" Type="http://schemas.openxmlformats.org/officeDocument/2006/relationships/hyperlink" Target="https://www.amazon.com/stores/SexyBasics/page/41586B5A-7169-4159-BC2B-27D44E3974C8?ref_=ast_bln&amp;store_ref=bl_ast_dp_brandLogo_sto" TargetMode="External"/><Relationship Id="rId454" Type="http://schemas.openxmlformats.org/officeDocument/2006/relationships/hyperlink" Target="https://www.amazon.com/dp/B07MBCGHWD" TargetMode="External"/><Relationship Id="rId453" Type="http://schemas.openxmlformats.org/officeDocument/2006/relationships/hyperlink" Target="https://www.amazon.com/dp/B0CYQB4J7R" TargetMode="External"/><Relationship Id="rId452" Type="http://schemas.openxmlformats.org/officeDocument/2006/relationships/hyperlink" Target="https://m.media-amazon.com/images/I/31V8rhqybbL._AC_SR600,600_.jpg" TargetMode="External"/><Relationship Id="rId451" Type="http://schemas.openxmlformats.org/officeDocument/2006/relationships/hyperlink" Target="https://www.amazon.com/dp/B0CMH5GM1Y?psc=1" TargetMode="External"/><Relationship Id="rId450" Type="http://schemas.openxmlformats.org/officeDocument/2006/relationships/hyperlink" Target="https://www.amazon.com/dp/B0CMH5GM1Y" TargetMode="External"/><Relationship Id="rId45" Type="http://schemas.openxmlformats.org/officeDocument/2006/relationships/hyperlink" Target="https://www.amazon.com/dp/B07F9LDRL3" TargetMode="External"/><Relationship Id="rId449" Type="http://schemas.openxmlformats.org/officeDocument/2006/relationships/hyperlink" Target="https://www.amazon.com/dp/B088WGWKC7" TargetMode="External"/><Relationship Id="rId448" Type="http://schemas.openxmlformats.org/officeDocument/2006/relationships/hyperlink" Target="https://m.media-amazon.com/images/I/41hoSOdJlqL._AC_SR600,600_.jpg" TargetMode="External"/><Relationship Id="rId447" Type="http://schemas.openxmlformats.org/officeDocument/2006/relationships/hyperlink" Target="https://www.amazon.com/dp/B088WLTJ64?psc=1" TargetMode="External"/><Relationship Id="rId446" Type="http://schemas.openxmlformats.org/officeDocument/2006/relationships/hyperlink" Target="https://www.amazon.com/dp/B088WLTJ64" TargetMode="External"/><Relationship Id="rId445" Type="http://schemas.openxmlformats.org/officeDocument/2006/relationships/hyperlink" Target="https://www.amazon.com/dp/B07G82DC3B" TargetMode="External"/><Relationship Id="rId444" Type="http://schemas.openxmlformats.org/officeDocument/2006/relationships/hyperlink" Target="https://m.media-amazon.com/images/I/41gzAqOq9DL._AC_SR600,600_.jpg" TargetMode="External"/><Relationship Id="rId443" Type="http://schemas.openxmlformats.org/officeDocument/2006/relationships/hyperlink" Target="https://www.amazon.com/dp/B07QPTBNGQ?psc=1" TargetMode="External"/><Relationship Id="rId442" Type="http://schemas.openxmlformats.org/officeDocument/2006/relationships/hyperlink" Target="https://www.amazon.com/dp/B07QPTBNGQ" TargetMode="External"/><Relationship Id="rId441" Type="http://schemas.openxmlformats.org/officeDocument/2006/relationships/hyperlink" Target="https://www.amazon.com/dp/B0BTCM12L3" TargetMode="External"/><Relationship Id="rId440" Type="http://schemas.openxmlformats.org/officeDocument/2006/relationships/hyperlink" Target="https://images-na.ssl-images-amazon.com/images/I/71T3jhChn1L._AC_US600_.jpg" TargetMode="External"/><Relationship Id="rId44" Type="http://schemas.openxmlformats.org/officeDocument/2006/relationships/hyperlink" Target="https://m.media-amazon.com/images/I/3129DriAD4L._AC_SR600,600_.jpg" TargetMode="External"/><Relationship Id="rId439" Type="http://schemas.openxmlformats.org/officeDocument/2006/relationships/hyperlink" Target="https://www.amazon.com/dp/B0BD3K5PD8?psc=1" TargetMode="External"/><Relationship Id="rId438" Type="http://schemas.openxmlformats.org/officeDocument/2006/relationships/hyperlink" Target="https://www.amazon.com/dp/B0BD3K5PD8" TargetMode="External"/><Relationship Id="rId437" Type="http://schemas.openxmlformats.org/officeDocument/2006/relationships/hyperlink" Target="https://www.amazon.com/dp/B07PGLNLK3" TargetMode="External"/><Relationship Id="rId436" Type="http://schemas.openxmlformats.org/officeDocument/2006/relationships/hyperlink" Target="https://m.media-amazon.com/images/I/41VKEGbDxTL._AC_SR600,600_.jpg" TargetMode="External"/><Relationship Id="rId435" Type="http://schemas.openxmlformats.org/officeDocument/2006/relationships/hyperlink" Target="https://www.amazon.com/dp/B07PHMYRWB?psc=1" TargetMode="External"/><Relationship Id="rId434" Type="http://schemas.openxmlformats.org/officeDocument/2006/relationships/hyperlink" Target="https://www.amazon.com/dp/B07PHMYRWB" TargetMode="External"/><Relationship Id="rId433" Type="http://schemas.openxmlformats.org/officeDocument/2006/relationships/hyperlink" Target="https://www.amazon.com/dp/B07QW5BWSH" TargetMode="External"/><Relationship Id="rId432" Type="http://schemas.openxmlformats.org/officeDocument/2006/relationships/hyperlink" Target="https://images-na.ssl-images-amazon.com/images/I/51x1JTJ3d9L._AC_US600_.jpg" TargetMode="External"/><Relationship Id="rId431" Type="http://schemas.openxmlformats.org/officeDocument/2006/relationships/hyperlink" Target="https://www.amazon.com/dp/B08CGVL5WM?psc=1" TargetMode="External"/><Relationship Id="rId430" Type="http://schemas.openxmlformats.org/officeDocument/2006/relationships/hyperlink" Target="https://www.amazon.com/dp/B08CGVL5WM" TargetMode="External"/><Relationship Id="rId43" Type="http://schemas.openxmlformats.org/officeDocument/2006/relationships/hyperlink" Target="https://www.amazon.com/dp/B07F9R17N9?psc=1" TargetMode="External"/><Relationship Id="rId429" Type="http://schemas.openxmlformats.org/officeDocument/2006/relationships/hyperlink" Target="https://www.amazon.com/gp/help/seller/at-a-glance.html/ref=dp_merchant_link?seller=A1HPK4MEBNYOYY" TargetMode="External"/><Relationship Id="rId428" Type="http://schemas.openxmlformats.org/officeDocument/2006/relationships/hyperlink" Target="https://www.amazon.com/dp/B0DB5KDBL6" TargetMode="External"/><Relationship Id="rId427" Type="http://schemas.openxmlformats.org/officeDocument/2006/relationships/hyperlink" Target="https://m.media-amazon.com/images/I/31D8XSS3G-L._AC_SR600,600_.jpg" TargetMode="External"/><Relationship Id="rId426" Type="http://schemas.openxmlformats.org/officeDocument/2006/relationships/hyperlink" Target="https://www.amazon.com/dp/B0CBTSFQ7D?psc=1" TargetMode="External"/><Relationship Id="rId425" Type="http://schemas.openxmlformats.org/officeDocument/2006/relationships/hyperlink" Target="https://www.amazon.com/stores/ODODOS/page/4EE07D3A-483C-4E62-A43F-1E8D9A75F92A?ref_=ast_bln&amp;store_ref=bl_ast_dp_brandLogo_sto" TargetMode="External"/><Relationship Id="rId424" Type="http://schemas.openxmlformats.org/officeDocument/2006/relationships/hyperlink" Target="https://www.amazon.com/dp/B0CBTSFQ7D" TargetMode="External"/><Relationship Id="rId423" Type="http://schemas.openxmlformats.org/officeDocument/2006/relationships/hyperlink" Target="https://www.amazon.com/dp/B0DCVLQ71G" TargetMode="External"/><Relationship Id="rId422" Type="http://schemas.openxmlformats.org/officeDocument/2006/relationships/hyperlink" Target="https://images-na.ssl-images-amazon.com/images/I/71xWuOTEWgL._AC_US600_.jpg" TargetMode="External"/><Relationship Id="rId421" Type="http://schemas.openxmlformats.org/officeDocument/2006/relationships/hyperlink" Target="https://www.amazon.com/dp/B0DD36X6TZ?psc=1" TargetMode="External"/><Relationship Id="rId420" Type="http://schemas.openxmlformats.org/officeDocument/2006/relationships/hyperlink" Target="https://www.amazon.com/dp/B0DD36X6TZ" TargetMode="External"/><Relationship Id="rId42" Type="http://schemas.openxmlformats.org/officeDocument/2006/relationships/hyperlink" Target="https://www.amazon.com/stores/ICTIVE/page/631E69AD-BAAF-489B-B8B8-E0BDFA538784?ref_=ast_bln&amp;store_ref=bl_ast_dp_brandLogo_sto" TargetMode="External"/><Relationship Id="rId419" Type="http://schemas.openxmlformats.org/officeDocument/2006/relationships/hyperlink" Target="https://www.amazon.com/gp/help/seller/at-a-glance.html/ref=dp_merchant_link?seller=AMHZIN0PH11X" TargetMode="External"/><Relationship Id="rId418" Type="http://schemas.openxmlformats.org/officeDocument/2006/relationships/hyperlink" Target="https://www.amazon.com/dp/B0CLGQGRPH" TargetMode="External"/><Relationship Id="rId417" Type="http://schemas.openxmlformats.org/officeDocument/2006/relationships/hyperlink" Target="https://images-na.ssl-images-amazon.com/images/I/81yPtmxDFbL._AC_US600_.jpg" TargetMode="External"/><Relationship Id="rId416" Type="http://schemas.openxmlformats.org/officeDocument/2006/relationships/hyperlink" Target="https://www.amazon.com/dp/B0CLGQ8LY5?psc=1" TargetMode="External"/><Relationship Id="rId415" Type="http://schemas.openxmlformats.org/officeDocument/2006/relationships/hyperlink" Target="https://www.amazon.com/stores/BeautifulComfortableSimple/page/D495F3C2-CF99-413E-B5CA-5535D1642B73?ref_=ast_bln&amp;store_ref=bl_ast_dp_brandLogo_sto" TargetMode="External"/><Relationship Id="rId414" Type="http://schemas.openxmlformats.org/officeDocument/2006/relationships/hyperlink" Target="https://www.amazon.com/dp/B0CLGQ8LY5" TargetMode="External"/><Relationship Id="rId413" Type="http://schemas.openxmlformats.org/officeDocument/2006/relationships/hyperlink" Target="https://www.amazon.com/gp/help/seller/at-a-glance.html/ref=dp_merchant_link?seller=A2TF1X0GE0FZU3" TargetMode="External"/><Relationship Id="rId412" Type="http://schemas.openxmlformats.org/officeDocument/2006/relationships/hyperlink" Target="https://www.amazon.com/dp/B08QRRZ5GF" TargetMode="External"/><Relationship Id="rId411" Type="http://schemas.openxmlformats.org/officeDocument/2006/relationships/hyperlink" Target="https://m.media-amazon.com/images/I/4152XHYrHDL._AC_SR600,600_.jpg" TargetMode="External"/><Relationship Id="rId410" Type="http://schemas.openxmlformats.org/officeDocument/2006/relationships/hyperlink" Target="https://www.amazon.com/dp/B08QRRRDFL?psc=1" TargetMode="External"/><Relationship Id="rId41" Type="http://schemas.openxmlformats.org/officeDocument/2006/relationships/hyperlink" Target="https://www.amazon.com/dp/B07F9R17N9" TargetMode="External"/><Relationship Id="rId409" Type="http://schemas.openxmlformats.org/officeDocument/2006/relationships/hyperlink" Target="https://www.amazon.com/stores/FashionSoftComfy/page/F94BEF6B-74D5-4AC1-BD71-9F0F0A2A23DC?ref_=ast_bln&amp;store_ref=bl_ast_dp_brandLogo_sto" TargetMode="External"/><Relationship Id="rId408" Type="http://schemas.openxmlformats.org/officeDocument/2006/relationships/hyperlink" Target="https://www.amazon.com/dp/B08QRRRDFL" TargetMode="External"/><Relationship Id="rId407" Type="http://schemas.openxmlformats.org/officeDocument/2006/relationships/hyperlink" Target="https://www.amazon.com/dp/B07572YBCZ" TargetMode="External"/><Relationship Id="rId406" Type="http://schemas.openxmlformats.org/officeDocument/2006/relationships/hyperlink" Target="https://m.media-amazon.com/images/I/31pAEgZWcEL._AC_SR600,600_.jpg" TargetMode="External"/><Relationship Id="rId405" Type="http://schemas.openxmlformats.org/officeDocument/2006/relationships/hyperlink" Target="https://www.amazon.com/dp/B086N35814?psc=1" TargetMode="External"/><Relationship Id="rId404" Type="http://schemas.openxmlformats.org/officeDocument/2006/relationships/hyperlink" Target="https://www.amazon.com/dp/B086N35814" TargetMode="External"/><Relationship Id="rId403" Type="http://schemas.openxmlformats.org/officeDocument/2006/relationships/hyperlink" Target="https://www.amazon.com/gp/help/seller/at-a-glance.html/ref=dp_merchant_link?seller=AVZRFC68CM6GS" TargetMode="External"/><Relationship Id="rId402" Type="http://schemas.openxmlformats.org/officeDocument/2006/relationships/hyperlink" Target="https://www.amazon.com/dp/B08MWYR3GP" TargetMode="External"/><Relationship Id="rId401" Type="http://schemas.openxmlformats.org/officeDocument/2006/relationships/hyperlink" Target="https://m.media-amazon.com/images/I/41vROWA2OTL._AC_SR600,600_.jpg" TargetMode="External"/><Relationship Id="rId400" Type="http://schemas.openxmlformats.org/officeDocument/2006/relationships/hyperlink" Target="https://www.amazon.com/dp/B08K3SZQGL?psc=1" TargetMode="External"/><Relationship Id="rId40" Type="http://schemas.openxmlformats.org/officeDocument/2006/relationships/hyperlink" Target="https://www.amazon.com/gp/help/seller/at-a-glance.html/ref=dp_merchant_link?seller=A2LABRQ3X717X2" TargetMode="External"/><Relationship Id="rId4" Type="http://schemas.openxmlformats.org/officeDocument/2006/relationships/hyperlink" Target="https://images-na.ssl-images-amazon.com/images/I/71-T2LHikYL._AC_US600_.jpg" TargetMode="External"/><Relationship Id="rId399" Type="http://schemas.openxmlformats.org/officeDocument/2006/relationships/hyperlink" Target="https://www.amazon.com/stores/TommieCopper/page/70DECED9-40DC-41C3-A3A2-FD4EDBBE175E?ref_=ast_bln&amp;store_ref=bl_ast_dp_brandLogo_sto" TargetMode="External"/><Relationship Id="rId398" Type="http://schemas.openxmlformats.org/officeDocument/2006/relationships/hyperlink" Target="https://www.amazon.com/dp/B08K3SZQGL" TargetMode="External"/><Relationship Id="rId397" Type="http://schemas.openxmlformats.org/officeDocument/2006/relationships/hyperlink" Target="https://www.amazon.com/dp/B0CYGQ7WP1" TargetMode="External"/><Relationship Id="rId396" Type="http://schemas.openxmlformats.org/officeDocument/2006/relationships/hyperlink" Target="https://images-na.ssl-images-amazon.com/images/I/71y5uo6f-cL._AC_US600_.jpg" TargetMode="External"/><Relationship Id="rId395" Type="http://schemas.openxmlformats.org/officeDocument/2006/relationships/hyperlink" Target="https://www.amazon.com/dp/B0CYGT3C65?psc=1" TargetMode="External"/><Relationship Id="rId394" Type="http://schemas.openxmlformats.org/officeDocument/2006/relationships/hyperlink" Target="https://www.amazon.com/dp/B0CYGT3C65" TargetMode="External"/><Relationship Id="rId393" Type="http://schemas.openxmlformats.org/officeDocument/2006/relationships/hyperlink" Target="https://www.amazon.com/dp/B0CTCQSJR2" TargetMode="External"/><Relationship Id="rId392" Type="http://schemas.openxmlformats.org/officeDocument/2006/relationships/hyperlink" Target="https://m.media-amazon.com/images/I/419WR3mxCDL._AC_SR600,600_.jpg" TargetMode="External"/><Relationship Id="rId391" Type="http://schemas.openxmlformats.org/officeDocument/2006/relationships/hyperlink" Target="https://www.amazon.com/dp/B0CTCPNWW8?psc=1" TargetMode="External"/><Relationship Id="rId390" Type="http://schemas.openxmlformats.org/officeDocument/2006/relationships/hyperlink" Target="https://www.amazon.com/dp/B0CTCPNWW8" TargetMode="External"/><Relationship Id="rId39" Type="http://schemas.openxmlformats.org/officeDocument/2006/relationships/hyperlink" Target="https://www.amazon.com/dp/B08ZKPZXR8" TargetMode="External"/><Relationship Id="rId389" Type="http://schemas.openxmlformats.org/officeDocument/2006/relationships/hyperlink" Target="https://www.amazon.com/dp/B0CVV2K9CS" TargetMode="External"/><Relationship Id="rId388" Type="http://schemas.openxmlformats.org/officeDocument/2006/relationships/hyperlink" Target="https://m.media-amazon.com/images/I/41Yov4doBhL._AC_SR600,600_.jpg" TargetMode="External"/><Relationship Id="rId387" Type="http://schemas.openxmlformats.org/officeDocument/2006/relationships/hyperlink" Target="https://www.amazon.com/dp/B0CVV57XYC?psc=1" TargetMode="External"/><Relationship Id="rId386" Type="http://schemas.openxmlformats.org/officeDocument/2006/relationships/hyperlink" Target="https://www.amazon.com/dp/B0CVV57XYC" TargetMode="External"/><Relationship Id="rId385" Type="http://schemas.openxmlformats.org/officeDocument/2006/relationships/hyperlink" Target="https://www.amazon.com/dp/B0BTN6VM3W" TargetMode="External"/><Relationship Id="rId384" Type="http://schemas.openxmlformats.org/officeDocument/2006/relationships/hyperlink" Target="https://images-na.ssl-images-amazon.com/images/I/71QBkIl4DHL._AC_US600_.jpg" TargetMode="External"/><Relationship Id="rId383" Type="http://schemas.openxmlformats.org/officeDocument/2006/relationships/hyperlink" Target="https://www.amazon.com/dp/B0BTN88Y7R?psc=1" TargetMode="External"/><Relationship Id="rId382" Type="http://schemas.openxmlformats.org/officeDocument/2006/relationships/hyperlink" Target="https://www.amazon.com/dp/B0BTN88Y7R" TargetMode="External"/><Relationship Id="rId381" Type="http://schemas.openxmlformats.org/officeDocument/2006/relationships/hyperlink" Target="https://www.amazon.com/dp/B0CLD4M6ZK" TargetMode="External"/><Relationship Id="rId380" Type="http://schemas.openxmlformats.org/officeDocument/2006/relationships/hyperlink" Target="https://m.media-amazon.com/images/I/319Mc5BCpZL._AC_SR600,600_.jpg" TargetMode="External"/><Relationship Id="rId38" Type="http://schemas.openxmlformats.org/officeDocument/2006/relationships/hyperlink" Target="https://m.media-amazon.com/images/I/4111EASTogL._AC_SR600,600_.jpg" TargetMode="External"/><Relationship Id="rId379" Type="http://schemas.openxmlformats.org/officeDocument/2006/relationships/hyperlink" Target="https://www.amazon.com/dp/B0CLD3B3DM?psc=1" TargetMode="External"/><Relationship Id="rId378" Type="http://schemas.openxmlformats.org/officeDocument/2006/relationships/hyperlink" Target="https://www.amazon.com/dp/B0CLD3B3DM" TargetMode="External"/><Relationship Id="rId377" Type="http://schemas.openxmlformats.org/officeDocument/2006/relationships/hyperlink" Target="https://www.amazon.com/dp/B09K4J9BXH" TargetMode="External"/><Relationship Id="rId376" Type="http://schemas.openxmlformats.org/officeDocument/2006/relationships/hyperlink" Target="https://images-na.ssl-images-amazon.com/images/I/813qJr9yaOL._AC_US600_.jpg" TargetMode="External"/><Relationship Id="rId375" Type="http://schemas.openxmlformats.org/officeDocument/2006/relationships/hyperlink" Target="https://www.amazon.com/dp/B0C44F1WS2?psc=1" TargetMode="External"/><Relationship Id="rId374" Type="http://schemas.openxmlformats.org/officeDocument/2006/relationships/hyperlink" Target="https://www.amazon.com/stores/LibertyBrandsUS/page/86B8F426-1D1E-4E88-9059-DDB4DF1E042E?ref_=ast_bln&amp;store_ref=bl_ast_dp_brandLogo_sto" TargetMode="External"/><Relationship Id="rId373" Type="http://schemas.openxmlformats.org/officeDocument/2006/relationships/hyperlink" Target="https://www.amazon.com/dp/B0C44F1WS2" TargetMode="External"/><Relationship Id="rId372" Type="http://schemas.openxmlformats.org/officeDocument/2006/relationships/hyperlink" Target="https://www.amazon.com/gp/help/seller/at-a-glance.html/ref=dp_merchant_link?seller=A175AG80UVDQ2Q" TargetMode="External"/><Relationship Id="rId371" Type="http://schemas.openxmlformats.org/officeDocument/2006/relationships/hyperlink" Target="https://www.amazon.com/dp/B07QCSDVYS" TargetMode="External"/><Relationship Id="rId370" Type="http://schemas.openxmlformats.org/officeDocument/2006/relationships/hyperlink" Target="https://m.media-amazon.com/images/I/419uWYA2FSL._AC_SR600,600_.jpg" TargetMode="External"/><Relationship Id="rId37" Type="http://schemas.openxmlformats.org/officeDocument/2006/relationships/hyperlink" Target="https://www.amazon.com/dp/B08XKH393K?psc=1" TargetMode="External"/><Relationship Id="rId369" Type="http://schemas.openxmlformats.org/officeDocument/2006/relationships/hyperlink" Target="https://www.amazon.com/dp/B07YCD7JLF?psc=1" TargetMode="External"/><Relationship Id="rId368" Type="http://schemas.openxmlformats.org/officeDocument/2006/relationships/hyperlink" Target="https://www.amazon.com/stores/RUNNINGGIRL/page/B7ACC67E-2539-43EF-98B5-E77ACC4F1B02?ref_=ast_bln&amp;store_ref=bl_ast_dp_brandLogo_sto" TargetMode="External"/><Relationship Id="rId367" Type="http://schemas.openxmlformats.org/officeDocument/2006/relationships/hyperlink" Target="https://www.amazon.com/dp/B07YCD7JLF" TargetMode="External"/><Relationship Id="rId366" Type="http://schemas.openxmlformats.org/officeDocument/2006/relationships/hyperlink" Target="https://www.amazon.com/gp/help/seller/at-a-glance.html/ref=dp_merchant_link?seller=A1E4Y5YJSDRM31" TargetMode="External"/><Relationship Id="rId365" Type="http://schemas.openxmlformats.org/officeDocument/2006/relationships/hyperlink" Target="https://www.amazon.com/dp/B0C45219G2" TargetMode="External"/><Relationship Id="rId364" Type="http://schemas.openxmlformats.org/officeDocument/2006/relationships/hyperlink" Target="https://m.media-amazon.com/images/I/41LCmbYvW-L._AC_SR600,600_.jpg" TargetMode="External"/><Relationship Id="rId363" Type="http://schemas.openxmlformats.org/officeDocument/2006/relationships/hyperlink" Target="https://www.amazon.com/dp/B0D1DKS951?psc=1" TargetMode="External"/><Relationship Id="rId362" Type="http://schemas.openxmlformats.org/officeDocument/2006/relationships/hyperlink" Target="https://www.amazon.com/stores/LibertyBrandsUS/page/86B8F426-1D1E-4E88-9059-DDB4DF1E042E?ref_=ast_bln" TargetMode="External"/><Relationship Id="rId361" Type="http://schemas.openxmlformats.org/officeDocument/2006/relationships/hyperlink" Target="https://www.amazon.com/dp/B0D1DKS951" TargetMode="External"/><Relationship Id="rId360" Type="http://schemas.openxmlformats.org/officeDocument/2006/relationships/hyperlink" Target="https://www.amazon.com/dp/B0CP78PRK2" TargetMode="External"/><Relationship Id="rId36" Type="http://schemas.openxmlformats.org/officeDocument/2006/relationships/hyperlink" Target="https://www.amazon.com/stores/Porvike/page/5F3D1C29-2CDD-4B28-B3F6-7376B4CF7575?ref_=ast_bln&amp;store_ref=bl_ast_dp_brandLogo_sto" TargetMode="External"/><Relationship Id="rId359" Type="http://schemas.openxmlformats.org/officeDocument/2006/relationships/hyperlink" Target="https://m.media-amazon.com/images/I/31AgD0NoW+L._AC_SR600,600_.jpg" TargetMode="External"/><Relationship Id="rId358" Type="http://schemas.openxmlformats.org/officeDocument/2006/relationships/hyperlink" Target="https://www.amazon.com/dp/B0CP6SXS1T?psc=1" TargetMode="External"/><Relationship Id="rId357" Type="http://schemas.openxmlformats.org/officeDocument/2006/relationships/hyperlink" Target="https://www.amazon.com/dp/B0CP6SXS1T" TargetMode="External"/><Relationship Id="rId356" Type="http://schemas.openxmlformats.org/officeDocument/2006/relationships/hyperlink" Target="https://www.amazon.com/gp/help/seller/at-a-glance.html/ref=dp_merchant_link?seller=AZGV1IEN6OI6N" TargetMode="External"/><Relationship Id="rId355" Type="http://schemas.openxmlformats.org/officeDocument/2006/relationships/hyperlink" Target="https://www.amazon.com/dp/B0BW8F34FN" TargetMode="External"/><Relationship Id="rId354" Type="http://schemas.openxmlformats.org/officeDocument/2006/relationships/hyperlink" Target="https://images-na.ssl-images-amazon.com/images/I/61o+I-kIC+L._AC_US600_.jpg" TargetMode="External"/><Relationship Id="rId353" Type="http://schemas.openxmlformats.org/officeDocument/2006/relationships/hyperlink" Target="https://www.amazon.com/dp/B0BW8HC4VS?psc=1" TargetMode="External"/><Relationship Id="rId352" Type="http://schemas.openxmlformats.org/officeDocument/2006/relationships/hyperlink" Target="https://www.amazon.com/stores/LASLULU/page/5CF9E229-4A56-44CC-A695-13A36C59741A?ref_=ast_bln&amp;store_ref=bl_ast_dp_brandLogo_sto" TargetMode="External"/><Relationship Id="rId351" Type="http://schemas.openxmlformats.org/officeDocument/2006/relationships/hyperlink" Target="https://www.amazon.com/dp/B0BW8HC4VS" TargetMode="External"/><Relationship Id="rId350" Type="http://schemas.openxmlformats.org/officeDocument/2006/relationships/hyperlink" Target="https://www.amazon.com/dp/B07QZD83GP" TargetMode="External"/><Relationship Id="rId35" Type="http://schemas.openxmlformats.org/officeDocument/2006/relationships/hyperlink" Target="https://www.amazon.com/dp/B08XKH393K" TargetMode="External"/><Relationship Id="rId349" Type="http://schemas.openxmlformats.org/officeDocument/2006/relationships/hyperlink" Target="https://m.media-amazon.com/images/I/31piq2TBefL._AC_SR600,600_.jpg" TargetMode="External"/><Relationship Id="rId348" Type="http://schemas.openxmlformats.org/officeDocument/2006/relationships/hyperlink" Target="https://www.amazon.com/dp/B07R2JFNGV?psc=1" TargetMode="External"/><Relationship Id="rId347" Type="http://schemas.openxmlformats.org/officeDocument/2006/relationships/hyperlink" Target="https://www.amazon.com/dp/B07R2JFNGV" TargetMode="External"/><Relationship Id="rId346" Type="http://schemas.openxmlformats.org/officeDocument/2006/relationships/hyperlink" Target="https://www.amazon.com/gp/help/seller/at-a-glance.html/ref=dp_merchant_link?seller=A1CUN78WUCCP7Z" TargetMode="External"/><Relationship Id="rId345" Type="http://schemas.openxmlformats.org/officeDocument/2006/relationships/hyperlink" Target="https://www.amazon.com/dp/B0CTCZTYGV" TargetMode="External"/><Relationship Id="rId344" Type="http://schemas.openxmlformats.org/officeDocument/2006/relationships/hyperlink" Target="https://m.media-amazon.com/images/I/31+sN0SWe7L._AC_SR600,600_.jpg" TargetMode="External"/><Relationship Id="rId343" Type="http://schemas.openxmlformats.org/officeDocument/2006/relationships/hyperlink" Target="https://www.amazon.com/dp/B0CTDDN74H?psc=1" TargetMode="External"/><Relationship Id="rId342" Type="http://schemas.openxmlformats.org/officeDocument/2006/relationships/hyperlink" Target="https://www.amazon.com/stores/Hiwzffy/page/0E999CED-1253-446A-99A2-E1F89E8109CB?ref_=ast_bln" TargetMode="External"/><Relationship Id="rId341" Type="http://schemas.openxmlformats.org/officeDocument/2006/relationships/hyperlink" Target="https://www.amazon.com/dp/B0CTDDN74H" TargetMode="External"/><Relationship Id="rId340" Type="http://schemas.openxmlformats.org/officeDocument/2006/relationships/hyperlink" Target="https://www.amazon.com/gp/help/seller/at-a-glance.html/ref=dp_merchant_link?seller=AAQ3G1ZNTCFFU" TargetMode="External"/><Relationship Id="rId34" Type="http://schemas.openxmlformats.org/officeDocument/2006/relationships/hyperlink" Target="https://www.amazon.com/gp/help/seller/at-a-glance.html/ref=dp_merchant_link?seller=A3RSU166TSH1QC" TargetMode="External"/><Relationship Id="rId339" Type="http://schemas.openxmlformats.org/officeDocument/2006/relationships/hyperlink" Target="https://www.amazon.com/dp/B0DBL8NBDL" TargetMode="External"/><Relationship Id="rId338" Type="http://schemas.openxmlformats.org/officeDocument/2006/relationships/hyperlink" Target="https://m.media-amazon.com/images/I/41IST2BREXL._AC_SR600,600_.jpg" TargetMode="External"/><Relationship Id="rId337" Type="http://schemas.openxmlformats.org/officeDocument/2006/relationships/hyperlink" Target="https://www.amazon.com/dp/B0D6YRL44H?psc=1" TargetMode="External"/><Relationship Id="rId336" Type="http://schemas.openxmlformats.org/officeDocument/2006/relationships/hyperlink" Target="https://www.amazon.com/stores/JarofLove/page/4640E5A7-34B3-4E5C-81B1-133AB5A40ABD?ref_=ast_bln&amp;store_ref=bl_ast_dp_brandLogo_sto" TargetMode="External"/><Relationship Id="rId335" Type="http://schemas.openxmlformats.org/officeDocument/2006/relationships/hyperlink" Target="https://www.amazon.com/dp/B0D6YRL44H" TargetMode="External"/><Relationship Id="rId334" Type="http://schemas.openxmlformats.org/officeDocument/2006/relationships/hyperlink" Target="https://www.amazon.com/dp/B09PT8ZRS3" TargetMode="External"/><Relationship Id="rId333" Type="http://schemas.openxmlformats.org/officeDocument/2006/relationships/hyperlink" Target="https://m.media-amazon.com/images/I/31vTldklhXL._AC_SR600,600_.jpg" TargetMode="External"/><Relationship Id="rId332" Type="http://schemas.openxmlformats.org/officeDocument/2006/relationships/hyperlink" Target="https://www.amazon.com/dp/B0B9T24MSK?psc=1" TargetMode="External"/><Relationship Id="rId331" Type="http://schemas.openxmlformats.org/officeDocument/2006/relationships/hyperlink" Target="https://www.amazon.com/dp/B0B9T24MSK" TargetMode="External"/><Relationship Id="rId330" Type="http://schemas.openxmlformats.org/officeDocument/2006/relationships/hyperlink" Target="https://www.amazon.com/dp/B0BYZNL97W" TargetMode="External"/><Relationship Id="rId33" Type="http://schemas.openxmlformats.org/officeDocument/2006/relationships/hyperlink" Target="https://www.amazon.com/dp/B0CJ47F2TN" TargetMode="External"/><Relationship Id="rId329" Type="http://schemas.openxmlformats.org/officeDocument/2006/relationships/hyperlink" Target="https://m.media-amazon.com/images/I/31Fh+DaKKEL._AC_SR600,600_.jpg" TargetMode="External"/><Relationship Id="rId328" Type="http://schemas.openxmlformats.org/officeDocument/2006/relationships/hyperlink" Target="https://www.amazon.com/dp/B0BYZP52VH?psc=1" TargetMode="External"/><Relationship Id="rId327" Type="http://schemas.openxmlformats.org/officeDocument/2006/relationships/hyperlink" Target="https://www.amazon.com/dp/B0BYZP52VH" TargetMode="External"/><Relationship Id="rId326" Type="http://schemas.openxmlformats.org/officeDocument/2006/relationships/hyperlink" Target="https://www.amazon.com/gp/help/seller/at-a-glance.html/ref=dp_merchant_link?seller=AFMBZRUDFS19D" TargetMode="External"/><Relationship Id="rId325" Type="http://schemas.openxmlformats.org/officeDocument/2006/relationships/hyperlink" Target="https://www.amazon.com/dp/B0DBZ99SVK" TargetMode="External"/><Relationship Id="rId324" Type="http://schemas.openxmlformats.org/officeDocument/2006/relationships/hyperlink" Target="https://images-na.ssl-images-amazon.com/images/I/61rEl3umwDL._AC_US600_.jpg" TargetMode="External"/><Relationship Id="rId323" Type="http://schemas.openxmlformats.org/officeDocument/2006/relationships/hyperlink" Target="https://www.amazon.com/dp/B0DBZD9PHZ?psc=1" TargetMode="External"/><Relationship Id="rId322" Type="http://schemas.openxmlformats.org/officeDocument/2006/relationships/hyperlink" Target="https://www.amazon.com/stores/Hragc/page/466AF72A-24AF-4924-BB6C-0BC8D6DF346C?ref_=ast_bln" TargetMode="External"/><Relationship Id="rId321" Type="http://schemas.openxmlformats.org/officeDocument/2006/relationships/hyperlink" Target="https://www.amazon.com/dp/B0DBZD9PHZ" TargetMode="External"/><Relationship Id="rId320" Type="http://schemas.openxmlformats.org/officeDocument/2006/relationships/hyperlink" Target="https://www.amazon.com/dp/B0BP1GVMQZ" TargetMode="External"/><Relationship Id="rId32" Type="http://schemas.openxmlformats.org/officeDocument/2006/relationships/hyperlink" Target="https://m.media-amazon.com/images/I/31vNgcbWbqL._AC_SR600,600_.jpg" TargetMode="External"/><Relationship Id="rId319" Type="http://schemas.openxmlformats.org/officeDocument/2006/relationships/hyperlink" Target="https://m.media-amazon.com/images/I/416N6s3I+VL._AC_SR600,600_.jpg" TargetMode="External"/><Relationship Id="rId318" Type="http://schemas.openxmlformats.org/officeDocument/2006/relationships/hyperlink" Target="https://www.amazon.com/dp/B0BP1FH62Q?psc=1" TargetMode="External"/><Relationship Id="rId317" Type="http://schemas.openxmlformats.org/officeDocument/2006/relationships/hyperlink" Target="https://www.amazon.com/dp/B0BP1FH62Q" TargetMode="External"/><Relationship Id="rId316" Type="http://schemas.openxmlformats.org/officeDocument/2006/relationships/hyperlink" Target="https://www.amazon.com/dp/B09YQDF2YN" TargetMode="External"/><Relationship Id="rId315" Type="http://schemas.openxmlformats.org/officeDocument/2006/relationships/hyperlink" Target="https://m.media-amazon.com/images/I/31ig4cqaakL._AC_SR600,600_.jpg" TargetMode="External"/><Relationship Id="rId314" Type="http://schemas.openxmlformats.org/officeDocument/2006/relationships/hyperlink" Target="https://www.amazon.com/dp/B09Y189Y97?psc=1" TargetMode="External"/><Relationship Id="rId313" Type="http://schemas.openxmlformats.org/officeDocument/2006/relationships/hyperlink" Target="https://www.amazon.com/dp/B09Y189Y97" TargetMode="External"/><Relationship Id="rId312" Type="http://schemas.openxmlformats.org/officeDocument/2006/relationships/hyperlink" Target="https://www.amazon.com/dp/B0D9199BYS" TargetMode="External"/><Relationship Id="rId311" Type="http://schemas.openxmlformats.org/officeDocument/2006/relationships/hyperlink" Target="https://m.media-amazon.com/images/I/316j9bv-2GL._AC_SR600,600_.jpg" TargetMode="External"/><Relationship Id="rId310" Type="http://schemas.openxmlformats.org/officeDocument/2006/relationships/hyperlink" Target="https://www.amazon.com/dp/B0C12T5LM4?psc=1" TargetMode="External"/><Relationship Id="rId31" Type="http://schemas.openxmlformats.org/officeDocument/2006/relationships/hyperlink" Target="https://www.amazon.com/dp/B0BZZ3PR4T?psc=1" TargetMode="External"/><Relationship Id="rId309" Type="http://schemas.openxmlformats.org/officeDocument/2006/relationships/hyperlink" Target="https://www.amazon.com/dp/B0C12T5LM4" TargetMode="External"/><Relationship Id="rId308" Type="http://schemas.openxmlformats.org/officeDocument/2006/relationships/hyperlink" Target="https://www.amazon.com/dp/B09TW88NL1" TargetMode="External"/><Relationship Id="rId307" Type="http://schemas.openxmlformats.org/officeDocument/2006/relationships/hyperlink" Target="https://m.media-amazon.com/images/I/41GqmQm2hhL._AC_SR600,600_.jpg" TargetMode="External"/><Relationship Id="rId306" Type="http://schemas.openxmlformats.org/officeDocument/2006/relationships/hyperlink" Target="https://www.amazon.com/dp/B0C4NBQW9Y?psc=1" TargetMode="External"/><Relationship Id="rId305" Type="http://schemas.openxmlformats.org/officeDocument/2006/relationships/hyperlink" Target="https://www.amazon.com/dp/B0C4NBQW9Y" TargetMode="External"/><Relationship Id="rId304" Type="http://schemas.openxmlformats.org/officeDocument/2006/relationships/hyperlink" Target="https://www.amazon.com/dp/B07DW4CQ2F" TargetMode="External"/><Relationship Id="rId303" Type="http://schemas.openxmlformats.org/officeDocument/2006/relationships/hyperlink" Target="https://m.media-amazon.com/images/I/41kNz4t0BqL._AC_SR600,600_.jpg" TargetMode="External"/><Relationship Id="rId302" Type="http://schemas.openxmlformats.org/officeDocument/2006/relationships/hyperlink" Target="https://www.amazon.com/dp/B07FGDYRSP?psc=1" TargetMode="External"/><Relationship Id="rId301" Type="http://schemas.openxmlformats.org/officeDocument/2006/relationships/hyperlink" Target="https://www.amazon.com/dp/B07FGDYRSP" TargetMode="External"/><Relationship Id="rId300" Type="http://schemas.openxmlformats.org/officeDocument/2006/relationships/hyperlink" Target="https://www.amazon.com/gp/help/seller/at-a-glance.html/ref=dp_merchant_link?seller=AX00NMSL0P3ZM" TargetMode="External"/><Relationship Id="rId30" Type="http://schemas.openxmlformats.org/officeDocument/2006/relationships/hyperlink" Target="https://www.amazon.com/stores/Mathcat/page/1F132CBA-9164-4DF4-8867-E24A0E0291C8?ref_=ast_bln&amp;store_ref=bl_ast_dp_brandLogo_sto" TargetMode="External"/><Relationship Id="rId3" Type="http://schemas.openxmlformats.org/officeDocument/2006/relationships/hyperlink" Target="https://www.amazon.com/dp/B088CYZNKS?psc=1" TargetMode="External"/><Relationship Id="rId299" Type="http://schemas.openxmlformats.org/officeDocument/2006/relationships/hyperlink" Target="https://www.amazon.com/dp/B0D4876ZRT" TargetMode="External"/><Relationship Id="rId298" Type="http://schemas.openxmlformats.org/officeDocument/2006/relationships/hyperlink" Target="https://m.media-amazon.com/images/I/41wsbziQXEL._AC_SR600,600_.jpg" TargetMode="External"/><Relationship Id="rId297" Type="http://schemas.openxmlformats.org/officeDocument/2006/relationships/hyperlink" Target="https://www.amazon.com/dp/B083QVQJPM?psc=1" TargetMode="External"/><Relationship Id="rId296" Type="http://schemas.openxmlformats.org/officeDocument/2006/relationships/hyperlink" Target="https://www.amazon.com/stores/StarVibe/page/E1A8001C-F49C-49D2-BFDC-90FE31F4C5D2?ref_=ast_bln&amp;store_ref=bl_ast_dp_brandLogo_sto" TargetMode="External"/><Relationship Id="rId295" Type="http://schemas.openxmlformats.org/officeDocument/2006/relationships/hyperlink" Target="https://www.amazon.com/dp/B083QVQJPM" TargetMode="External"/><Relationship Id="rId294" Type="http://schemas.openxmlformats.org/officeDocument/2006/relationships/hyperlink" Target="https://www.amazon.com/dp/B0C4RYHGJW" TargetMode="External"/><Relationship Id="rId293" Type="http://schemas.openxmlformats.org/officeDocument/2006/relationships/hyperlink" Target="https://images-na.ssl-images-amazon.com/images/I/81nBNKFWYfL._AC_US600_.jpg" TargetMode="External"/><Relationship Id="rId292" Type="http://schemas.openxmlformats.org/officeDocument/2006/relationships/hyperlink" Target="https://www.amazon.com/dp/B0C1HQFPMG?psc=1" TargetMode="External"/><Relationship Id="rId291" Type="http://schemas.openxmlformats.org/officeDocument/2006/relationships/hyperlink" Target="https://www.amazon.com/dp/B0C1HQFPMG" TargetMode="External"/><Relationship Id="rId290" Type="http://schemas.openxmlformats.org/officeDocument/2006/relationships/hyperlink" Target="https://www.amazon.com/gp/help/seller/at-a-glance.html/ref=dp_merchant_link?seller=ARIK0ZVGOK8ND" TargetMode="External"/><Relationship Id="rId29" Type="http://schemas.openxmlformats.org/officeDocument/2006/relationships/hyperlink" Target="https://www.amazon.com/dp/B0BZZ3PR4T" TargetMode="External"/><Relationship Id="rId289" Type="http://schemas.openxmlformats.org/officeDocument/2006/relationships/hyperlink" Target="https://www.amazon.com/dp/B074ZBVSTY" TargetMode="External"/><Relationship Id="rId288" Type="http://schemas.openxmlformats.org/officeDocument/2006/relationships/hyperlink" Target="https://m.media-amazon.com/images/I/41zbZAdnfYL._AC_SR600,600_.jpg" TargetMode="External"/><Relationship Id="rId287" Type="http://schemas.openxmlformats.org/officeDocument/2006/relationships/hyperlink" Target="https://www.amazon.com/dp/B074Z7C9FV?psc=1" TargetMode="External"/><Relationship Id="rId286" Type="http://schemas.openxmlformats.org/officeDocument/2006/relationships/hyperlink" Target="https://www.amazon.com/stores/Bestisun/page/B9E60706-212A-4D26-9B9D-2808CE81D2FC?ref_=ast_bln&amp;store_ref=bl_ast_dp_brandLogo_sto" TargetMode="External"/><Relationship Id="rId285" Type="http://schemas.openxmlformats.org/officeDocument/2006/relationships/hyperlink" Target="https://www.amazon.com/dp/B074Z7C9FV" TargetMode="External"/><Relationship Id="rId284" Type="http://schemas.openxmlformats.org/officeDocument/2006/relationships/hyperlink" Target="https://www.amazon.com/dp/B01LXJ90ZE" TargetMode="External"/><Relationship Id="rId283" Type="http://schemas.openxmlformats.org/officeDocument/2006/relationships/hyperlink" Target="https://m.media-amazon.com/images/I/41zp2bQPwVL._AC_SR600,600_.jpg" TargetMode="External"/><Relationship Id="rId282" Type="http://schemas.openxmlformats.org/officeDocument/2006/relationships/hyperlink" Target="https://www.amazon.com/dp/B07QQY7FVQ?psc=1" TargetMode="External"/><Relationship Id="rId281" Type="http://schemas.openxmlformats.org/officeDocument/2006/relationships/hyperlink" Target="https://www.amazon.com/dp/B07QQY7FVQ" TargetMode="External"/><Relationship Id="rId280" Type="http://schemas.openxmlformats.org/officeDocument/2006/relationships/hyperlink" Target="https://www.amazon.com/dp/B0CV3LPYTW" TargetMode="External"/><Relationship Id="rId28" Type="http://schemas.openxmlformats.org/officeDocument/2006/relationships/hyperlink" Target="https://www.amazon.com/gp/help/seller/at-a-glance.html/ref=dp_merchant_link?seller=A3V4TQXRZY9U20" TargetMode="External"/><Relationship Id="rId279" Type="http://schemas.openxmlformats.org/officeDocument/2006/relationships/hyperlink" Target="https://m.media-amazon.com/images/I/31eZeUcOMwL._AC_SR600,600_.jpg" TargetMode="External"/><Relationship Id="rId278" Type="http://schemas.openxmlformats.org/officeDocument/2006/relationships/hyperlink" Target="https://www.amazon.com/dp/B0DGL61HW7?psc=1" TargetMode="External"/><Relationship Id="rId277" Type="http://schemas.openxmlformats.org/officeDocument/2006/relationships/hyperlink" Target="https://www.amazon.com/dp/B0DGL61HW7" TargetMode="External"/><Relationship Id="rId276" Type="http://schemas.openxmlformats.org/officeDocument/2006/relationships/hyperlink" Target="https://www.amazon.com/dp/B07C2QPRRB" TargetMode="External"/><Relationship Id="rId275" Type="http://schemas.openxmlformats.org/officeDocument/2006/relationships/hyperlink" Target="https://m.media-amazon.com/images/I/41QBjoqzAML._AC_SR600,600_.jpg" TargetMode="External"/><Relationship Id="rId274" Type="http://schemas.openxmlformats.org/officeDocument/2006/relationships/hyperlink" Target="https://www.amazon.com/dp/B07C2TFFV2?psc=1" TargetMode="External"/><Relationship Id="rId273" Type="http://schemas.openxmlformats.org/officeDocument/2006/relationships/hyperlink" Target="https://www.amazon.com/dp/B07C2TFFV2" TargetMode="External"/><Relationship Id="rId272" Type="http://schemas.openxmlformats.org/officeDocument/2006/relationships/hyperlink" Target="https://www.amazon.com/gp/help/seller/at-a-glance.html/ref=dp_merchant_link?seller=A6ZS2FQICRIT" TargetMode="External"/><Relationship Id="rId271" Type="http://schemas.openxmlformats.org/officeDocument/2006/relationships/hyperlink" Target="https://www.amazon.com/dp/B088ZHBXNK" TargetMode="External"/><Relationship Id="rId270" Type="http://schemas.openxmlformats.org/officeDocument/2006/relationships/hyperlink" Target="https://m.media-amazon.com/images/I/413+V5fKJTL._AC_SR600,600_.jpg" TargetMode="External"/><Relationship Id="rId27" Type="http://schemas.openxmlformats.org/officeDocument/2006/relationships/hyperlink" Target="https://www.amazon.com/dp/B0B1ZKKP6K" TargetMode="External"/><Relationship Id="rId269" Type="http://schemas.openxmlformats.org/officeDocument/2006/relationships/hyperlink" Target="https://www.amazon.com/dp/B08H1Z695F?psc=1" TargetMode="External"/><Relationship Id="rId268" Type="http://schemas.openxmlformats.org/officeDocument/2006/relationships/hyperlink" Target="https://www.amazon.com/stores/CosyPyro/page/26123B7D-2A77-4663-BF4F-F66FAE63A93C?ref_=ast_bln&amp;store_ref=bl_ast_dp_brandLogo_sto" TargetMode="External"/><Relationship Id="rId267" Type="http://schemas.openxmlformats.org/officeDocument/2006/relationships/hyperlink" Target="https://www.amazon.com/dp/B08H1Z695F" TargetMode="External"/><Relationship Id="rId266" Type="http://schemas.openxmlformats.org/officeDocument/2006/relationships/hyperlink" Target="https://www.amazon.com/gp/help/seller/at-a-glance.html/ref=dp_merchant_link?seller=AAQSFT3KOH2D5" TargetMode="External"/><Relationship Id="rId265" Type="http://schemas.openxmlformats.org/officeDocument/2006/relationships/hyperlink" Target="https://www.amazon.com/dp/B0D4QTS421" TargetMode="External"/><Relationship Id="rId264" Type="http://schemas.openxmlformats.org/officeDocument/2006/relationships/hyperlink" Target="https://m.media-amazon.com/images/I/31vN5aogLYL._AC_SR600,600_.jpg" TargetMode="External"/><Relationship Id="rId263" Type="http://schemas.openxmlformats.org/officeDocument/2006/relationships/hyperlink" Target="https://www.amazon.com/dp/B0D4QQ4CZY?psc=1" TargetMode="External"/><Relationship Id="rId262" Type="http://schemas.openxmlformats.org/officeDocument/2006/relationships/hyperlink" Target="https://www.amazon.com/stores/YEOREO/page/D0186F57-88F5-43BB-9577-A57BEC074E3B?ref_=ast_bln&amp;store_ref=bl_ast_dp_brandLogo_sto" TargetMode="External"/><Relationship Id="rId261" Type="http://schemas.openxmlformats.org/officeDocument/2006/relationships/hyperlink" Target="https://www.amazon.com/dp/B0D4QQ4CZY" TargetMode="External"/><Relationship Id="rId260" Type="http://schemas.openxmlformats.org/officeDocument/2006/relationships/hyperlink" Target="https://www.amazon.com/dp/B0D3Q4BG54" TargetMode="External"/><Relationship Id="rId26" Type="http://schemas.openxmlformats.org/officeDocument/2006/relationships/hyperlink" Target="https://images-na.ssl-images-amazon.com/images/I/51d6OtIphjL._AC_US600_.jpg" TargetMode="External"/><Relationship Id="rId259" Type="http://schemas.openxmlformats.org/officeDocument/2006/relationships/hyperlink" Target="https://m.media-amazon.com/images/I/41D1Q4ReHdL._AC_SR600,600_.jpg" TargetMode="External"/><Relationship Id="rId258" Type="http://schemas.openxmlformats.org/officeDocument/2006/relationships/hyperlink" Target="https://www.amazon.com/dp/B07Z548CG9?psc=1" TargetMode="External"/><Relationship Id="rId257" Type="http://schemas.openxmlformats.org/officeDocument/2006/relationships/hyperlink" Target="https://www.amazon.com/dp/B07Z548CG9" TargetMode="External"/><Relationship Id="rId256" Type="http://schemas.openxmlformats.org/officeDocument/2006/relationships/hyperlink" Target="https://www.amazon.com/gp/help/seller/at-a-glance.html/ref=dp_merchant_link?seller=A3OWKH4NEZD31B" TargetMode="External"/><Relationship Id="rId255" Type="http://schemas.openxmlformats.org/officeDocument/2006/relationships/hyperlink" Target="https://www.amazon.com/dp/B09H54D15Q" TargetMode="External"/><Relationship Id="rId254" Type="http://schemas.openxmlformats.org/officeDocument/2006/relationships/hyperlink" Target="https://m.media-amazon.com/images/I/41PvR9HlUFL._AC_SR600,600_.jpg" TargetMode="External"/><Relationship Id="rId253" Type="http://schemas.openxmlformats.org/officeDocument/2006/relationships/hyperlink" Target="https://www.amazon.com/dp/B08XFXNLF3?psc=1" TargetMode="External"/><Relationship Id="rId252" Type="http://schemas.openxmlformats.org/officeDocument/2006/relationships/hyperlink" Target="https://www.amazon.com/stores/HATOPANTS-EVERYDAYWEAR/page/A64BF909-7E14-4039-9394-BDF035B60EDA?ref_=ast_bln" TargetMode="External"/><Relationship Id="rId251" Type="http://schemas.openxmlformats.org/officeDocument/2006/relationships/hyperlink" Target="https://www.amazon.com/dp/B08XFXNLF3" TargetMode="External"/><Relationship Id="rId250" Type="http://schemas.openxmlformats.org/officeDocument/2006/relationships/hyperlink" Target="https://www.amazon.com/dp/B0CNZ6QG3M" TargetMode="External"/><Relationship Id="rId25" Type="http://schemas.openxmlformats.org/officeDocument/2006/relationships/hyperlink" Target="https://www.amazon.com/dp/B0B1ZLP332?psc=1" TargetMode="External"/><Relationship Id="rId249" Type="http://schemas.openxmlformats.org/officeDocument/2006/relationships/hyperlink" Target="https://m.media-amazon.com/images/I/316z+-yRqBL._AC_SR600,600_.jpg" TargetMode="External"/><Relationship Id="rId248" Type="http://schemas.openxmlformats.org/officeDocument/2006/relationships/hyperlink" Target="https://www.amazon.com/dp/B0CNZ2K3YT?psc=1" TargetMode="External"/><Relationship Id="rId247" Type="http://schemas.openxmlformats.org/officeDocument/2006/relationships/hyperlink" Target="https://www.amazon.com/dp/B0CNZ2K3YT" TargetMode="External"/><Relationship Id="rId246" Type="http://schemas.openxmlformats.org/officeDocument/2006/relationships/hyperlink" Target="https://www.amazon.com/gp/help/seller/at-a-glance.html/ref=dp_merchant_link?seller=ADPI9LE50EUV" TargetMode="External"/><Relationship Id="rId245" Type="http://schemas.openxmlformats.org/officeDocument/2006/relationships/hyperlink" Target="https://www.amazon.com/dp/B0CP7WGWWV" TargetMode="External"/><Relationship Id="rId244" Type="http://schemas.openxmlformats.org/officeDocument/2006/relationships/hyperlink" Target="https://m.media-amazon.com/images/I/416Y0TS+uJL._AC_SR600,600_.jpg" TargetMode="External"/><Relationship Id="rId243" Type="http://schemas.openxmlformats.org/officeDocument/2006/relationships/hyperlink" Target="https://www.amazon.com/dp/B0CPP2J9QD?psc=1" TargetMode="External"/><Relationship Id="rId242" Type="http://schemas.openxmlformats.org/officeDocument/2006/relationships/hyperlink" Target="https://www.amazon.com/stores/ANRABESS/page/937C5045-E1CD-46BB-99F1-38FA5C0E3B27?ref_=ast_bln&amp;store_ref=bl_ast_dp_brandLogo_sto" TargetMode="External"/><Relationship Id="rId241" Type="http://schemas.openxmlformats.org/officeDocument/2006/relationships/hyperlink" Target="https://www.amazon.com/dp/B0CPP2J9QD" TargetMode="External"/><Relationship Id="rId240" Type="http://schemas.openxmlformats.org/officeDocument/2006/relationships/hyperlink" Target="https://www.amazon.com/gp/help/seller/at-a-glance.html/ref=dp_merchant_link?seller=A2ZO1F0HRSC2G3" TargetMode="External"/><Relationship Id="rId24" Type="http://schemas.openxmlformats.org/officeDocument/2006/relationships/hyperlink" Target="https://www.amazon.com/stores/OQQ/page/F480BC96-6404-4EE6-B706-2D8C860FF032?ref_=ast_bln&amp;store_ref=bl_ast_dp_brandLogo_sto" TargetMode="External"/><Relationship Id="rId239" Type="http://schemas.openxmlformats.org/officeDocument/2006/relationships/hyperlink" Target="https://www.amazon.com/dp/B07KPKQ1DQ" TargetMode="External"/><Relationship Id="rId238" Type="http://schemas.openxmlformats.org/officeDocument/2006/relationships/hyperlink" Target="https://m.media-amazon.com/images/I/41OmEBOxOrL._AC_SR600,600_.jpg" TargetMode="External"/><Relationship Id="rId237" Type="http://schemas.openxmlformats.org/officeDocument/2006/relationships/hyperlink" Target="https://www.amazon.com/dp/B0BVPKVTN8?psc=1" TargetMode="External"/><Relationship Id="rId236" Type="http://schemas.openxmlformats.org/officeDocument/2006/relationships/hyperlink" Target="https://www.amazon.com/stores/RealEssentials/page/FBE83AF6-EE5D-4217-AB93-7822B24A96FB?ref_=ast_bln&amp;store_ref=bl_ast_dp_brandLogo_sto" TargetMode="External"/><Relationship Id="rId235" Type="http://schemas.openxmlformats.org/officeDocument/2006/relationships/hyperlink" Target="https://www.amazon.com/dp/B0BVPKVTN8" TargetMode="External"/><Relationship Id="rId234" Type="http://schemas.openxmlformats.org/officeDocument/2006/relationships/hyperlink" Target="https://www.amazon.com/dp/B0D7ZHM3RW" TargetMode="External"/><Relationship Id="rId233" Type="http://schemas.openxmlformats.org/officeDocument/2006/relationships/hyperlink" Target="https://m.media-amazon.com/images/I/31yL62a+GWL._AC_SR600,600_.jpg" TargetMode="External"/><Relationship Id="rId232" Type="http://schemas.openxmlformats.org/officeDocument/2006/relationships/hyperlink" Target="https://www.amazon.com/dp/B0D7Z78VFP?psc=1" TargetMode="External"/><Relationship Id="rId231" Type="http://schemas.openxmlformats.org/officeDocument/2006/relationships/hyperlink" Target="https://www.amazon.com/dp/B0D7Z78VFP" TargetMode="External"/><Relationship Id="rId230" Type="http://schemas.openxmlformats.org/officeDocument/2006/relationships/hyperlink" Target="https://www.amazon.com/gp/help/seller/at-a-glance.html/ref=dp_merchant_link?seller=A30RISEUMG8SY4" TargetMode="External"/><Relationship Id="rId23" Type="http://schemas.openxmlformats.org/officeDocument/2006/relationships/hyperlink" Target="https://www.amazon.com/dp/B0B1ZLP332" TargetMode="External"/><Relationship Id="rId229" Type="http://schemas.openxmlformats.org/officeDocument/2006/relationships/hyperlink" Target="https://www.amazon.com/dp/B0DBQLQJ54" TargetMode="External"/><Relationship Id="rId228" Type="http://schemas.openxmlformats.org/officeDocument/2006/relationships/hyperlink" Target="https://images-na.ssl-images-amazon.com/images/I/6190fTtJeYL._AC_US600_.jpg" TargetMode="External"/><Relationship Id="rId227" Type="http://schemas.openxmlformats.org/officeDocument/2006/relationships/hyperlink" Target="https://www.amazon.com/dp/B0DBQPQLQD?psc=1" TargetMode="External"/><Relationship Id="rId226" Type="http://schemas.openxmlformats.org/officeDocument/2006/relationships/hyperlink" Target="https://www.amazon.com/SVALIY/b/ref=bl_sl_s_ap_web_18229911011?ie=UTF8&amp;node=18229911011&amp;field-lbr_brands_browse-bin=SVALIY" TargetMode="External"/><Relationship Id="rId225" Type="http://schemas.openxmlformats.org/officeDocument/2006/relationships/hyperlink" Target="https://www.amazon.com/dp/B0DBQPQLQD" TargetMode="External"/><Relationship Id="rId224" Type="http://schemas.openxmlformats.org/officeDocument/2006/relationships/hyperlink" Target="https://www.amazon.com/dp/B09YW149XP" TargetMode="External"/><Relationship Id="rId223" Type="http://schemas.openxmlformats.org/officeDocument/2006/relationships/hyperlink" Target="https://m.media-amazon.com/images/I/31R6KJLCrpL._AC_SR600,600_.jpg" TargetMode="External"/><Relationship Id="rId222" Type="http://schemas.openxmlformats.org/officeDocument/2006/relationships/hyperlink" Target="https://www.amazon.com/dp/B0CJWLL2DY?psc=1" TargetMode="External"/><Relationship Id="rId221" Type="http://schemas.openxmlformats.org/officeDocument/2006/relationships/hyperlink" Target="https://www.amazon.com/stores/UnderArmour/page/4750579C-0CF4-4BF9-B7E8-F782E52D7683?ref_=ast_bln&amp;store_ref=bl_ast_dp_brandLogo_sto" TargetMode="External"/><Relationship Id="rId220" Type="http://schemas.openxmlformats.org/officeDocument/2006/relationships/hyperlink" Target="https://www.amazon.com/dp/B0CJWLL2DY" TargetMode="External"/><Relationship Id="rId22" Type="http://schemas.openxmlformats.org/officeDocument/2006/relationships/hyperlink" Target="https://www.amazon.com/dp/B0D7NZF6TH" TargetMode="External"/><Relationship Id="rId219" Type="http://schemas.openxmlformats.org/officeDocument/2006/relationships/hyperlink" Target="https://www.amazon.com/dp/B0753GBMVM" TargetMode="External"/><Relationship Id="rId218" Type="http://schemas.openxmlformats.org/officeDocument/2006/relationships/hyperlink" Target="https://m.media-amazon.com/images/I/41QSasIdRGL._AC_SR600,600_.jpg" TargetMode="External"/><Relationship Id="rId217" Type="http://schemas.openxmlformats.org/officeDocument/2006/relationships/hyperlink" Target="https://www.amazon.com/dp/B075XC9MQK?psc=1" TargetMode="External"/><Relationship Id="rId216" Type="http://schemas.openxmlformats.org/officeDocument/2006/relationships/hyperlink" Target="https://www.amazon.com/dp/B075XC9MQK" TargetMode="External"/><Relationship Id="rId215" Type="http://schemas.openxmlformats.org/officeDocument/2006/relationships/hyperlink" Target="https://www.amazon.com/dp/B0DD3PLYTG" TargetMode="External"/><Relationship Id="rId214" Type="http://schemas.openxmlformats.org/officeDocument/2006/relationships/hyperlink" Target="https://m.media-amazon.com/images/I/41xuQMrJW7L._AC_SR600,600_.jpg" TargetMode="External"/><Relationship Id="rId213" Type="http://schemas.openxmlformats.org/officeDocument/2006/relationships/hyperlink" Target="https://www.amazon.com/dp/B07SG39YS1?psc=1" TargetMode="External"/><Relationship Id="rId212" Type="http://schemas.openxmlformats.org/officeDocument/2006/relationships/hyperlink" Target="https://www.amazon.com/dp/B07SG39YS1" TargetMode="External"/><Relationship Id="rId211" Type="http://schemas.openxmlformats.org/officeDocument/2006/relationships/hyperlink" Target="https://www.amazon.com/gp/help/seller/at-a-glance.html/ref=dp_merchant_link?seller=A3E1SQM5WUB3RR" TargetMode="External"/><Relationship Id="rId210" Type="http://schemas.openxmlformats.org/officeDocument/2006/relationships/hyperlink" Target="https://www.amazon.com/dp/B0CY2WVB4P" TargetMode="External"/><Relationship Id="rId21" Type="http://schemas.openxmlformats.org/officeDocument/2006/relationships/hyperlink" Target="https://images-na.ssl-images-amazon.com/images/I/71phVEHphvL._AC_US600_.jpg" TargetMode="External"/><Relationship Id="rId209" Type="http://schemas.openxmlformats.org/officeDocument/2006/relationships/hyperlink" Target="https://images-na.ssl-images-amazon.com/images/I/61qKwbsxb8L._AC_US600_.jpg" TargetMode="External"/><Relationship Id="rId208" Type="http://schemas.openxmlformats.org/officeDocument/2006/relationships/hyperlink" Target="https://www.amazon.com/dp/B0CY2V523Z?psc=1" TargetMode="External"/><Relationship Id="rId207" Type="http://schemas.openxmlformats.org/officeDocument/2006/relationships/hyperlink" Target="https://www.amazon.com/stores/SANTINY/page/C8E491B5-0FA2-4D0C-979E-F3B657EE0FA5?ref_=ast_bln&amp;store_ref=bl_ast_dp_brandLogo_sto" TargetMode="External"/><Relationship Id="rId206" Type="http://schemas.openxmlformats.org/officeDocument/2006/relationships/hyperlink" Target="https://www.amazon.com/dp/B0CY2V523Z" TargetMode="External"/><Relationship Id="rId205" Type="http://schemas.openxmlformats.org/officeDocument/2006/relationships/hyperlink" Target="https://www.amazon.com/gp/help/seller/at-a-glance.html/ref=dp_merchant_link?seller=A3CLXGTYGRLXLG" TargetMode="External"/><Relationship Id="rId204" Type="http://schemas.openxmlformats.org/officeDocument/2006/relationships/hyperlink" Target="https://www.amazon.com/dp/B09BDSWPH5" TargetMode="External"/><Relationship Id="rId203" Type="http://schemas.openxmlformats.org/officeDocument/2006/relationships/hyperlink" Target="https://m.media-amazon.com/images/I/418MmqszZiL._AC_SR600,600_.jpg" TargetMode="External"/><Relationship Id="rId202" Type="http://schemas.openxmlformats.org/officeDocument/2006/relationships/hyperlink" Target="https://www.amazon.com/dp/B0C4XZLQNV?psc=1" TargetMode="External"/><Relationship Id="rId201" Type="http://schemas.openxmlformats.org/officeDocument/2006/relationships/hyperlink" Target="https://www.amazon.com/stores/Joviren/page/66B7A0B4-E96C-4BF1-96F4-9924EF233A43?ref_=ast_bln&amp;store_ref=bl_ast_dp_brandLogo_sto" TargetMode="External"/><Relationship Id="rId200" Type="http://schemas.openxmlformats.org/officeDocument/2006/relationships/hyperlink" Target="https://www.amazon.com/dp/B0C4XZLQNV" TargetMode="External"/><Relationship Id="rId20" Type="http://schemas.openxmlformats.org/officeDocument/2006/relationships/hyperlink" Target="https://www.amazon.com/dp/B0869G1869?psc=1" TargetMode="External"/><Relationship Id="rId2" Type="http://schemas.openxmlformats.org/officeDocument/2006/relationships/hyperlink" Target="https://www.amazon.com/stores/Aeuui/page/1B235759-1F2D-40E0-A8E1-BAD5B4EE45D5?ref_=ast_bln&amp;store_ref=bl_ast_dp_brandLogo_sto" TargetMode="External"/><Relationship Id="rId199" Type="http://schemas.openxmlformats.org/officeDocument/2006/relationships/hyperlink" Target="https://www.amazon.com/gp/bestsellers/private-brands" TargetMode="External"/><Relationship Id="rId198" Type="http://schemas.openxmlformats.org/officeDocument/2006/relationships/hyperlink" Target="https://www.amazon.com/dp/B0D3NDP7NB" TargetMode="External"/><Relationship Id="rId197" Type="http://schemas.openxmlformats.org/officeDocument/2006/relationships/hyperlink" Target="https://m.media-amazon.com/images/I/41hxkrZxDvL._AC_SR600,600_.jpg" TargetMode="External"/><Relationship Id="rId196" Type="http://schemas.openxmlformats.org/officeDocument/2006/relationships/hyperlink" Target="https://www.amazon.com/dp/B08L8C343P?psc=1" TargetMode="External"/><Relationship Id="rId195" Type="http://schemas.openxmlformats.org/officeDocument/2006/relationships/hyperlink" Target="https://www.amazon.com/stores/AmazonEssentials/page/F8FB6F3C-F896-455C-BC52-7879F4CEF0CF?ref_=ast_bln&amp;store_ref=bl_ast_dp_brandLogo_sto" TargetMode="External"/><Relationship Id="rId194" Type="http://schemas.openxmlformats.org/officeDocument/2006/relationships/hyperlink" Target="https://www.amazon.com/dp/B08L8C343P" TargetMode="External"/><Relationship Id="rId193" Type="http://schemas.openxmlformats.org/officeDocument/2006/relationships/hyperlink" Target="https://www.amazon.com/dp/B0CGMTZLGD" TargetMode="External"/><Relationship Id="rId192" Type="http://schemas.openxmlformats.org/officeDocument/2006/relationships/hyperlink" Target="https://m.media-amazon.com/images/I/41ZeSlTJhvL._AC_SR600,600_.jpg" TargetMode="External"/><Relationship Id="rId191" Type="http://schemas.openxmlformats.org/officeDocument/2006/relationships/hyperlink" Target="https://www.amazon.com/dp/B0C53CKCQN?psc=1" TargetMode="External"/><Relationship Id="rId190" Type="http://schemas.openxmlformats.org/officeDocument/2006/relationships/hyperlink" Target="https://www.amazon.com/dp/B0C53CKCQN" TargetMode="External"/><Relationship Id="rId19" Type="http://schemas.openxmlformats.org/officeDocument/2006/relationships/hyperlink" Target="https://www.amazon.com/dp/B0869G1869" TargetMode="External"/><Relationship Id="rId189" Type="http://schemas.openxmlformats.org/officeDocument/2006/relationships/hyperlink" Target="https://www.amazon.com/gp/help/seller/at-a-glance.html/ref=dp_merchant_link?seller=A1G8L2XUV3HSNH" TargetMode="External"/><Relationship Id="rId188" Type="http://schemas.openxmlformats.org/officeDocument/2006/relationships/hyperlink" Target="https://www.amazon.com/b?node=1044990" TargetMode="External"/><Relationship Id="rId187" Type="http://schemas.openxmlformats.org/officeDocument/2006/relationships/hyperlink" Target="https://www.amazon.com/dp/B087BHXXC4" TargetMode="External"/><Relationship Id="rId186" Type="http://schemas.openxmlformats.org/officeDocument/2006/relationships/hyperlink" Target="https://m.media-amazon.com/images/I/41pvavK98oL._AC_SR600,600_.jpg" TargetMode="External"/><Relationship Id="rId185" Type="http://schemas.openxmlformats.org/officeDocument/2006/relationships/hyperlink" Target="https://www.amazon.com/dp/B087BHBG6L?psc=1" TargetMode="External"/><Relationship Id="rId184" Type="http://schemas.openxmlformats.org/officeDocument/2006/relationships/hyperlink" Target="https://www.amazon.com/sphinx-cat/b/ref=bl_sl_s_ap_web_19183874011?ie=UTF8&amp;node=19183874011&amp;field-lbr_brands_browse-bin=sphinx+cat" TargetMode="External"/><Relationship Id="rId183" Type="http://schemas.openxmlformats.org/officeDocument/2006/relationships/hyperlink" Target="https://www.amazon.com/dp/B087BHBG6L" TargetMode="External"/><Relationship Id="rId182" Type="http://schemas.openxmlformats.org/officeDocument/2006/relationships/hyperlink" Target="https://www.amazon.com/gp/help/seller/at-a-glance.html/ref=dp_merchant_link?seller=A18IA2MBVZ2X62" TargetMode="External"/><Relationship Id="rId181" Type="http://schemas.openxmlformats.org/officeDocument/2006/relationships/hyperlink" Target="https://www.amazon.com/dp/B09PV7FM1X" TargetMode="External"/><Relationship Id="rId180" Type="http://schemas.openxmlformats.org/officeDocument/2006/relationships/hyperlink" Target="https://m.media-amazon.com/images/I/31eZgm2e+3L._AC_SR600,600_.jpg" TargetMode="External"/><Relationship Id="rId18" Type="http://schemas.openxmlformats.org/officeDocument/2006/relationships/hyperlink" Target="https://www.amazon.com/dp/B0B31SJ747" TargetMode="External"/><Relationship Id="rId179" Type="http://schemas.openxmlformats.org/officeDocument/2006/relationships/hyperlink" Target="https://www.amazon.com/dp/B0BN2XYPY9?psc=1" TargetMode="External"/><Relationship Id="rId178" Type="http://schemas.openxmlformats.org/officeDocument/2006/relationships/hyperlink" Target="https://www.amazon.com/stores/Joyspels/page/54FCF92F-4764-4024-A8B8-1EDC1CCC931E?ref_=ast_bln&amp;store_ref=bl_ast_dp_brandLogo_sto" TargetMode="External"/><Relationship Id="rId177" Type="http://schemas.openxmlformats.org/officeDocument/2006/relationships/hyperlink" Target="https://www.amazon.com/dp/B0BN2XYPY9" TargetMode="External"/><Relationship Id="rId176" Type="http://schemas.openxmlformats.org/officeDocument/2006/relationships/hyperlink" Target="https://www.amazon.com/dp/B0D7P5C5JT" TargetMode="External"/><Relationship Id="rId175" Type="http://schemas.openxmlformats.org/officeDocument/2006/relationships/hyperlink" Target="https://m.media-amazon.com/images/I/41dmdv7zfnL._AC_SR600,600_.jpg" TargetMode="External"/><Relationship Id="rId174" Type="http://schemas.openxmlformats.org/officeDocument/2006/relationships/hyperlink" Target="https://www.amazon.com/dp/B07V9DYGVZ?psc=1" TargetMode="External"/><Relationship Id="rId173" Type="http://schemas.openxmlformats.org/officeDocument/2006/relationships/hyperlink" Target="https://www.amazon.com/dp/B07V9DYGVZ" TargetMode="External"/><Relationship Id="rId172" Type="http://schemas.openxmlformats.org/officeDocument/2006/relationships/hyperlink" Target="https://www.amazon.com/gp/help/seller/at-a-glance.html/ref=dp_merchant_link?seller=A129N7F11RS16B" TargetMode="External"/><Relationship Id="rId171" Type="http://schemas.openxmlformats.org/officeDocument/2006/relationships/hyperlink" Target="https://www.amazon.com/dp/B0D44DMWFN" TargetMode="External"/><Relationship Id="rId170" Type="http://schemas.openxmlformats.org/officeDocument/2006/relationships/hyperlink" Target="https://images-na.ssl-images-amazon.com/images/I/61CXFjENUpL._AC_US600_.jpg" TargetMode="External"/><Relationship Id="rId17" Type="http://schemas.openxmlformats.org/officeDocument/2006/relationships/hyperlink" Target="https://m.media-amazon.com/images/I/41eTUV42fsL._AC_SR600,600_.jpg" TargetMode="External"/><Relationship Id="rId169" Type="http://schemas.openxmlformats.org/officeDocument/2006/relationships/hyperlink" Target="https://www.amazon.com/dp/B0CKL3CYVJ?psc=1" TargetMode="External"/><Relationship Id="rId168" Type="http://schemas.openxmlformats.org/officeDocument/2006/relationships/hyperlink" Target="https://www.amazon.com/stores/Lalagen/page/E64041B2-DBB2-495D-8EBC-5B2DFCE86969?ref_=ast_bln&amp;store_ref=bl_ast_dp_brandLogo_sto" TargetMode="External"/><Relationship Id="rId167" Type="http://schemas.openxmlformats.org/officeDocument/2006/relationships/hyperlink" Target="https://www.amazon.com/dp/B0CKL3CYVJ" TargetMode="External"/><Relationship Id="rId166" Type="http://schemas.openxmlformats.org/officeDocument/2006/relationships/hyperlink" Target="https://www.amazon.com/dp/B0C3376P9M" TargetMode="External"/><Relationship Id="rId165" Type="http://schemas.openxmlformats.org/officeDocument/2006/relationships/hyperlink" Target="https://m.media-amazon.com/images/I/31V8e59PEAL._AC_SR600,600_.jpg" TargetMode="External"/><Relationship Id="rId164" Type="http://schemas.openxmlformats.org/officeDocument/2006/relationships/hyperlink" Target="https://www.amazon.com/dp/B0C338T2QM?psc=1" TargetMode="External"/><Relationship Id="rId163" Type="http://schemas.openxmlformats.org/officeDocument/2006/relationships/hyperlink" Target="https://www.amazon.com/dp/B0C338T2QM" TargetMode="External"/><Relationship Id="rId162" Type="http://schemas.openxmlformats.org/officeDocument/2006/relationships/hyperlink" Target="https://www.amazon.com/dp/B0CBQVRKZD" TargetMode="External"/><Relationship Id="rId161" Type="http://schemas.openxmlformats.org/officeDocument/2006/relationships/hyperlink" Target="https://m.media-amazon.com/images/I/31pOSH-Hg7L._AC_SR600,600_.jpg" TargetMode="External"/><Relationship Id="rId160" Type="http://schemas.openxmlformats.org/officeDocument/2006/relationships/hyperlink" Target="https://www.amazon.com/dp/B07WBVW81F?psc=1" TargetMode="External"/><Relationship Id="rId16" Type="http://schemas.openxmlformats.org/officeDocument/2006/relationships/hyperlink" Target="https://www.amazon.com/dp/B0B31GZJP1?psc=1" TargetMode="External"/><Relationship Id="rId159" Type="http://schemas.openxmlformats.org/officeDocument/2006/relationships/hyperlink" Target="https://www.amazon.com/dp/B07WBVW81F" TargetMode="External"/><Relationship Id="rId158" Type="http://schemas.openxmlformats.org/officeDocument/2006/relationships/hyperlink" Target="https://www.amazon.com/gp/help/seller/at-a-glance.html/ref=dp_merchant_link?seller=A1R2G5XQH2OP5W" TargetMode="External"/><Relationship Id="rId157" Type="http://schemas.openxmlformats.org/officeDocument/2006/relationships/hyperlink" Target="https://www.amazon.com/dp/B09PL6L8Y6" TargetMode="External"/><Relationship Id="rId156" Type="http://schemas.openxmlformats.org/officeDocument/2006/relationships/hyperlink" Target="https://images-na.ssl-images-amazon.com/images/I/61aXdH5pTFL._AC_US600_.jpg" TargetMode="External"/><Relationship Id="rId155" Type="http://schemas.openxmlformats.org/officeDocument/2006/relationships/hyperlink" Target="https://www.amazon.com/dp/B0B2HN57YG?psc=1" TargetMode="External"/><Relationship Id="rId154" Type="http://schemas.openxmlformats.org/officeDocument/2006/relationships/hyperlink" Target="https://www.amazon.com/stores/WOMENSTOPSINHIGHQIALITLYCOTTONFBRIC/page/2C098EC2-C511-48D6-B1E0-3CF6324F4CFA?ref_=ast_bln&amp;store_ref=bl_ast_dp_brandLogo_sto" TargetMode="External"/><Relationship Id="rId153" Type="http://schemas.openxmlformats.org/officeDocument/2006/relationships/hyperlink" Target="https://www.amazon.com/dp/B0B2HN57YG" TargetMode="External"/><Relationship Id="rId152" Type="http://schemas.openxmlformats.org/officeDocument/2006/relationships/hyperlink" Target="https://www.amazon.com/dp/B0CCNCB5GH" TargetMode="External"/><Relationship Id="rId151" Type="http://schemas.openxmlformats.org/officeDocument/2006/relationships/hyperlink" Target="https://images-na.ssl-images-amazon.com/images/I/71-EMVEH8aL._AC_US600_.jpg" TargetMode="External"/><Relationship Id="rId150" Type="http://schemas.openxmlformats.org/officeDocument/2006/relationships/hyperlink" Target="https://www.amazon.com/dp/B0C739KNZD?psc=1" TargetMode="External"/><Relationship Id="rId15" Type="http://schemas.openxmlformats.org/officeDocument/2006/relationships/hyperlink" Target="https://www.amazon.com/dp/B0B31GZJP1" TargetMode="External"/><Relationship Id="rId149" Type="http://schemas.openxmlformats.org/officeDocument/2006/relationships/hyperlink" Target="https://www.amazon.com/dp/B0C739KNZD" TargetMode="External"/><Relationship Id="rId148" Type="http://schemas.openxmlformats.org/officeDocument/2006/relationships/hyperlink" Target="https://www.amazon.com/gp/help/seller/at-a-glance.html/ref=dp_merchant_link?seller=A3J1UQ06EUSAGL" TargetMode="External"/><Relationship Id="rId147" Type="http://schemas.openxmlformats.org/officeDocument/2006/relationships/hyperlink" Target="https://www.amazon.com/dp/B0D92DQW83" TargetMode="External"/><Relationship Id="rId146" Type="http://schemas.openxmlformats.org/officeDocument/2006/relationships/hyperlink" Target="https://images-na.ssl-images-amazon.com/images/I/71K3nspF-eL._AC_US600_.jpg" TargetMode="External"/><Relationship Id="rId145" Type="http://schemas.openxmlformats.org/officeDocument/2006/relationships/hyperlink" Target="https://www.amazon.com/dp/B0D5Y9N5YH?psc=1" TargetMode="External"/><Relationship Id="rId144" Type="http://schemas.openxmlformats.org/officeDocument/2006/relationships/hyperlink" Target="https://www.amazon.com/stores/GGradual/page/83E26C48-D353-4DB2-BBB1-1B1E939F003F?ref_=ast_bln&amp;store_ref=bl_ast_dp_brandLogo_sto" TargetMode="External"/><Relationship Id="rId143" Type="http://schemas.openxmlformats.org/officeDocument/2006/relationships/hyperlink" Target="https://www.amazon.com/dp/B0D5Y9N5YH" TargetMode="External"/><Relationship Id="rId142" Type="http://schemas.openxmlformats.org/officeDocument/2006/relationships/hyperlink" Target="https://www.amazon.com/gp/help/seller/at-a-glance.html/ref=dp_merchant_link?seller=A1VFAP7VFYSDQE" TargetMode="External"/><Relationship Id="rId141" Type="http://schemas.openxmlformats.org/officeDocument/2006/relationships/hyperlink" Target="https://www.amazon.com/dp/B0899XC5DP" TargetMode="External"/><Relationship Id="rId140" Type="http://schemas.openxmlformats.org/officeDocument/2006/relationships/hyperlink" Target="https://images-na.ssl-images-amazon.com/images/I/61X9VLDtTXL._AC_US600_.jpg" TargetMode="External"/><Relationship Id="rId14" Type="http://schemas.openxmlformats.org/officeDocument/2006/relationships/hyperlink" Target="https://www.amazon.com/gp/help/seller/at-a-glance.html/ref=dp_merchant_link?seller=A1CX3Y6OPGB2MO" TargetMode="External"/><Relationship Id="rId139" Type="http://schemas.openxmlformats.org/officeDocument/2006/relationships/hyperlink" Target="https://www.amazon.com/dp/B0899NQ2RD?psc=1" TargetMode="External"/><Relationship Id="rId138" Type="http://schemas.openxmlformats.org/officeDocument/2006/relationships/hyperlink" Target="https://www.amazon.com/stores/Lavento/page/CE5A281D-176F-438B-96C0-826F50B54968?ref_=ast_bln&amp;store_ref=bl_ast_dp_brandLogo_sto" TargetMode="External"/><Relationship Id="rId137" Type="http://schemas.openxmlformats.org/officeDocument/2006/relationships/hyperlink" Target="https://www.amazon.com/dp/B0899NQ2RD" TargetMode="External"/><Relationship Id="rId136" Type="http://schemas.openxmlformats.org/officeDocument/2006/relationships/hyperlink" Target="https://www.amazon.com/gp/help/seller/at-a-glance.html/ref=dp_merchant_link?seller=A1OH9F3A55BKR7" TargetMode="External"/><Relationship Id="rId135" Type="http://schemas.openxmlformats.org/officeDocument/2006/relationships/hyperlink" Target="https://www.amazon.com/dp/B0BYP7BY67" TargetMode="External"/><Relationship Id="rId134" Type="http://schemas.openxmlformats.org/officeDocument/2006/relationships/hyperlink" Target="https://m.media-amazon.com/images/I/31VVakwH55L._AC_SR600,600_.jpg" TargetMode="External"/><Relationship Id="rId133" Type="http://schemas.openxmlformats.org/officeDocument/2006/relationships/hyperlink" Target="https://www.amazon.com/dp/B0B1MWMRWZ?psc=1" TargetMode="External"/><Relationship Id="rId132" Type="http://schemas.openxmlformats.org/officeDocument/2006/relationships/hyperlink" Target="https://www.amazon.com/stores/YYV/page/B3CF9010-49D8-40BA-A05B-B68D02D8F2EC?ref_=ast_bln&amp;store_ref=bl_ast_dp_brandLogo_sto" TargetMode="External"/><Relationship Id="rId131" Type="http://schemas.openxmlformats.org/officeDocument/2006/relationships/hyperlink" Target="https://www.amazon.com/dp/B0B1MWMRWZ" TargetMode="External"/><Relationship Id="rId130" Type="http://schemas.openxmlformats.org/officeDocument/2006/relationships/hyperlink" Target="https://www.amazon.com/gp/help/seller/at-a-glance.html/ref=dp_merchant_link?seller=AST829DFD22N3" TargetMode="External"/><Relationship Id="rId13" Type="http://schemas.openxmlformats.org/officeDocument/2006/relationships/hyperlink" Target="https://www.amazon.com/dp/B0D5YL22G1" TargetMode="External"/><Relationship Id="rId129" Type="http://schemas.openxmlformats.org/officeDocument/2006/relationships/hyperlink" Target="https://www.amazon.com/dp/B09B3MVBVR" TargetMode="External"/><Relationship Id="rId128" Type="http://schemas.openxmlformats.org/officeDocument/2006/relationships/hyperlink" Target="https://images-na.ssl-images-amazon.com/images/I/61kOczU078L._AC_US600_.jpg" TargetMode="External"/><Relationship Id="rId127" Type="http://schemas.openxmlformats.org/officeDocument/2006/relationships/hyperlink" Target="https://www.amazon.com/dp/B09B3N4Y47?psc=1" TargetMode="External"/><Relationship Id="rId126" Type="http://schemas.openxmlformats.org/officeDocument/2006/relationships/hyperlink" Target="https://www.amazon.com/stores/ArriveGuide/page/72736D65-6004-49B5-A4E7-487F381ED667?ref_=ast_bln" TargetMode="External"/><Relationship Id="rId125" Type="http://schemas.openxmlformats.org/officeDocument/2006/relationships/hyperlink" Target="https://www.amazon.com/dp/B09B3N4Y47" TargetMode="External"/><Relationship Id="rId124" Type="http://schemas.openxmlformats.org/officeDocument/2006/relationships/hyperlink" Target="https://www.amazon.com/gp/help/seller/at-a-glance.html/ref=dp_merchant_link?seller=AUCI3SOXHH004" TargetMode="External"/><Relationship Id="rId123" Type="http://schemas.openxmlformats.org/officeDocument/2006/relationships/hyperlink" Target="https://www.amazon.com/dp/B09MK2S9M8" TargetMode="External"/><Relationship Id="rId122" Type="http://schemas.openxmlformats.org/officeDocument/2006/relationships/hyperlink" Target="https://images-na.ssl-images-amazon.com/images/I/61bihm5Yv0L._AC_US600_.jpg" TargetMode="External"/><Relationship Id="rId121" Type="http://schemas.openxmlformats.org/officeDocument/2006/relationships/hyperlink" Target="https://www.amazon.com/dp/B083NRCFRB?psc=1" TargetMode="External"/><Relationship Id="rId120" Type="http://schemas.openxmlformats.org/officeDocument/2006/relationships/hyperlink" Target="https://www.amazon.com/stores/baleaf/page/243A5985-DEA3-405F-83ED-364B4A3733C5?ref_=ast_bln&amp;store_ref=bl_ast_dp_brandLogo_sto" TargetMode="External"/><Relationship Id="rId12" Type="http://schemas.openxmlformats.org/officeDocument/2006/relationships/hyperlink" Target="https://m.media-amazon.com/images/I/414IMr4cpOL._AC_SR600,600_.jpg" TargetMode="External"/><Relationship Id="rId119" Type="http://schemas.openxmlformats.org/officeDocument/2006/relationships/hyperlink" Target="https://www.amazon.com/dp/B083NRCFRB" TargetMode="External"/><Relationship Id="rId118" Type="http://schemas.openxmlformats.org/officeDocument/2006/relationships/hyperlink" Target="https://www.amazon.com/gp/help/seller/at-a-glance.html/ref=dp_merchant_link?seller=A154O6JL5L5T2Z" TargetMode="External"/><Relationship Id="rId117" Type="http://schemas.openxmlformats.org/officeDocument/2006/relationships/hyperlink" Target="https://www.amazon.com/dp/B0D31NVWKF" TargetMode="External"/><Relationship Id="rId116" Type="http://schemas.openxmlformats.org/officeDocument/2006/relationships/hyperlink" Target="https://m.media-amazon.com/images/I/41sn0KD1i5L._AC_SR600,600_.jpg" TargetMode="External"/><Relationship Id="rId115" Type="http://schemas.openxmlformats.org/officeDocument/2006/relationships/hyperlink" Target="https://www.amazon.com/dp/B0CQC29BSR?psc=1" TargetMode="External"/><Relationship Id="rId114" Type="http://schemas.openxmlformats.org/officeDocument/2006/relationships/hyperlink" Target="https://www.amazon.com/stores/Pinspark/page/73638A0C-799E-4A9E-BD52-A76030463125?ref_=ast_bln&amp;store_ref=bl_ast_dp_brandLogo_sto" TargetMode="External"/><Relationship Id="rId113" Type="http://schemas.openxmlformats.org/officeDocument/2006/relationships/hyperlink" Target="https://www.amazon.com/dp/B0CQC29BSR" TargetMode="External"/><Relationship Id="rId112" Type="http://schemas.openxmlformats.org/officeDocument/2006/relationships/hyperlink" Target="https://www.amazon.com/gp/help/seller/at-a-glance.html/ref=dp_merchant_link?seller=A13L03SHQKPLB" TargetMode="External"/><Relationship Id="rId111" Type="http://schemas.openxmlformats.org/officeDocument/2006/relationships/hyperlink" Target="https://www.amazon.com/dp/B0C4HJ868G" TargetMode="External"/><Relationship Id="rId110" Type="http://schemas.openxmlformats.org/officeDocument/2006/relationships/hyperlink" Target="https://images-na.ssl-images-amazon.com/images/I/51+xyyTokFL._AC_US600_.jpg" TargetMode="External"/><Relationship Id="rId11" Type="http://schemas.openxmlformats.org/officeDocument/2006/relationships/hyperlink" Target="https://www.amazon.com/dp/B0B81G5HTB?psc=1" TargetMode="External"/><Relationship Id="rId109" Type="http://schemas.openxmlformats.org/officeDocument/2006/relationships/hyperlink" Target="https://www.amazon.com/dp/B0C4JQB7N5?psc=1" TargetMode="External"/><Relationship Id="rId108" Type="http://schemas.openxmlformats.org/officeDocument/2006/relationships/hyperlink" Target="https://www.amazon.com/stores/OLCHEE/page/CBAA9A8C-AE5A-4C46-AE08-6B11FFCEA312?ref_=ast_bln&amp;store_ref=bl_ast_dp_brandLogo_sto" TargetMode="External"/><Relationship Id="rId107" Type="http://schemas.openxmlformats.org/officeDocument/2006/relationships/hyperlink" Target="https://www.amazon.com/dp/B0C4JQB7N5" TargetMode="External"/><Relationship Id="rId106" Type="http://schemas.openxmlformats.org/officeDocument/2006/relationships/hyperlink" Target="https://www.amazon.com/gp/help/seller/at-a-glance.html/ref=dp_merchant_link?seller=A2ATGSCYMM1WIW" TargetMode="External"/><Relationship Id="rId105" Type="http://schemas.openxmlformats.org/officeDocument/2006/relationships/hyperlink" Target="https://www.amazon.com/dp/B08ZXTM6MM" TargetMode="External"/><Relationship Id="rId104" Type="http://schemas.openxmlformats.org/officeDocument/2006/relationships/hyperlink" Target="https://images-na.ssl-images-amazon.com/images/I/613XEQm0b4L._AC_US600_.jpg" TargetMode="External"/><Relationship Id="rId103" Type="http://schemas.openxmlformats.org/officeDocument/2006/relationships/hyperlink" Target="https://www.amazon.com/dp/B09KN7R4F8?psc=1" TargetMode="External"/><Relationship Id="rId102" Type="http://schemas.openxmlformats.org/officeDocument/2006/relationships/hyperlink" Target="https://www.amazon.com/stores/Ukaste/page/06E31FC6-D0F4-448B-B497-8142375E6020?ref_=ast_bln&amp;store_ref=bl_ast_dp_brandLogo_sto" TargetMode="External"/><Relationship Id="rId101" Type="http://schemas.openxmlformats.org/officeDocument/2006/relationships/hyperlink" Target="https://www.amazon.com/dp/B09KN7R4F8" TargetMode="External"/><Relationship Id="rId100" Type="http://schemas.openxmlformats.org/officeDocument/2006/relationships/hyperlink" Target="https://www.amazon.com/gp/help/seller/at-a-glance.html/ref=dp_merchant_link?seller=A36ZAC1EOE5YGO" TargetMode="External"/><Relationship Id="rId10" Type="http://schemas.openxmlformats.org/officeDocument/2006/relationships/hyperlink" Target="https://www.amazon.com/stores/CRZYOGA/page/F2232413-0F7D-4831-81A1-9FDFCFE5C54D?ref_=ast_bln&amp;store_ref=bl_ast_dp_brandLogo_sto" TargetMode="External"/><Relationship Id="rId1" Type="http://schemas.openxmlformats.org/officeDocument/2006/relationships/hyperlink" Target="https://www.amazon.com/dp/B088CYZNK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F101"/>
  <sheetViews>
    <sheetView tabSelected="1" workbookViewId="0">
      <pane ySplit="1" topLeftCell="A78" activePane="bottomLeft" state="frozen"/>
      <selection/>
      <selection pane="bottomLeft" activeCell="A93" sqref="A93 A91 A90 A101 A100 A99 A98 A97 A86 A96 A95 A94 A88 A92 A87 A85 A89 A84 A83 A82 A80 A81 A78 A79 A76 A66 A75 A72 A77 A71 A74 A69 A73 A68 A67 A70 A9 A8 A7 A6 A4 A3 A2 A5 A10 A11 A12 A13 A14 A15 A16 A17 A18 A19 A20 A21 A22 A23 A24 A25 A26 A27 A28 A29 A30 A31 A34 A37 A33 A35 A36 A39 A41 A43 A44 A32 A38 A46 A40 A42 A49 A45 A51 A47 A48 A54 A50 A56 A52 A53 A55 A57 A58 A60 A63 A61 A62 A59 A65 A64"/>
    </sheetView>
  </sheetViews>
  <sheetFormatPr defaultColWidth="9" defaultRowHeight="14.4"/>
  <cols>
    <col min="1" max="1" width="8" style="7" customWidth="1"/>
    <col min="2" max="4" width="14" style="7" customWidth="1"/>
    <col min="5" max="6" width="13" style="7" customWidth="1"/>
    <col min="7" max="7" width="35" style="7" customWidth="1"/>
    <col min="8" max="10" width="14" style="7" customWidth="1"/>
    <col min="11" max="12" width="20" style="7" customWidth="1"/>
    <col min="13" max="13" width="12" style="8" customWidth="1"/>
    <col min="14" max="14" width="16" style="8" customWidth="1"/>
    <col min="15" max="15" width="16" style="9" customWidth="1"/>
    <col min="16" max="16" width="25" style="7" customWidth="1"/>
    <col min="17" max="17" width="12" style="8" customWidth="1"/>
    <col min="18" max="18" width="13" style="8" customWidth="1"/>
    <col min="19" max="19" width="13" style="9" customWidth="1"/>
    <col min="20" max="20" width="15" style="8" customWidth="1"/>
    <col min="21" max="21" width="13" style="7" customWidth="1"/>
    <col min="22" max="22" width="13" style="8" customWidth="1"/>
    <col min="23" max="23" width="10" style="8" customWidth="1"/>
    <col min="24" max="24" width="10" style="10" customWidth="1"/>
    <col min="25" max="26" width="12" style="10" customWidth="1"/>
    <col min="27" max="28" width="10" style="8" customWidth="1"/>
    <col min="29" max="29" width="15" style="8" customWidth="1"/>
    <col min="30" max="30" width="10" style="11" customWidth="1"/>
    <col min="31" max="31" width="10" style="12" customWidth="1"/>
    <col min="32" max="32" width="10" style="10" customWidth="1"/>
    <col min="33" max="34" width="10" style="9" customWidth="1"/>
    <col min="35" max="35" width="18" style="7" customWidth="1"/>
    <col min="36" max="36" width="12" style="8" customWidth="1"/>
    <col min="37" max="37" width="10" style="7" customWidth="1"/>
    <col min="38" max="38" width="12" style="8" customWidth="1"/>
    <col min="39" max="39" width="10" style="8" customWidth="1"/>
    <col min="40" max="41" width="18" style="7" customWidth="1"/>
    <col min="42" max="42" width="13" style="7" customWidth="1"/>
    <col min="43" max="44" width="37" style="7" customWidth="1"/>
    <col min="45" max="45" width="16" style="7" customWidth="1"/>
    <col min="46" max="46" width="17" style="7" customWidth="1"/>
    <col min="47" max="47" width="18" style="7" customWidth="1"/>
    <col min="48" max="48" width="9" style="7" customWidth="1"/>
    <col min="49" max="49" width="10" style="7" customWidth="1"/>
    <col min="50" max="50" width="8" style="7" customWidth="1"/>
    <col min="51" max="52" width="10" style="7" customWidth="1"/>
    <col min="53" max="53" width="9" style="7" customWidth="1"/>
    <col min="54" max="54" width="24" style="7" customWidth="1"/>
    <col min="55" max="56" width="18" style="7" customWidth="1"/>
    <col min="57" max="58" width="30" style="7" customWidth="1"/>
  </cols>
  <sheetData>
    <row r="1" ht="27" customHeight="1" spans="1:58">
      <c r="A1" s="13" t="s">
        <v>0</v>
      </c>
      <c r="B1" s="13" t="s">
        <v>1</v>
      </c>
      <c r="C1" s="13" t="s">
        <v>2</v>
      </c>
      <c r="D1" s="13" t="s">
        <v>3</v>
      </c>
      <c r="E1" s="13" t="s">
        <v>4</v>
      </c>
      <c r="F1" s="13" t="s">
        <v>5</v>
      </c>
      <c r="G1" s="13" t="s">
        <v>6</v>
      </c>
      <c r="H1" s="13" t="s">
        <v>7</v>
      </c>
      <c r="I1" s="13" t="s">
        <v>8</v>
      </c>
      <c r="J1" s="13" t="s">
        <v>9</v>
      </c>
      <c r="K1" s="13" t="s">
        <v>10</v>
      </c>
      <c r="L1" s="13" t="s">
        <v>11</v>
      </c>
      <c r="M1" s="16" t="s">
        <v>12</v>
      </c>
      <c r="N1" s="16" t="s">
        <v>13</v>
      </c>
      <c r="O1" s="17" t="s">
        <v>14</v>
      </c>
      <c r="P1" s="13" t="s">
        <v>15</v>
      </c>
      <c r="Q1" s="16" t="s">
        <v>16</v>
      </c>
      <c r="R1" s="16" t="s">
        <v>17</v>
      </c>
      <c r="S1" s="17" t="s">
        <v>18</v>
      </c>
      <c r="T1" s="16" t="s">
        <v>19</v>
      </c>
      <c r="U1" s="13" t="s">
        <v>20</v>
      </c>
      <c r="V1" s="16" t="s">
        <v>21</v>
      </c>
      <c r="W1" s="16" t="s">
        <v>22</v>
      </c>
      <c r="X1" s="21" t="s">
        <v>23</v>
      </c>
      <c r="Y1" s="21" t="s">
        <v>24</v>
      </c>
      <c r="Z1" s="13" t="s">
        <v>25</v>
      </c>
      <c r="AA1" s="16" t="s">
        <v>26</v>
      </c>
      <c r="AB1" s="16" t="s">
        <v>27</v>
      </c>
      <c r="AC1" s="16" t="s">
        <v>28</v>
      </c>
      <c r="AD1" s="26" t="s">
        <v>29</v>
      </c>
      <c r="AE1" s="27" t="s">
        <v>30</v>
      </c>
      <c r="AF1" s="21" t="s">
        <v>31</v>
      </c>
      <c r="AG1" s="17" t="s">
        <v>32</v>
      </c>
      <c r="AH1" s="13" t="s">
        <v>33</v>
      </c>
      <c r="AI1" s="13" t="s">
        <v>34</v>
      </c>
      <c r="AJ1" s="16" t="s">
        <v>35</v>
      </c>
      <c r="AK1" s="13" t="s">
        <v>36</v>
      </c>
      <c r="AL1" s="16" t="s">
        <v>37</v>
      </c>
      <c r="AM1" s="16" t="s">
        <v>38</v>
      </c>
      <c r="AN1" s="13" t="s">
        <v>39</v>
      </c>
      <c r="AO1" s="13" t="s">
        <v>40</v>
      </c>
      <c r="AP1" s="13" t="s">
        <v>41</v>
      </c>
      <c r="AQ1" s="13" t="s">
        <v>42</v>
      </c>
      <c r="AR1" s="13" t="s">
        <v>43</v>
      </c>
      <c r="AS1" s="13" t="s">
        <v>44</v>
      </c>
      <c r="AT1" s="13" t="s">
        <v>45</v>
      </c>
      <c r="AU1" s="13" t="s">
        <v>46</v>
      </c>
      <c r="AV1" s="13" t="s">
        <v>47</v>
      </c>
      <c r="AW1" s="13" t="s">
        <v>48</v>
      </c>
      <c r="AX1" s="13" t="s">
        <v>49</v>
      </c>
      <c r="AY1" s="13" t="s">
        <v>50</v>
      </c>
      <c r="AZ1" s="13" t="s">
        <v>51</v>
      </c>
      <c r="BA1" s="13" t="s">
        <v>52</v>
      </c>
      <c r="BB1" s="13" t="s">
        <v>53</v>
      </c>
      <c r="BC1" s="13" t="s">
        <v>54</v>
      </c>
      <c r="BD1" s="13" t="s">
        <v>54</v>
      </c>
      <c r="BE1" s="13" t="s">
        <v>55</v>
      </c>
      <c r="BF1" s="13" t="s">
        <v>55</v>
      </c>
    </row>
    <row r="2" ht="24" customHeight="1" spans="1:58">
      <c r="A2" s="14" t="str">
        <f>_xlfn.DISPIMG("ID_62482D23934141D29F9B74C062039CA0",1)</f>
        <v>=DISPIMG("ID_62482D23934141D29F9B74C062039CA0",1)</v>
      </c>
      <c r="B2" s="15" t="s">
        <v>56</v>
      </c>
      <c r="C2" s="15" t="s">
        <v>57</v>
      </c>
      <c r="D2" s="15" t="s">
        <v>58</v>
      </c>
      <c r="E2" s="15" t="s">
        <v>59</v>
      </c>
      <c r="F2" s="15" t="s">
        <v>60</v>
      </c>
      <c r="G2" s="15" t="s">
        <v>61</v>
      </c>
      <c r="H2" s="15" t="s">
        <v>62</v>
      </c>
      <c r="I2" s="15" t="s">
        <v>63</v>
      </c>
      <c r="J2" s="15" t="s">
        <v>64</v>
      </c>
      <c r="K2" s="15" t="s">
        <v>65</v>
      </c>
      <c r="L2" s="15" t="s">
        <v>66</v>
      </c>
      <c r="M2" s="18">
        <v>910</v>
      </c>
      <c r="N2" s="18">
        <v>1187</v>
      </c>
      <c r="O2" s="19">
        <v>0.566</v>
      </c>
      <c r="P2" s="20" t="s">
        <v>67</v>
      </c>
      <c r="Q2" s="22" t="s">
        <v>68</v>
      </c>
      <c r="R2" s="18">
        <v>18757</v>
      </c>
      <c r="S2" s="19">
        <v>0.1245</v>
      </c>
      <c r="T2" s="18">
        <v>337438.44</v>
      </c>
      <c r="U2" s="23" t="s">
        <v>69</v>
      </c>
      <c r="V2" s="18">
        <v>8995</v>
      </c>
      <c r="W2" s="24">
        <v>94</v>
      </c>
      <c r="X2" s="25">
        <v>17.99</v>
      </c>
      <c r="Z2" s="23" t="s">
        <v>70</v>
      </c>
      <c r="AA2" s="18">
        <v>42</v>
      </c>
      <c r="AB2" s="24">
        <v>20802</v>
      </c>
      <c r="AC2" s="18">
        <v>173</v>
      </c>
      <c r="AD2" s="28">
        <v>4.5</v>
      </c>
      <c r="AE2" s="29">
        <v>0.0092</v>
      </c>
      <c r="AF2" s="25">
        <v>3.6</v>
      </c>
      <c r="AG2" s="19">
        <v>0.5999</v>
      </c>
      <c r="AI2" s="14" t="s">
        <v>71</v>
      </c>
      <c r="AJ2" s="24">
        <v>1881</v>
      </c>
      <c r="AK2" s="14" t="s">
        <v>72</v>
      </c>
      <c r="AL2" s="24">
        <v>9.8</v>
      </c>
      <c r="AM2" s="24">
        <v>1</v>
      </c>
      <c r="AN2" s="15" t="s">
        <v>59</v>
      </c>
      <c r="AO2" s="14" t="s">
        <v>72</v>
      </c>
      <c r="AP2" s="14" t="s">
        <v>73</v>
      </c>
      <c r="AQ2" s="15" t="s">
        <v>74</v>
      </c>
      <c r="AR2" s="14" t="s">
        <v>75</v>
      </c>
      <c r="AS2" s="14" t="s">
        <v>76</v>
      </c>
      <c r="AT2" s="14" t="s">
        <v>76</v>
      </c>
      <c r="AU2" s="14" t="s">
        <v>77</v>
      </c>
      <c r="AV2" s="14" t="s">
        <v>76</v>
      </c>
      <c r="AW2" s="14" t="s">
        <v>76</v>
      </c>
      <c r="AX2" s="14" t="s">
        <v>77</v>
      </c>
      <c r="AY2" s="14" t="s">
        <v>76</v>
      </c>
      <c r="AZ2" s="14" t="s">
        <v>77</v>
      </c>
      <c r="BA2" s="15" t="s">
        <v>77</v>
      </c>
      <c r="BB2" s="23" t="s">
        <v>78</v>
      </c>
      <c r="BC2" s="23" t="s">
        <v>79</v>
      </c>
      <c r="BD2" s="23" t="s">
        <v>80</v>
      </c>
      <c r="BE2" s="23" t="s">
        <v>81</v>
      </c>
      <c r="BF2" s="14" t="s">
        <v>82</v>
      </c>
    </row>
    <row r="3" ht="24" customHeight="1" spans="1:58">
      <c r="A3" s="14" t="str">
        <f>_xlfn.DISPIMG("ID_571E291782EA4BE2B57321A8782F1270",1)</f>
        <v>=DISPIMG("ID_571E291782EA4BE2B57321A8782F1270",1)</v>
      </c>
      <c r="B3" s="15" t="s">
        <v>83</v>
      </c>
      <c r="C3" s="15" t="s">
        <v>84</v>
      </c>
      <c r="D3" s="15" t="s">
        <v>85</v>
      </c>
      <c r="E3" s="15" t="s">
        <v>86</v>
      </c>
      <c r="F3" s="15" t="s">
        <v>87</v>
      </c>
      <c r="G3" s="15" t="s">
        <v>88</v>
      </c>
      <c r="H3" s="15" t="s">
        <v>89</v>
      </c>
      <c r="I3" s="15" t="s">
        <v>90</v>
      </c>
      <c r="J3" s="15" t="s">
        <v>91</v>
      </c>
      <c r="K3" s="15" t="s">
        <v>65</v>
      </c>
      <c r="L3" s="15" t="s">
        <v>66</v>
      </c>
      <c r="M3" s="18">
        <v>2924</v>
      </c>
      <c r="N3" s="18">
        <v>865</v>
      </c>
      <c r="O3" s="19">
        <v>0.2283</v>
      </c>
      <c r="P3" s="20" t="s">
        <v>92</v>
      </c>
      <c r="Q3" s="22" t="s">
        <v>93</v>
      </c>
      <c r="R3" s="18">
        <v>6802</v>
      </c>
      <c r="S3" s="19">
        <v>-0.1018</v>
      </c>
      <c r="T3" s="18">
        <v>176852</v>
      </c>
      <c r="U3" s="23" t="s">
        <v>94</v>
      </c>
      <c r="V3" s="18">
        <v>7800</v>
      </c>
      <c r="W3" s="24">
        <v>112</v>
      </c>
      <c r="X3" s="25">
        <v>26</v>
      </c>
      <c r="Z3" s="7"/>
      <c r="AA3" s="18">
        <v>3</v>
      </c>
      <c r="AB3" s="24">
        <v>617</v>
      </c>
      <c r="AC3" s="18">
        <v>47</v>
      </c>
      <c r="AD3" s="28">
        <v>4.5</v>
      </c>
      <c r="AE3" s="29">
        <v>0.0069</v>
      </c>
      <c r="AF3" s="25">
        <v>4.61</v>
      </c>
      <c r="AG3" s="19">
        <v>0.6227</v>
      </c>
      <c r="AI3" s="14" t="s">
        <v>95</v>
      </c>
      <c r="AJ3" s="24">
        <v>465</v>
      </c>
      <c r="AK3" s="14" t="s">
        <v>72</v>
      </c>
      <c r="AL3" s="24">
        <v>10</v>
      </c>
      <c r="AM3" s="24">
        <v>1</v>
      </c>
      <c r="AN3" s="15" t="s">
        <v>86</v>
      </c>
      <c r="AO3" s="14" t="s">
        <v>72</v>
      </c>
      <c r="AP3" s="14" t="s">
        <v>73</v>
      </c>
      <c r="AQ3" s="15" t="s">
        <v>96</v>
      </c>
      <c r="AR3" s="14" t="s">
        <v>97</v>
      </c>
      <c r="AS3" s="14" t="s">
        <v>77</v>
      </c>
      <c r="AT3" s="14" t="s">
        <v>76</v>
      </c>
      <c r="AU3" s="14" t="s">
        <v>76</v>
      </c>
      <c r="AV3" s="14" t="s">
        <v>76</v>
      </c>
      <c r="AW3" s="14" t="s">
        <v>77</v>
      </c>
      <c r="AX3" s="14" t="s">
        <v>77</v>
      </c>
      <c r="AY3" s="14" t="s">
        <v>76</v>
      </c>
      <c r="AZ3" s="14" t="s">
        <v>77</v>
      </c>
      <c r="BA3" s="15" t="s">
        <v>77</v>
      </c>
      <c r="BB3" s="23" t="s">
        <v>77</v>
      </c>
      <c r="BC3" s="23" t="s">
        <v>98</v>
      </c>
      <c r="BD3" s="23" t="s">
        <v>99</v>
      </c>
      <c r="BE3" s="23" t="s">
        <v>100</v>
      </c>
      <c r="BF3" s="14" t="s">
        <v>101</v>
      </c>
    </row>
    <row r="4" ht="24" customHeight="1" spans="1:58">
      <c r="A4" s="14" t="str">
        <f>_xlfn.DISPIMG("ID_AF4B06DCB09B4E6FB6EA9992ADFCB312",1)</f>
        <v>=DISPIMG("ID_AF4B06DCB09B4E6FB6EA9992ADFCB312",1)</v>
      </c>
      <c r="B4" s="15" t="s">
        <v>102</v>
      </c>
      <c r="C4" s="15" t="s">
        <v>84</v>
      </c>
      <c r="D4" s="15" t="s">
        <v>103</v>
      </c>
      <c r="E4" s="15" t="s">
        <v>86</v>
      </c>
      <c r="F4" s="15" t="s">
        <v>87</v>
      </c>
      <c r="G4" s="15" t="s">
        <v>104</v>
      </c>
      <c r="H4" s="15" t="s">
        <v>105</v>
      </c>
      <c r="I4" s="15" t="s">
        <v>106</v>
      </c>
      <c r="J4" s="15" t="s">
        <v>107</v>
      </c>
      <c r="K4" s="15" t="s">
        <v>65</v>
      </c>
      <c r="L4" s="15" t="s">
        <v>66</v>
      </c>
      <c r="M4" s="18">
        <v>3478</v>
      </c>
      <c r="N4" s="18">
        <v>-661</v>
      </c>
      <c r="O4" s="19">
        <v>-0.2346</v>
      </c>
      <c r="P4" s="20" t="s">
        <v>108</v>
      </c>
      <c r="Q4" s="22" t="s">
        <v>109</v>
      </c>
      <c r="R4" s="18">
        <v>7602</v>
      </c>
      <c r="S4" s="19">
        <v>0.1177</v>
      </c>
      <c r="T4" s="18">
        <v>182448</v>
      </c>
      <c r="U4" s="23" t="s">
        <v>94</v>
      </c>
      <c r="V4" s="18">
        <v>7200</v>
      </c>
      <c r="W4" s="24">
        <v>106</v>
      </c>
      <c r="X4" s="25">
        <v>24</v>
      </c>
      <c r="Z4" s="7"/>
      <c r="AA4" s="18">
        <v>6</v>
      </c>
      <c r="AB4" s="24">
        <v>1080</v>
      </c>
      <c r="AC4" s="18">
        <v>51</v>
      </c>
      <c r="AD4" s="28">
        <v>4.5</v>
      </c>
      <c r="AE4" s="29">
        <v>0.0067</v>
      </c>
      <c r="AF4" s="25">
        <v>4.94</v>
      </c>
      <c r="AG4" s="19">
        <v>0.5942</v>
      </c>
      <c r="AI4" s="14" t="s">
        <v>110</v>
      </c>
      <c r="AJ4" s="24">
        <v>884</v>
      </c>
      <c r="AK4" s="14" t="s">
        <v>72</v>
      </c>
      <c r="AL4" s="24">
        <v>9.8</v>
      </c>
      <c r="AM4" s="24">
        <v>1</v>
      </c>
      <c r="AN4" s="15" t="s">
        <v>86</v>
      </c>
      <c r="AO4" s="14" t="s">
        <v>72</v>
      </c>
      <c r="AP4" s="14" t="s">
        <v>73</v>
      </c>
      <c r="AQ4" s="15" t="s">
        <v>96</v>
      </c>
      <c r="AR4" s="14" t="s">
        <v>97</v>
      </c>
      <c r="AS4" s="14" t="s">
        <v>77</v>
      </c>
      <c r="AT4" s="14" t="s">
        <v>76</v>
      </c>
      <c r="AU4" s="14" t="s">
        <v>77</v>
      </c>
      <c r="AV4" s="14" t="s">
        <v>76</v>
      </c>
      <c r="AW4" s="14" t="s">
        <v>77</v>
      </c>
      <c r="AX4" s="14" t="s">
        <v>77</v>
      </c>
      <c r="AY4" s="14" t="s">
        <v>76</v>
      </c>
      <c r="AZ4" s="14" t="s">
        <v>77</v>
      </c>
      <c r="BA4" s="15" t="s">
        <v>77</v>
      </c>
      <c r="BB4" s="23" t="s">
        <v>77</v>
      </c>
      <c r="BC4" s="23" t="s">
        <v>111</v>
      </c>
      <c r="BD4" s="23" t="s">
        <v>112</v>
      </c>
      <c r="BE4" s="23" t="s">
        <v>113</v>
      </c>
      <c r="BF4" s="14" t="s">
        <v>114</v>
      </c>
    </row>
    <row r="5" ht="24" customHeight="1" spans="1:58">
      <c r="A5" s="14" t="str">
        <f>_xlfn.DISPIMG("ID_51AA5CB6A68D4AE382E01D815501DF52",1)</f>
        <v>=DISPIMG("ID_51AA5CB6A68D4AE382E01D815501DF52",1)</v>
      </c>
      <c r="B5" s="15" t="s">
        <v>115</v>
      </c>
      <c r="C5" s="15" t="s">
        <v>84</v>
      </c>
      <c r="D5" s="15" t="s">
        <v>116</v>
      </c>
      <c r="E5" s="15" t="s">
        <v>86</v>
      </c>
      <c r="F5" s="15" t="s">
        <v>87</v>
      </c>
      <c r="G5" s="15" t="s">
        <v>117</v>
      </c>
      <c r="H5" s="15" t="s">
        <v>118</v>
      </c>
      <c r="I5" s="15" t="s">
        <v>119</v>
      </c>
      <c r="J5" s="15" t="s">
        <v>120</v>
      </c>
      <c r="K5" s="15" t="s">
        <v>65</v>
      </c>
      <c r="L5" s="15" t="s">
        <v>66</v>
      </c>
      <c r="M5" s="18">
        <v>3551</v>
      </c>
      <c r="N5" s="18">
        <v>203</v>
      </c>
      <c r="O5" s="19">
        <v>0.0541</v>
      </c>
      <c r="P5" s="20" t="s">
        <v>108</v>
      </c>
      <c r="Q5" s="22" t="s">
        <v>121</v>
      </c>
      <c r="R5" s="18">
        <v>9539</v>
      </c>
      <c r="S5" s="19">
        <v>0.0993</v>
      </c>
      <c r="T5" s="18">
        <v>190780</v>
      </c>
      <c r="U5" s="23" t="s">
        <v>122</v>
      </c>
      <c r="V5" s="18">
        <v>12000</v>
      </c>
      <c r="W5" s="24">
        <v>158</v>
      </c>
      <c r="X5" s="25">
        <v>20</v>
      </c>
      <c r="Z5" s="7"/>
      <c r="AA5" s="18">
        <v>4</v>
      </c>
      <c r="AB5" s="24">
        <v>2650</v>
      </c>
      <c r="AC5" s="18">
        <v>54</v>
      </c>
      <c r="AD5" s="28">
        <v>4.4</v>
      </c>
      <c r="AE5" s="29">
        <v>0.0057</v>
      </c>
      <c r="AF5" s="25">
        <v>5</v>
      </c>
      <c r="AG5" s="19">
        <v>0.55</v>
      </c>
      <c r="AI5" s="14" t="s">
        <v>123</v>
      </c>
      <c r="AJ5" s="24">
        <v>1653</v>
      </c>
      <c r="AK5" s="14" t="s">
        <v>72</v>
      </c>
      <c r="AL5" s="24">
        <v>9</v>
      </c>
      <c r="AM5" s="24">
        <v>1</v>
      </c>
      <c r="AN5" s="15" t="s">
        <v>86</v>
      </c>
      <c r="AO5" s="14" t="s">
        <v>72</v>
      </c>
      <c r="AP5" s="14" t="s">
        <v>73</v>
      </c>
      <c r="AQ5" s="15" t="s">
        <v>96</v>
      </c>
      <c r="AR5" s="14" t="s">
        <v>97</v>
      </c>
      <c r="AS5" s="14" t="s">
        <v>77</v>
      </c>
      <c r="AT5" s="14" t="s">
        <v>76</v>
      </c>
      <c r="AU5" s="14" t="s">
        <v>77</v>
      </c>
      <c r="AV5" s="14" t="s">
        <v>76</v>
      </c>
      <c r="AW5" s="14" t="s">
        <v>77</v>
      </c>
      <c r="AX5" s="14" t="s">
        <v>77</v>
      </c>
      <c r="AY5" s="14" t="s">
        <v>76</v>
      </c>
      <c r="AZ5" s="14" t="s">
        <v>77</v>
      </c>
      <c r="BA5" s="15" t="s">
        <v>77</v>
      </c>
      <c r="BB5" s="23" t="s">
        <v>77</v>
      </c>
      <c r="BC5" s="23" t="s">
        <v>124</v>
      </c>
      <c r="BD5" s="23" t="s">
        <v>125</v>
      </c>
      <c r="BE5" s="23" t="s">
        <v>126</v>
      </c>
      <c r="BF5" s="14" t="s">
        <v>127</v>
      </c>
    </row>
    <row r="6" ht="24" customHeight="1" spans="1:58">
      <c r="A6" s="14" t="str">
        <f>_xlfn.DISPIMG("ID_45E8DABED09B484DB34866FA4E484DF7",1)</f>
        <v>=DISPIMG("ID_45E8DABED09B484DB34866FA4E484DF7",1)</v>
      </c>
      <c r="B6" s="15" t="s">
        <v>128</v>
      </c>
      <c r="C6" s="15" t="s">
        <v>129</v>
      </c>
      <c r="D6" s="15" t="s">
        <v>130</v>
      </c>
      <c r="E6" s="15" t="s">
        <v>131</v>
      </c>
      <c r="F6" s="15" t="s">
        <v>132</v>
      </c>
      <c r="G6" s="15" t="s">
        <v>133</v>
      </c>
      <c r="H6" s="15" t="s">
        <v>134</v>
      </c>
      <c r="I6" s="15" t="s">
        <v>135</v>
      </c>
      <c r="J6" s="15" t="s">
        <v>136</v>
      </c>
      <c r="K6" s="15" t="s">
        <v>65</v>
      </c>
      <c r="L6" s="15" t="s">
        <v>66</v>
      </c>
      <c r="M6" s="18">
        <v>4954</v>
      </c>
      <c r="N6" s="18">
        <v>-1921</v>
      </c>
      <c r="O6" s="19">
        <v>-0.5609</v>
      </c>
      <c r="P6" s="20" t="s">
        <v>137</v>
      </c>
      <c r="Q6" s="22" t="s">
        <v>138</v>
      </c>
      <c r="R6" s="18">
        <v>10580</v>
      </c>
      <c r="S6" s="19">
        <v>0.2344</v>
      </c>
      <c r="T6" s="18">
        <v>317294.2</v>
      </c>
      <c r="U6" s="23" t="s">
        <v>139</v>
      </c>
      <c r="V6" s="18">
        <v>11996</v>
      </c>
      <c r="W6" s="24">
        <v>110</v>
      </c>
      <c r="X6" s="25">
        <v>29.99</v>
      </c>
      <c r="Z6" s="7"/>
      <c r="AA6" s="18">
        <v>13</v>
      </c>
      <c r="AB6" s="24">
        <v>7065</v>
      </c>
      <c r="AC6" s="18">
        <v>47</v>
      </c>
      <c r="AD6" s="28">
        <v>4.3</v>
      </c>
      <c r="AE6" s="29">
        <v>0.0044</v>
      </c>
      <c r="AF6" s="25">
        <v>6.27</v>
      </c>
      <c r="AG6" s="19">
        <v>0.5909</v>
      </c>
      <c r="AI6" s="14" t="s">
        <v>140</v>
      </c>
      <c r="AJ6" s="24">
        <v>894</v>
      </c>
      <c r="AK6" s="14" t="s">
        <v>72</v>
      </c>
      <c r="AL6" s="24">
        <v>9.7</v>
      </c>
      <c r="AM6" s="24">
        <v>1</v>
      </c>
      <c r="AN6" s="15" t="s">
        <v>131</v>
      </c>
      <c r="AO6" s="14" t="s">
        <v>72</v>
      </c>
      <c r="AP6" s="14" t="s">
        <v>73</v>
      </c>
      <c r="AQ6" s="15" t="s">
        <v>141</v>
      </c>
      <c r="AR6" s="14" t="s">
        <v>142</v>
      </c>
      <c r="AS6" s="14" t="s">
        <v>76</v>
      </c>
      <c r="AT6" s="14" t="s">
        <v>76</v>
      </c>
      <c r="AU6" s="14" t="s">
        <v>76</v>
      </c>
      <c r="AV6" s="14" t="s">
        <v>76</v>
      </c>
      <c r="AW6" s="14" t="s">
        <v>77</v>
      </c>
      <c r="AX6" s="14" t="s">
        <v>77</v>
      </c>
      <c r="AY6" s="14" t="s">
        <v>76</v>
      </c>
      <c r="AZ6" s="14" t="s">
        <v>77</v>
      </c>
      <c r="BA6" s="15" t="s">
        <v>77</v>
      </c>
      <c r="BB6" s="23" t="s">
        <v>77</v>
      </c>
      <c r="BC6" s="23" t="s">
        <v>143</v>
      </c>
      <c r="BD6" s="23" t="s">
        <v>144</v>
      </c>
      <c r="BE6" s="23" t="s">
        <v>145</v>
      </c>
      <c r="BF6" s="14" t="s">
        <v>146</v>
      </c>
    </row>
    <row r="7" ht="24" customHeight="1" spans="1:58">
      <c r="A7" s="14" t="str">
        <f>_xlfn.DISPIMG("ID_1C1A0F4E8C24498B9A57DB4F8C68A3C7",1)</f>
        <v>=DISPIMG("ID_1C1A0F4E8C24498B9A57DB4F8C68A3C7",1)</v>
      </c>
      <c r="B7" s="15" t="s">
        <v>147</v>
      </c>
      <c r="C7" s="15" t="s">
        <v>84</v>
      </c>
      <c r="D7" s="15" t="s">
        <v>148</v>
      </c>
      <c r="E7" s="15" t="s">
        <v>149</v>
      </c>
      <c r="F7" s="15" t="s">
        <v>150</v>
      </c>
      <c r="G7" s="15" t="s">
        <v>151</v>
      </c>
      <c r="H7" s="15" t="s">
        <v>152</v>
      </c>
      <c r="I7" s="15" t="s">
        <v>153</v>
      </c>
      <c r="J7" s="15" t="s">
        <v>154</v>
      </c>
      <c r="K7" s="15" t="s">
        <v>65</v>
      </c>
      <c r="L7" s="15" t="s">
        <v>66</v>
      </c>
      <c r="M7" s="18">
        <v>4836</v>
      </c>
      <c r="N7" s="18">
        <v>13864</v>
      </c>
      <c r="O7" s="19">
        <v>0.7636</v>
      </c>
      <c r="P7" s="20" t="s">
        <v>92</v>
      </c>
      <c r="Q7" s="22" t="s">
        <v>155</v>
      </c>
      <c r="R7" s="18">
        <v>4286</v>
      </c>
      <c r="S7" s="19">
        <v>-0.2553</v>
      </c>
      <c r="T7" s="18">
        <v>85591.414</v>
      </c>
      <c r="U7" s="23" t="s">
        <v>156</v>
      </c>
      <c r="V7" s="18">
        <v>3994</v>
      </c>
      <c r="W7" s="24">
        <v>83</v>
      </c>
      <c r="X7" s="25">
        <v>19.97</v>
      </c>
      <c r="Z7" s="7"/>
      <c r="AA7" s="18">
        <v>15</v>
      </c>
      <c r="AB7" s="24">
        <v>469</v>
      </c>
      <c r="AC7" s="18">
        <v>54</v>
      </c>
      <c r="AD7" s="28">
        <v>4.3</v>
      </c>
      <c r="AE7" s="29">
        <v>0.0126</v>
      </c>
      <c r="AF7" s="25">
        <v>3.67</v>
      </c>
      <c r="AG7" s="19">
        <v>0.6162</v>
      </c>
      <c r="AI7" s="14" t="s">
        <v>157</v>
      </c>
      <c r="AJ7" s="24">
        <v>583</v>
      </c>
      <c r="AK7" s="14" t="s">
        <v>72</v>
      </c>
      <c r="AL7" s="24">
        <v>10</v>
      </c>
      <c r="AM7" s="24">
        <v>1</v>
      </c>
      <c r="AN7" s="15" t="s">
        <v>158</v>
      </c>
      <c r="AO7" s="14" t="s">
        <v>72</v>
      </c>
      <c r="AP7" s="14" t="s">
        <v>73</v>
      </c>
      <c r="AQ7" s="15" t="s">
        <v>159</v>
      </c>
      <c r="AR7" s="14" t="s">
        <v>160</v>
      </c>
      <c r="AS7" s="14" t="s">
        <v>77</v>
      </c>
      <c r="AT7" s="14" t="s">
        <v>76</v>
      </c>
      <c r="AU7" s="14" t="s">
        <v>77</v>
      </c>
      <c r="AV7" s="14" t="s">
        <v>76</v>
      </c>
      <c r="AW7" s="14" t="s">
        <v>76</v>
      </c>
      <c r="AX7" s="14" t="s">
        <v>77</v>
      </c>
      <c r="AY7" s="14" t="s">
        <v>76</v>
      </c>
      <c r="AZ7" s="14" t="s">
        <v>77</v>
      </c>
      <c r="BA7" s="15" t="s">
        <v>76</v>
      </c>
      <c r="BB7" s="23" t="s">
        <v>77</v>
      </c>
      <c r="BC7" s="23" t="s">
        <v>161</v>
      </c>
      <c r="BD7" s="23" t="s">
        <v>162</v>
      </c>
      <c r="BE7" s="23" t="s">
        <v>163</v>
      </c>
      <c r="BF7" s="14" t="s">
        <v>164</v>
      </c>
    </row>
    <row r="8" ht="24" customHeight="1" spans="1:58">
      <c r="A8" s="14" t="str">
        <f>_xlfn.DISPIMG("ID_9D7A307469A24CDAA2B622EDE03B7372",1)</f>
        <v>=DISPIMG("ID_9D7A307469A24CDAA2B622EDE03B7372",1)</v>
      </c>
      <c r="B8" s="15" t="s">
        <v>165</v>
      </c>
      <c r="C8" s="15" t="s">
        <v>166</v>
      </c>
      <c r="D8" s="15" t="s">
        <v>167</v>
      </c>
      <c r="E8" s="15" t="s">
        <v>168</v>
      </c>
      <c r="F8" s="15" t="s">
        <v>169</v>
      </c>
      <c r="G8" s="15" t="s">
        <v>170</v>
      </c>
      <c r="H8" s="15" t="s">
        <v>171</v>
      </c>
      <c r="I8" s="15" t="s">
        <v>172</v>
      </c>
      <c r="J8" s="15" t="s">
        <v>173</v>
      </c>
      <c r="K8" s="15" t="s">
        <v>65</v>
      </c>
      <c r="L8" s="15" t="s">
        <v>66</v>
      </c>
      <c r="M8" s="18">
        <v>5728</v>
      </c>
      <c r="N8" s="18">
        <v>2312</v>
      </c>
      <c r="O8" s="19">
        <v>0.2222</v>
      </c>
      <c r="P8" s="20" t="s">
        <v>108</v>
      </c>
      <c r="Q8" s="22" t="s">
        <v>174</v>
      </c>
      <c r="R8" s="18">
        <v>4923</v>
      </c>
      <c r="S8" s="19">
        <v>-0.0531</v>
      </c>
      <c r="T8" s="18">
        <v>98312.305</v>
      </c>
      <c r="U8" s="23" t="s">
        <v>175</v>
      </c>
      <c r="V8" s="18">
        <v>1997</v>
      </c>
      <c r="W8" s="24">
        <v>88</v>
      </c>
      <c r="X8" s="25">
        <v>19.97</v>
      </c>
      <c r="Z8" s="7"/>
      <c r="AA8" s="18">
        <v>30</v>
      </c>
      <c r="AB8" s="24">
        <v>9339</v>
      </c>
      <c r="AC8" s="18">
        <v>65</v>
      </c>
      <c r="AD8" s="28">
        <v>4.4</v>
      </c>
      <c r="AE8" s="29">
        <v>0.0132</v>
      </c>
      <c r="AF8" s="25">
        <v>3.67</v>
      </c>
      <c r="AG8" s="19">
        <v>0.6162</v>
      </c>
      <c r="AI8" s="14" t="s">
        <v>176</v>
      </c>
      <c r="AJ8" s="24">
        <v>1342</v>
      </c>
      <c r="AK8" s="14" t="s">
        <v>72</v>
      </c>
      <c r="AL8" s="24">
        <v>8.6</v>
      </c>
      <c r="AM8" s="24">
        <v>1</v>
      </c>
      <c r="AN8" s="15" t="s">
        <v>177</v>
      </c>
      <c r="AO8" s="14" t="s">
        <v>72</v>
      </c>
      <c r="AP8" s="14" t="s">
        <v>73</v>
      </c>
      <c r="AQ8" s="15" t="s">
        <v>178</v>
      </c>
      <c r="AR8" s="14" t="s">
        <v>179</v>
      </c>
      <c r="AS8" s="14" t="s">
        <v>76</v>
      </c>
      <c r="AT8" s="14" t="s">
        <v>76</v>
      </c>
      <c r="AU8" s="14" t="s">
        <v>77</v>
      </c>
      <c r="AV8" s="14" t="s">
        <v>76</v>
      </c>
      <c r="AW8" s="14" t="s">
        <v>76</v>
      </c>
      <c r="AX8" s="14" t="s">
        <v>77</v>
      </c>
      <c r="AY8" s="14" t="s">
        <v>77</v>
      </c>
      <c r="AZ8" s="14" t="s">
        <v>77</v>
      </c>
      <c r="BA8" s="15" t="s">
        <v>77</v>
      </c>
      <c r="BB8" s="23" t="s">
        <v>77</v>
      </c>
      <c r="BC8" s="23" t="s">
        <v>180</v>
      </c>
      <c r="BD8" s="23" t="s">
        <v>181</v>
      </c>
      <c r="BE8" s="23" t="s">
        <v>182</v>
      </c>
      <c r="BF8" s="14" t="s">
        <v>183</v>
      </c>
    </row>
    <row r="9" ht="24" customHeight="1" spans="1:58">
      <c r="A9" s="14" t="str">
        <f>_xlfn.DISPIMG("ID_35DF75200B1A49D6BD0CCDB2573DC7F0",1)</f>
        <v>=DISPIMG("ID_35DF75200B1A49D6BD0CCDB2573DC7F0",1)</v>
      </c>
      <c r="B9" s="15" t="s">
        <v>184</v>
      </c>
      <c r="C9" s="15" t="s">
        <v>185</v>
      </c>
      <c r="D9" s="15" t="s">
        <v>58</v>
      </c>
      <c r="E9" s="15" t="s">
        <v>186</v>
      </c>
      <c r="F9" s="15" t="s">
        <v>187</v>
      </c>
      <c r="G9" s="15" t="s">
        <v>188</v>
      </c>
      <c r="H9" s="15" t="s">
        <v>189</v>
      </c>
      <c r="I9" s="15" t="s">
        <v>190</v>
      </c>
      <c r="J9" s="15" t="s">
        <v>191</v>
      </c>
      <c r="K9" s="15" t="s">
        <v>65</v>
      </c>
      <c r="L9" s="15" t="s">
        <v>66</v>
      </c>
      <c r="M9" s="18">
        <v>7722</v>
      </c>
      <c r="N9" s="18">
        <v>-92</v>
      </c>
      <c r="O9" s="19">
        <v>-0.0146</v>
      </c>
      <c r="P9" s="20" t="s">
        <v>67</v>
      </c>
      <c r="Q9" s="22" t="s">
        <v>192</v>
      </c>
      <c r="R9" s="18">
        <v>10238</v>
      </c>
      <c r="S9" s="19">
        <v>-0.2897</v>
      </c>
      <c r="T9" s="18">
        <v>184079.23</v>
      </c>
      <c r="U9" s="23" t="s">
        <v>139</v>
      </c>
      <c r="V9" s="18">
        <v>7192</v>
      </c>
      <c r="W9" s="24">
        <v>84</v>
      </c>
      <c r="X9" s="25">
        <v>17.98</v>
      </c>
      <c r="Z9" s="23" t="s">
        <v>70</v>
      </c>
      <c r="AA9" s="18">
        <v>26</v>
      </c>
      <c r="AB9" s="24">
        <v>17131</v>
      </c>
      <c r="AC9" s="18">
        <v>91</v>
      </c>
      <c r="AD9" s="28">
        <v>4.3</v>
      </c>
      <c r="AE9" s="29">
        <v>0.0089</v>
      </c>
      <c r="AF9" s="25">
        <v>6.27</v>
      </c>
      <c r="AG9" s="19">
        <v>0.4513</v>
      </c>
      <c r="AI9" s="14" t="s">
        <v>193</v>
      </c>
      <c r="AJ9" s="24">
        <v>2311</v>
      </c>
      <c r="AK9" s="14" t="s">
        <v>72</v>
      </c>
      <c r="AL9" s="24">
        <v>9.9</v>
      </c>
      <c r="AM9" s="24">
        <v>1</v>
      </c>
      <c r="AN9" s="15" t="s">
        <v>194</v>
      </c>
      <c r="AO9" s="14" t="s">
        <v>72</v>
      </c>
      <c r="AP9" s="14" t="s">
        <v>73</v>
      </c>
      <c r="AQ9" s="15" t="s">
        <v>195</v>
      </c>
      <c r="AR9" s="14" t="s">
        <v>196</v>
      </c>
      <c r="AS9" s="14" t="s">
        <v>76</v>
      </c>
      <c r="AT9" s="14" t="s">
        <v>76</v>
      </c>
      <c r="AU9" s="14" t="s">
        <v>77</v>
      </c>
      <c r="AV9" s="14" t="s">
        <v>76</v>
      </c>
      <c r="AW9" s="14" t="s">
        <v>76</v>
      </c>
      <c r="AX9" s="14" t="s">
        <v>77</v>
      </c>
      <c r="AY9" s="14" t="s">
        <v>76</v>
      </c>
      <c r="AZ9" s="14" t="s">
        <v>77</v>
      </c>
      <c r="BA9" s="15" t="s">
        <v>77</v>
      </c>
      <c r="BB9" s="23" t="s">
        <v>77</v>
      </c>
      <c r="BC9" s="23" t="s">
        <v>197</v>
      </c>
      <c r="BD9" s="23" t="s">
        <v>198</v>
      </c>
      <c r="BE9" s="23" t="s">
        <v>199</v>
      </c>
      <c r="BF9" s="14" t="s">
        <v>200</v>
      </c>
    </row>
    <row r="10" ht="24" customHeight="1" spans="1:58">
      <c r="A10" s="14" t="str">
        <f>_xlfn.DISPIMG("ID_28FC5B1B14864F9BA7BE1322F5DE4228",1)</f>
        <v>=DISPIMG("ID_28FC5B1B14864F9BA7BE1322F5DE4228",1)</v>
      </c>
      <c r="B10" s="15" t="s">
        <v>201</v>
      </c>
      <c r="C10" s="15" t="s">
        <v>84</v>
      </c>
      <c r="D10" s="15" t="s">
        <v>202</v>
      </c>
      <c r="E10" s="15" t="s">
        <v>86</v>
      </c>
      <c r="F10" s="15" t="s">
        <v>87</v>
      </c>
      <c r="G10" s="15" t="s">
        <v>203</v>
      </c>
      <c r="H10" s="15" t="s">
        <v>204</v>
      </c>
      <c r="I10" s="15" t="s">
        <v>205</v>
      </c>
      <c r="J10" s="15" t="s">
        <v>206</v>
      </c>
      <c r="K10" s="15" t="s">
        <v>65</v>
      </c>
      <c r="L10" s="15" t="s">
        <v>66</v>
      </c>
      <c r="M10" s="18">
        <v>5948</v>
      </c>
      <c r="N10" s="18">
        <v>2758</v>
      </c>
      <c r="O10" s="19">
        <v>0.3168</v>
      </c>
      <c r="P10" s="20" t="s">
        <v>92</v>
      </c>
      <c r="Q10" s="22" t="s">
        <v>207</v>
      </c>
      <c r="R10" s="18">
        <v>5184</v>
      </c>
      <c r="S10" s="19">
        <v>0.1083</v>
      </c>
      <c r="T10" s="18">
        <v>165888</v>
      </c>
      <c r="U10" s="23" t="s">
        <v>139</v>
      </c>
      <c r="V10" s="18">
        <v>12800</v>
      </c>
      <c r="W10" s="24">
        <v>108</v>
      </c>
      <c r="X10" s="25">
        <v>32</v>
      </c>
      <c r="Z10" s="7"/>
      <c r="AA10" s="18">
        <v>4</v>
      </c>
      <c r="AB10" s="24">
        <v>1217</v>
      </c>
      <c r="AC10" s="18">
        <v>32</v>
      </c>
      <c r="AD10" s="28">
        <v>4.6</v>
      </c>
      <c r="AE10" s="29">
        <v>0.0062</v>
      </c>
      <c r="AF10" s="25">
        <v>6.27</v>
      </c>
      <c r="AG10" s="19">
        <v>0.6041</v>
      </c>
      <c r="AI10" s="14" t="s">
        <v>208</v>
      </c>
      <c r="AJ10" s="24">
        <v>927</v>
      </c>
      <c r="AK10" s="14" t="s">
        <v>72</v>
      </c>
      <c r="AL10" s="24">
        <v>10</v>
      </c>
      <c r="AM10" s="24">
        <v>1</v>
      </c>
      <c r="AN10" s="15" t="s">
        <v>86</v>
      </c>
      <c r="AO10" s="14" t="s">
        <v>72</v>
      </c>
      <c r="AP10" s="14" t="s">
        <v>73</v>
      </c>
      <c r="AQ10" s="15" t="s">
        <v>96</v>
      </c>
      <c r="AR10" s="14" t="s">
        <v>97</v>
      </c>
      <c r="AS10" s="14" t="s">
        <v>77</v>
      </c>
      <c r="AT10" s="14" t="s">
        <v>76</v>
      </c>
      <c r="AU10" s="14" t="s">
        <v>77</v>
      </c>
      <c r="AV10" s="14" t="s">
        <v>76</v>
      </c>
      <c r="AW10" s="14" t="s">
        <v>77</v>
      </c>
      <c r="AX10" s="14" t="s">
        <v>77</v>
      </c>
      <c r="AY10" s="14" t="s">
        <v>76</v>
      </c>
      <c r="AZ10" s="14" t="s">
        <v>77</v>
      </c>
      <c r="BA10" s="15" t="s">
        <v>77</v>
      </c>
      <c r="BB10" s="23" t="s">
        <v>209</v>
      </c>
      <c r="BC10" s="23" t="s">
        <v>210</v>
      </c>
      <c r="BD10" s="23" t="s">
        <v>211</v>
      </c>
      <c r="BE10" s="23" t="s">
        <v>212</v>
      </c>
      <c r="BF10" s="14" t="s">
        <v>213</v>
      </c>
    </row>
    <row r="11" ht="24" customHeight="1" spans="1:58">
      <c r="A11" s="14" t="str">
        <f>_xlfn.DISPIMG("ID_B3E5B226F4774E8F8204364928F613D7",1)</f>
        <v>=DISPIMG("ID_B3E5B226F4774E8F8204364928F613D7",1)</v>
      </c>
      <c r="B11" s="15" t="s">
        <v>214</v>
      </c>
      <c r="C11" s="15" t="s">
        <v>185</v>
      </c>
      <c r="D11" s="15" t="s">
        <v>58</v>
      </c>
      <c r="E11" s="15" t="s">
        <v>186</v>
      </c>
      <c r="F11" s="15" t="s">
        <v>187</v>
      </c>
      <c r="G11" s="15" t="s">
        <v>215</v>
      </c>
      <c r="H11" s="15" t="s">
        <v>216</v>
      </c>
      <c r="I11" s="15" t="s">
        <v>217</v>
      </c>
      <c r="J11" s="15" t="s">
        <v>218</v>
      </c>
      <c r="K11" s="15" t="s">
        <v>65</v>
      </c>
      <c r="L11" s="15" t="s">
        <v>66</v>
      </c>
      <c r="M11" s="18">
        <v>6845</v>
      </c>
      <c r="N11" s="18">
        <v>2264</v>
      </c>
      <c r="O11" s="19">
        <v>0.2226</v>
      </c>
      <c r="P11" s="20" t="s">
        <v>67</v>
      </c>
      <c r="Q11" s="22" t="s">
        <v>219</v>
      </c>
      <c r="R11" s="18">
        <v>7783</v>
      </c>
      <c r="S11" s="19">
        <v>-0.2168</v>
      </c>
      <c r="T11" s="18">
        <v>139938.34</v>
      </c>
      <c r="U11" s="23" t="s">
        <v>94</v>
      </c>
      <c r="V11" s="18">
        <v>5394</v>
      </c>
      <c r="W11" s="24">
        <v>79</v>
      </c>
      <c r="X11" s="25">
        <v>17.98</v>
      </c>
      <c r="Z11" s="23" t="s">
        <v>70</v>
      </c>
      <c r="AA11" s="18">
        <v>36</v>
      </c>
      <c r="AB11" s="24">
        <v>17966</v>
      </c>
      <c r="AC11" s="18">
        <v>77</v>
      </c>
      <c r="AD11" s="28">
        <v>4.5</v>
      </c>
      <c r="AE11" s="29">
        <v>0.0099</v>
      </c>
      <c r="AF11" s="25">
        <v>5</v>
      </c>
      <c r="AG11" s="19">
        <v>0.5219</v>
      </c>
      <c r="AI11" s="14" t="s">
        <v>220</v>
      </c>
      <c r="AJ11" s="24">
        <v>1657</v>
      </c>
      <c r="AK11" s="14" t="s">
        <v>72</v>
      </c>
      <c r="AL11" s="24">
        <v>9.9</v>
      </c>
      <c r="AM11" s="24">
        <v>1</v>
      </c>
      <c r="AN11" s="15" t="s">
        <v>194</v>
      </c>
      <c r="AO11" s="14" t="s">
        <v>72</v>
      </c>
      <c r="AP11" s="14" t="s">
        <v>73</v>
      </c>
      <c r="AQ11" s="15" t="s">
        <v>195</v>
      </c>
      <c r="AR11" s="14" t="s">
        <v>196</v>
      </c>
      <c r="AS11" s="14" t="s">
        <v>76</v>
      </c>
      <c r="AT11" s="14" t="s">
        <v>76</v>
      </c>
      <c r="AU11" s="14" t="s">
        <v>77</v>
      </c>
      <c r="AV11" s="14" t="s">
        <v>76</v>
      </c>
      <c r="AW11" s="14" t="s">
        <v>76</v>
      </c>
      <c r="AX11" s="14" t="s">
        <v>77</v>
      </c>
      <c r="AY11" s="14" t="s">
        <v>76</v>
      </c>
      <c r="AZ11" s="14" t="s">
        <v>77</v>
      </c>
      <c r="BA11" s="15" t="s">
        <v>77</v>
      </c>
      <c r="BB11" s="23" t="s">
        <v>77</v>
      </c>
      <c r="BC11" s="23" t="s">
        <v>197</v>
      </c>
      <c r="BD11" s="23" t="s">
        <v>198</v>
      </c>
      <c r="BE11" s="23" t="s">
        <v>199</v>
      </c>
      <c r="BF11" s="14" t="s">
        <v>200</v>
      </c>
    </row>
    <row r="12" ht="24" customHeight="1" spans="1:58">
      <c r="A12" s="14" t="str">
        <f>_xlfn.DISPIMG("ID_82975F8EC58D4578A6EB576CE8795928",1)</f>
        <v>=DISPIMG("ID_82975F8EC58D4578A6EB576CE8795928",1)</v>
      </c>
      <c r="B12" s="15" t="s">
        <v>221</v>
      </c>
      <c r="C12" s="15" t="s">
        <v>84</v>
      </c>
      <c r="D12" s="15" t="s">
        <v>222</v>
      </c>
      <c r="E12" s="15" t="s">
        <v>86</v>
      </c>
      <c r="F12" s="15" t="s">
        <v>87</v>
      </c>
      <c r="G12" s="15" t="s">
        <v>223</v>
      </c>
      <c r="H12" s="15" t="s">
        <v>224</v>
      </c>
      <c r="I12" s="15" t="s">
        <v>225</v>
      </c>
      <c r="J12" s="15" t="s">
        <v>226</v>
      </c>
      <c r="K12" s="15" t="s">
        <v>65</v>
      </c>
      <c r="L12" s="15" t="s">
        <v>66</v>
      </c>
      <c r="M12" s="18">
        <v>8732</v>
      </c>
      <c r="N12" s="18">
        <v>3328</v>
      </c>
      <c r="O12" s="19">
        <v>0.276</v>
      </c>
      <c r="P12" s="20" t="s">
        <v>92</v>
      </c>
      <c r="Q12" s="22" t="s">
        <v>227</v>
      </c>
      <c r="R12" s="18">
        <v>4617</v>
      </c>
      <c r="S12" s="19">
        <v>0.1318</v>
      </c>
      <c r="T12" s="18">
        <v>129276</v>
      </c>
      <c r="U12" s="23" t="s">
        <v>139</v>
      </c>
      <c r="V12" s="18">
        <v>11200</v>
      </c>
      <c r="W12" s="24">
        <v>80</v>
      </c>
      <c r="X12" s="25">
        <v>28</v>
      </c>
      <c r="Z12" s="7"/>
      <c r="AB12" s="24">
        <v>371</v>
      </c>
      <c r="AC12" s="18">
        <v>33</v>
      </c>
      <c r="AD12" s="28">
        <v>4.5</v>
      </c>
      <c r="AE12" s="29">
        <v>0.0071</v>
      </c>
      <c r="AF12" s="25">
        <v>5.46</v>
      </c>
      <c r="AG12" s="19">
        <v>0.605</v>
      </c>
      <c r="AI12" s="14" t="s">
        <v>228</v>
      </c>
      <c r="AJ12" s="24">
        <v>386</v>
      </c>
      <c r="AK12" s="14" t="s">
        <v>72</v>
      </c>
      <c r="AL12" s="24">
        <v>10</v>
      </c>
      <c r="AM12" s="24">
        <v>1</v>
      </c>
      <c r="AN12" s="15" t="s">
        <v>86</v>
      </c>
      <c r="AO12" s="14" t="s">
        <v>72</v>
      </c>
      <c r="AP12" s="14" t="s">
        <v>73</v>
      </c>
      <c r="AQ12" s="15" t="s">
        <v>96</v>
      </c>
      <c r="AR12" s="14" t="s">
        <v>97</v>
      </c>
      <c r="AS12" s="14" t="s">
        <v>77</v>
      </c>
      <c r="AT12" s="14" t="s">
        <v>77</v>
      </c>
      <c r="AU12" s="14" t="s">
        <v>76</v>
      </c>
      <c r="AV12" s="14" t="s">
        <v>76</v>
      </c>
      <c r="AW12" s="14" t="s">
        <v>77</v>
      </c>
      <c r="AX12" s="14" t="s">
        <v>77</v>
      </c>
      <c r="AY12" s="14" t="s">
        <v>76</v>
      </c>
      <c r="AZ12" s="14" t="s">
        <v>77</v>
      </c>
      <c r="BA12" s="15" t="s">
        <v>77</v>
      </c>
      <c r="BC12" s="23" t="s">
        <v>229</v>
      </c>
      <c r="BD12" s="23" t="s">
        <v>230</v>
      </c>
      <c r="BE12" s="23" t="s">
        <v>231</v>
      </c>
      <c r="BF12" s="14" t="s">
        <v>232</v>
      </c>
    </row>
    <row r="13" ht="24" customHeight="1" spans="1:58">
      <c r="A13" s="14" t="str">
        <f>_xlfn.DISPIMG("ID_DD376A262FA74CB4B4D335DD22D32704",1)</f>
        <v>=DISPIMG("ID_DD376A262FA74CB4B4D335DD22D32704",1)</v>
      </c>
      <c r="B13" s="15" t="s">
        <v>233</v>
      </c>
      <c r="C13" s="15" t="s">
        <v>185</v>
      </c>
      <c r="D13" s="15" t="s">
        <v>234</v>
      </c>
      <c r="E13" s="15" t="s">
        <v>235</v>
      </c>
      <c r="F13" s="15" t="s">
        <v>236</v>
      </c>
      <c r="G13" s="15" t="s">
        <v>237</v>
      </c>
      <c r="H13" s="15" t="s">
        <v>238</v>
      </c>
      <c r="I13" s="15" t="s">
        <v>239</v>
      </c>
      <c r="J13" s="15" t="s">
        <v>240</v>
      </c>
      <c r="K13" s="15" t="s">
        <v>65</v>
      </c>
      <c r="L13" s="15" t="s">
        <v>66</v>
      </c>
      <c r="M13" s="18">
        <v>6904</v>
      </c>
      <c r="N13" s="18">
        <v>-1735</v>
      </c>
      <c r="O13" s="19">
        <v>-0.2053</v>
      </c>
      <c r="P13" s="20" t="s">
        <v>67</v>
      </c>
      <c r="Q13" s="22" t="s">
        <v>241</v>
      </c>
      <c r="R13" s="18">
        <v>4519</v>
      </c>
      <c r="S13" s="19">
        <v>-0.2123</v>
      </c>
      <c r="T13" s="18">
        <v>112929.81</v>
      </c>
      <c r="U13" s="23" t="s">
        <v>94</v>
      </c>
      <c r="V13" s="18">
        <v>7497</v>
      </c>
      <c r="W13" s="24">
        <v>92</v>
      </c>
      <c r="X13" s="25">
        <v>24.99</v>
      </c>
      <c r="Y13" s="25">
        <v>22.49</v>
      </c>
      <c r="Z13" s="7"/>
      <c r="AA13" s="18">
        <v>17</v>
      </c>
      <c r="AB13" s="24">
        <v>3605</v>
      </c>
      <c r="AC13" s="18">
        <v>55</v>
      </c>
      <c r="AD13" s="28">
        <v>4.3</v>
      </c>
      <c r="AE13" s="29">
        <v>0.0122</v>
      </c>
      <c r="AF13" s="25">
        <v>5.46</v>
      </c>
      <c r="AG13" s="19">
        <v>0.5815</v>
      </c>
      <c r="AI13" s="14" t="s">
        <v>242</v>
      </c>
      <c r="AJ13" s="24">
        <v>1399</v>
      </c>
      <c r="AK13" s="14" t="s">
        <v>72</v>
      </c>
      <c r="AL13" s="24">
        <v>10</v>
      </c>
      <c r="AM13" s="24">
        <v>1</v>
      </c>
      <c r="AN13" s="15" t="s">
        <v>235</v>
      </c>
      <c r="AO13" s="14" t="s">
        <v>72</v>
      </c>
      <c r="AP13" s="14" t="s">
        <v>73</v>
      </c>
      <c r="AQ13" s="15" t="s">
        <v>243</v>
      </c>
      <c r="AR13" s="14" t="s">
        <v>244</v>
      </c>
      <c r="AS13" s="14" t="s">
        <v>76</v>
      </c>
      <c r="AT13" s="14" t="s">
        <v>76</v>
      </c>
      <c r="AU13" s="14" t="s">
        <v>77</v>
      </c>
      <c r="AV13" s="14" t="s">
        <v>76</v>
      </c>
      <c r="AW13" s="14" t="s">
        <v>76</v>
      </c>
      <c r="AX13" s="14" t="s">
        <v>77</v>
      </c>
      <c r="AY13" s="14" t="s">
        <v>76</v>
      </c>
      <c r="AZ13" s="14" t="s">
        <v>77</v>
      </c>
      <c r="BA13" s="15" t="s">
        <v>77</v>
      </c>
      <c r="BB13" s="23" t="s">
        <v>245</v>
      </c>
      <c r="BC13" s="23" t="s">
        <v>246</v>
      </c>
      <c r="BD13" s="23" t="s">
        <v>247</v>
      </c>
      <c r="BE13" s="23" t="s">
        <v>248</v>
      </c>
      <c r="BF13" s="14" t="s">
        <v>249</v>
      </c>
    </row>
    <row r="14" ht="24" customHeight="1" spans="1:58">
      <c r="A14" s="14" t="str">
        <f>_xlfn.DISPIMG("ID_4549F4A195B2414A81B92ED9FDA887F3",1)</f>
        <v>=DISPIMG("ID_4549F4A195B2414A81B92ED9FDA887F3",1)</v>
      </c>
      <c r="B14" s="15" t="s">
        <v>250</v>
      </c>
      <c r="C14" s="15" t="s">
        <v>251</v>
      </c>
      <c r="D14" s="15" t="s">
        <v>252</v>
      </c>
      <c r="E14" s="15" t="s">
        <v>253</v>
      </c>
      <c r="F14" s="15" t="s">
        <v>254</v>
      </c>
      <c r="G14" s="15" t="s">
        <v>255</v>
      </c>
      <c r="H14" s="15" t="s">
        <v>256</v>
      </c>
      <c r="I14" s="15" t="s">
        <v>257</v>
      </c>
      <c r="J14" s="15" t="s">
        <v>258</v>
      </c>
      <c r="K14" s="15" t="s">
        <v>65</v>
      </c>
      <c r="L14" s="15" t="s">
        <v>66</v>
      </c>
      <c r="M14" s="18">
        <v>9986</v>
      </c>
      <c r="N14" s="18">
        <v>-2210</v>
      </c>
      <c r="O14" s="19">
        <v>-0.2842</v>
      </c>
      <c r="P14" s="20" t="s">
        <v>92</v>
      </c>
      <c r="Q14" s="22" t="s">
        <v>259</v>
      </c>
      <c r="R14" s="18">
        <v>4292</v>
      </c>
      <c r="S14" s="19">
        <v>-0.1047</v>
      </c>
      <c r="T14" s="18">
        <v>124425.08</v>
      </c>
      <c r="U14" s="23" t="s">
        <v>94</v>
      </c>
      <c r="V14" s="18">
        <v>8697</v>
      </c>
      <c r="W14" s="24">
        <v>25</v>
      </c>
      <c r="X14" s="25">
        <v>28.99</v>
      </c>
      <c r="Z14" s="7"/>
      <c r="AA14" s="18">
        <v>21</v>
      </c>
      <c r="AB14" s="24">
        <v>4299</v>
      </c>
      <c r="AC14" s="18">
        <v>81</v>
      </c>
      <c r="AD14" s="28">
        <v>4.2</v>
      </c>
      <c r="AE14" s="29">
        <v>0.0189</v>
      </c>
      <c r="AF14" s="25">
        <v>6.19</v>
      </c>
      <c r="AG14" s="19">
        <v>0.5865</v>
      </c>
      <c r="AI14" s="14" t="s">
        <v>260</v>
      </c>
      <c r="AJ14" s="24">
        <v>547</v>
      </c>
      <c r="AK14" s="14" t="s">
        <v>72</v>
      </c>
      <c r="AL14" s="24">
        <v>9.8</v>
      </c>
      <c r="AM14" s="24">
        <v>1</v>
      </c>
      <c r="AN14" s="15" t="s">
        <v>261</v>
      </c>
      <c r="AO14" s="14" t="s">
        <v>72</v>
      </c>
      <c r="AP14" s="14" t="s">
        <v>73</v>
      </c>
      <c r="AQ14" s="15" t="s">
        <v>262</v>
      </c>
      <c r="AR14" s="14" t="s">
        <v>263</v>
      </c>
      <c r="AS14" s="14" t="s">
        <v>77</v>
      </c>
      <c r="AT14" s="14" t="s">
        <v>76</v>
      </c>
      <c r="AU14" s="14" t="s">
        <v>77</v>
      </c>
      <c r="AV14" s="14" t="s">
        <v>76</v>
      </c>
      <c r="AW14" s="14" t="s">
        <v>76</v>
      </c>
      <c r="AX14" s="14" t="s">
        <v>77</v>
      </c>
      <c r="AY14" s="14" t="s">
        <v>76</v>
      </c>
      <c r="AZ14" s="14" t="s">
        <v>77</v>
      </c>
      <c r="BA14" s="15" t="s">
        <v>77</v>
      </c>
      <c r="BB14" s="23" t="s">
        <v>77</v>
      </c>
      <c r="BC14" s="23" t="s">
        <v>264</v>
      </c>
      <c r="BD14" s="23" t="s">
        <v>265</v>
      </c>
      <c r="BE14" s="23" t="s">
        <v>266</v>
      </c>
      <c r="BF14" s="14" t="s">
        <v>267</v>
      </c>
    </row>
    <row r="15" ht="24" customHeight="1" spans="1:58">
      <c r="A15" s="14" t="str">
        <f>_xlfn.DISPIMG("ID_028F752C614042DCA9DFF1AADCAD71F9",1)</f>
        <v>=DISPIMG("ID_028F752C614042DCA9DFF1AADCAD71F9",1)</v>
      </c>
      <c r="B15" s="15" t="s">
        <v>268</v>
      </c>
      <c r="C15" s="15" t="s">
        <v>269</v>
      </c>
      <c r="D15" s="15" t="s">
        <v>270</v>
      </c>
      <c r="E15" s="15" t="s">
        <v>271</v>
      </c>
      <c r="F15" s="15" t="s">
        <v>272</v>
      </c>
      <c r="G15" s="15" t="s">
        <v>273</v>
      </c>
      <c r="H15" s="15" t="s">
        <v>274</v>
      </c>
      <c r="I15" s="15" t="s">
        <v>275</v>
      </c>
      <c r="J15" s="15" t="s">
        <v>276</v>
      </c>
      <c r="K15" s="15" t="s">
        <v>65</v>
      </c>
      <c r="L15" s="15" t="s">
        <v>66</v>
      </c>
      <c r="M15" s="18">
        <v>10926</v>
      </c>
      <c r="N15" s="18">
        <v>6193</v>
      </c>
      <c r="O15" s="19">
        <v>0.3769</v>
      </c>
      <c r="P15" s="20" t="s">
        <v>92</v>
      </c>
      <c r="Q15" s="22" t="s">
        <v>277</v>
      </c>
      <c r="R15" s="18">
        <v>2835</v>
      </c>
      <c r="S15" s="19">
        <v>-0.2261</v>
      </c>
      <c r="T15" s="18">
        <v>64808.1</v>
      </c>
      <c r="U15" s="23" t="s">
        <v>175</v>
      </c>
      <c r="V15" s="18">
        <v>2286</v>
      </c>
      <c r="W15" s="24">
        <v>61</v>
      </c>
      <c r="X15" s="25">
        <v>22.86</v>
      </c>
      <c r="Z15" s="7"/>
      <c r="AA15" s="18">
        <v>123</v>
      </c>
      <c r="AB15" s="24">
        <v>33777</v>
      </c>
      <c r="AC15" s="18">
        <v>56</v>
      </c>
      <c r="AD15" s="28">
        <v>4.2</v>
      </c>
      <c r="AE15" s="29">
        <v>0.0198</v>
      </c>
      <c r="AF15" s="25">
        <v>5.39</v>
      </c>
      <c r="AG15" s="19">
        <v>0.5642</v>
      </c>
      <c r="AI15" s="14" t="s">
        <v>278</v>
      </c>
      <c r="AJ15" s="24">
        <v>3273</v>
      </c>
      <c r="AK15" s="14" t="s">
        <v>72</v>
      </c>
      <c r="AL15" s="24">
        <v>7.8</v>
      </c>
      <c r="AM15" s="24">
        <v>1</v>
      </c>
      <c r="AN15" s="15" t="s">
        <v>279</v>
      </c>
      <c r="AO15" s="14" t="s">
        <v>72</v>
      </c>
      <c r="AP15" s="14" t="s">
        <v>73</v>
      </c>
      <c r="AQ15" s="15" t="s">
        <v>280</v>
      </c>
      <c r="AR15" s="14" t="s">
        <v>281</v>
      </c>
      <c r="AS15" s="14" t="s">
        <v>77</v>
      </c>
      <c r="AT15" s="14" t="s">
        <v>76</v>
      </c>
      <c r="AU15" s="14" t="s">
        <v>77</v>
      </c>
      <c r="AV15" s="14" t="s">
        <v>77</v>
      </c>
      <c r="AW15" s="14" t="s">
        <v>76</v>
      </c>
      <c r="AX15" s="14" t="s">
        <v>77</v>
      </c>
      <c r="AY15" s="14" t="s">
        <v>77</v>
      </c>
      <c r="AZ15" s="14" t="s">
        <v>77</v>
      </c>
      <c r="BA15" s="15" t="s">
        <v>77</v>
      </c>
      <c r="BB15" s="23" t="s">
        <v>282</v>
      </c>
      <c r="BC15" s="23" t="s">
        <v>283</v>
      </c>
      <c r="BD15" s="23" t="s">
        <v>284</v>
      </c>
      <c r="BE15" s="23" t="s">
        <v>285</v>
      </c>
      <c r="BF15" s="14" t="s">
        <v>286</v>
      </c>
    </row>
    <row r="16" ht="24" customHeight="1" spans="1:58">
      <c r="A16" s="14" t="str">
        <f>_xlfn.DISPIMG("ID_B21A6FA50B674541B52A7C1E46819037",1)</f>
        <v>=DISPIMG("ID_B21A6FA50B674541B52A7C1E46819037",1)</v>
      </c>
      <c r="B16" s="15" t="s">
        <v>287</v>
      </c>
      <c r="C16" s="15" t="s">
        <v>84</v>
      </c>
      <c r="D16" s="15" t="s">
        <v>288</v>
      </c>
      <c r="E16" s="15" t="s">
        <v>289</v>
      </c>
      <c r="F16" s="15" t="s">
        <v>290</v>
      </c>
      <c r="G16" s="15" t="s">
        <v>291</v>
      </c>
      <c r="H16" s="15" t="s">
        <v>292</v>
      </c>
      <c r="I16" s="15" t="s">
        <v>293</v>
      </c>
      <c r="J16" s="15" t="s">
        <v>294</v>
      </c>
      <c r="K16" s="15" t="s">
        <v>65</v>
      </c>
      <c r="L16" s="15" t="s">
        <v>66</v>
      </c>
      <c r="M16" s="18">
        <v>10884</v>
      </c>
      <c r="N16" s="18">
        <v>-3693</v>
      </c>
      <c r="O16" s="19">
        <v>-0.5136</v>
      </c>
      <c r="P16" s="20" t="s">
        <v>92</v>
      </c>
      <c r="Q16" s="22" t="s">
        <v>295</v>
      </c>
      <c r="R16" s="18">
        <v>5793</v>
      </c>
      <c r="S16" s="19">
        <v>0.1598</v>
      </c>
      <c r="T16" s="18">
        <v>98423.07</v>
      </c>
      <c r="U16" s="23" t="s">
        <v>139</v>
      </c>
      <c r="V16" s="18">
        <v>6796</v>
      </c>
      <c r="W16" s="24">
        <v>39</v>
      </c>
      <c r="X16" s="25">
        <v>16.99</v>
      </c>
      <c r="Z16" s="7"/>
      <c r="AA16" s="18">
        <v>12</v>
      </c>
      <c r="AB16" s="24">
        <v>2870</v>
      </c>
      <c r="AC16" s="18">
        <v>49</v>
      </c>
      <c r="AD16" s="28">
        <v>4.4</v>
      </c>
      <c r="AE16" s="29">
        <v>0.0085</v>
      </c>
      <c r="AF16" s="25">
        <v>3.67</v>
      </c>
      <c r="AG16" s="19">
        <v>0.584</v>
      </c>
      <c r="AI16" s="14" t="s">
        <v>296</v>
      </c>
      <c r="AJ16" s="24">
        <v>1637</v>
      </c>
      <c r="AK16" s="14" t="s">
        <v>72</v>
      </c>
      <c r="AL16" s="24">
        <v>9.6</v>
      </c>
      <c r="AM16" s="24">
        <v>1</v>
      </c>
      <c r="AN16" s="15" t="s">
        <v>289</v>
      </c>
      <c r="AO16" s="14" t="s">
        <v>72</v>
      </c>
      <c r="AP16" s="14" t="s">
        <v>73</v>
      </c>
      <c r="AQ16" s="15" t="s">
        <v>297</v>
      </c>
      <c r="AR16" s="14" t="s">
        <v>298</v>
      </c>
      <c r="AS16" s="14" t="s">
        <v>77</v>
      </c>
      <c r="AT16" s="14" t="s">
        <v>76</v>
      </c>
      <c r="AU16" s="14" t="s">
        <v>77</v>
      </c>
      <c r="AV16" s="14" t="s">
        <v>76</v>
      </c>
      <c r="AW16" s="14" t="s">
        <v>76</v>
      </c>
      <c r="AX16" s="14" t="s">
        <v>77</v>
      </c>
      <c r="AY16" s="14" t="s">
        <v>76</v>
      </c>
      <c r="AZ16" s="14" t="s">
        <v>77</v>
      </c>
      <c r="BA16" s="15" t="s">
        <v>77</v>
      </c>
      <c r="BB16" s="23" t="s">
        <v>299</v>
      </c>
      <c r="BC16" s="23" t="s">
        <v>300</v>
      </c>
      <c r="BD16" s="23" t="s">
        <v>301</v>
      </c>
      <c r="BE16" s="23" t="s">
        <v>302</v>
      </c>
      <c r="BF16" s="14" t="s">
        <v>303</v>
      </c>
    </row>
    <row r="17" ht="24" customHeight="1" spans="1:58">
      <c r="A17" s="14" t="str">
        <f>_xlfn.DISPIMG("ID_C33DC3465917410CAEF224AAD13A6E79",1)</f>
        <v>=DISPIMG("ID_C33DC3465917410CAEF224AAD13A6E79",1)</v>
      </c>
      <c r="B17" s="15" t="s">
        <v>304</v>
      </c>
      <c r="C17" s="15" t="s">
        <v>84</v>
      </c>
      <c r="D17" s="15" t="s">
        <v>305</v>
      </c>
      <c r="E17" s="15" t="s">
        <v>306</v>
      </c>
      <c r="F17" s="15" t="s">
        <v>307</v>
      </c>
      <c r="G17" s="15" t="s">
        <v>308</v>
      </c>
      <c r="H17" s="15" t="s">
        <v>309</v>
      </c>
      <c r="I17" s="15" t="s">
        <v>310</v>
      </c>
      <c r="J17" s="15" t="s">
        <v>311</v>
      </c>
      <c r="K17" s="15" t="s">
        <v>65</v>
      </c>
      <c r="L17" s="15" t="s">
        <v>66</v>
      </c>
      <c r="M17" s="18">
        <v>9983</v>
      </c>
      <c r="N17" s="18">
        <v>3447</v>
      </c>
      <c r="O17" s="19">
        <v>0.2428</v>
      </c>
      <c r="P17" s="20" t="s">
        <v>67</v>
      </c>
      <c r="Q17" s="22" t="s">
        <v>312</v>
      </c>
      <c r="R17" s="18">
        <v>4139</v>
      </c>
      <c r="S17" s="19">
        <v>-0.133</v>
      </c>
      <c r="T17" s="18">
        <v>74419.22</v>
      </c>
      <c r="U17" s="23" t="s">
        <v>175</v>
      </c>
      <c r="V17" s="18">
        <v>1798</v>
      </c>
      <c r="W17" s="24">
        <v>83</v>
      </c>
      <c r="X17" s="25">
        <v>17.98</v>
      </c>
      <c r="Z17" s="7"/>
      <c r="AA17" s="18">
        <v>19</v>
      </c>
      <c r="AB17" s="24">
        <v>5468</v>
      </c>
      <c r="AC17" s="18">
        <v>27</v>
      </c>
      <c r="AD17" s="28">
        <v>4.3</v>
      </c>
      <c r="AE17" s="29">
        <v>0.0065</v>
      </c>
      <c r="AF17" s="25">
        <v>4.94</v>
      </c>
      <c r="AG17" s="19">
        <v>0.5253</v>
      </c>
      <c r="AI17" s="14" t="s">
        <v>313</v>
      </c>
      <c r="AJ17" s="24">
        <v>1647</v>
      </c>
      <c r="AK17" s="14" t="s">
        <v>72</v>
      </c>
      <c r="AL17" s="24">
        <v>9.6</v>
      </c>
      <c r="AM17" s="24">
        <v>1</v>
      </c>
      <c r="AN17" s="15" t="s">
        <v>314</v>
      </c>
      <c r="AO17" s="14" t="s">
        <v>72</v>
      </c>
      <c r="AP17" s="14" t="s">
        <v>73</v>
      </c>
      <c r="AQ17" s="15" t="s">
        <v>315</v>
      </c>
      <c r="AR17" s="14" t="s">
        <v>316</v>
      </c>
      <c r="AS17" s="14" t="s">
        <v>77</v>
      </c>
      <c r="AT17" s="14" t="s">
        <v>76</v>
      </c>
      <c r="AU17" s="14" t="s">
        <v>77</v>
      </c>
      <c r="AV17" s="14" t="s">
        <v>76</v>
      </c>
      <c r="AW17" s="14" t="s">
        <v>77</v>
      </c>
      <c r="AX17" s="14" t="s">
        <v>77</v>
      </c>
      <c r="AY17" s="14" t="s">
        <v>76</v>
      </c>
      <c r="AZ17" s="14" t="s">
        <v>77</v>
      </c>
      <c r="BA17" s="15" t="s">
        <v>77</v>
      </c>
      <c r="BB17" s="23" t="s">
        <v>317</v>
      </c>
      <c r="BC17" s="23" t="s">
        <v>318</v>
      </c>
      <c r="BD17" s="23" t="s">
        <v>319</v>
      </c>
      <c r="BE17" s="23" t="s">
        <v>320</v>
      </c>
      <c r="BF17" s="14" t="s">
        <v>321</v>
      </c>
    </row>
    <row r="18" ht="24" customHeight="1" spans="1:58">
      <c r="A18" s="14" t="str">
        <f>_xlfn.DISPIMG("ID_333B358175CE4061BF10DE9B1A4A0861",1)</f>
        <v>=DISPIMG("ID_333B358175CE4061BF10DE9B1A4A0861",1)</v>
      </c>
      <c r="B18" s="15" t="s">
        <v>322</v>
      </c>
      <c r="C18" s="15" t="s">
        <v>323</v>
      </c>
      <c r="D18" s="15" t="s">
        <v>58</v>
      </c>
      <c r="E18" s="15" t="s">
        <v>324</v>
      </c>
      <c r="F18" s="15" t="s">
        <v>325</v>
      </c>
      <c r="G18" s="15" t="s">
        <v>326</v>
      </c>
      <c r="H18" s="15" t="s">
        <v>327</v>
      </c>
      <c r="I18" s="15" t="s">
        <v>328</v>
      </c>
      <c r="J18" s="15" t="s">
        <v>329</v>
      </c>
      <c r="K18" s="15" t="s">
        <v>65</v>
      </c>
      <c r="L18" s="15" t="s">
        <v>66</v>
      </c>
      <c r="M18" s="18">
        <v>12261</v>
      </c>
      <c r="N18" s="18">
        <v>4360</v>
      </c>
      <c r="O18" s="19">
        <v>0.2623</v>
      </c>
      <c r="P18" s="20" t="s">
        <v>92</v>
      </c>
      <c r="Q18" s="22" t="s">
        <v>330</v>
      </c>
      <c r="R18" s="18">
        <v>4113</v>
      </c>
      <c r="S18" s="19">
        <v>-0.1935</v>
      </c>
      <c r="T18" s="18">
        <v>102783.87</v>
      </c>
      <c r="U18" s="23" t="s">
        <v>175</v>
      </c>
      <c r="V18" s="18">
        <v>2499</v>
      </c>
      <c r="W18" s="24">
        <v>105</v>
      </c>
      <c r="X18" s="25">
        <v>24.99</v>
      </c>
      <c r="Z18" s="7"/>
      <c r="AA18" s="18">
        <v>198</v>
      </c>
      <c r="AB18" s="24">
        <v>51138</v>
      </c>
      <c r="AC18" s="18">
        <v>113</v>
      </c>
      <c r="AD18" s="28">
        <v>4.4</v>
      </c>
      <c r="AE18" s="29">
        <v>0.0275</v>
      </c>
      <c r="AF18" s="25">
        <v>5.9</v>
      </c>
      <c r="AG18" s="19">
        <v>0.5639</v>
      </c>
      <c r="AI18" s="14" t="s">
        <v>331</v>
      </c>
      <c r="AJ18" s="24">
        <v>2741</v>
      </c>
      <c r="AK18" s="14" t="s">
        <v>72</v>
      </c>
      <c r="AL18" s="24">
        <v>9.5</v>
      </c>
      <c r="AM18" s="24">
        <v>1</v>
      </c>
      <c r="AN18" s="15" t="s">
        <v>332</v>
      </c>
      <c r="AO18" s="14" t="s">
        <v>72</v>
      </c>
      <c r="AP18" s="14" t="s">
        <v>73</v>
      </c>
      <c r="AQ18" s="15" t="s">
        <v>333</v>
      </c>
      <c r="AR18" s="14" t="s">
        <v>334</v>
      </c>
      <c r="AS18" s="14" t="s">
        <v>76</v>
      </c>
      <c r="AT18" s="14" t="s">
        <v>76</v>
      </c>
      <c r="AU18" s="14" t="s">
        <v>77</v>
      </c>
      <c r="AV18" s="14" t="s">
        <v>76</v>
      </c>
      <c r="AW18" s="14" t="s">
        <v>76</v>
      </c>
      <c r="AX18" s="14" t="s">
        <v>77</v>
      </c>
      <c r="AY18" s="14" t="s">
        <v>76</v>
      </c>
      <c r="AZ18" s="14" t="s">
        <v>77</v>
      </c>
      <c r="BA18" s="15" t="s">
        <v>77</v>
      </c>
      <c r="BB18" s="23" t="s">
        <v>335</v>
      </c>
      <c r="BC18" s="23" t="s">
        <v>336</v>
      </c>
      <c r="BD18" s="23" t="s">
        <v>337</v>
      </c>
      <c r="BE18" s="23" t="s">
        <v>338</v>
      </c>
      <c r="BF18" s="14" t="s">
        <v>339</v>
      </c>
    </row>
    <row r="19" ht="24" customHeight="1" spans="1:58">
      <c r="A19" s="14" t="str">
        <f>_xlfn.DISPIMG("ID_238125F17FCA42FB8D75CA4D4567EA0E",1)</f>
        <v>=DISPIMG("ID_238125F17FCA42FB8D75CA4D4567EA0E",1)</v>
      </c>
      <c r="B19" s="15" t="s">
        <v>340</v>
      </c>
      <c r="C19" s="15" t="s">
        <v>84</v>
      </c>
      <c r="D19" s="15" t="s">
        <v>341</v>
      </c>
      <c r="E19" s="15" t="s">
        <v>342</v>
      </c>
      <c r="F19" s="15" t="s">
        <v>343</v>
      </c>
      <c r="G19" s="15" t="s">
        <v>344</v>
      </c>
      <c r="H19" s="15" t="s">
        <v>345</v>
      </c>
      <c r="I19" s="15" t="s">
        <v>346</v>
      </c>
      <c r="J19" s="15" t="s">
        <v>347</v>
      </c>
      <c r="K19" s="15" t="s">
        <v>65</v>
      </c>
      <c r="L19" s="15" t="s">
        <v>66</v>
      </c>
      <c r="M19" s="18">
        <v>10627</v>
      </c>
      <c r="N19" s="18">
        <v>9805</v>
      </c>
      <c r="O19" s="19">
        <v>0.4392</v>
      </c>
      <c r="P19" s="20" t="s">
        <v>92</v>
      </c>
      <c r="Q19" s="22" t="s">
        <v>348</v>
      </c>
      <c r="R19" s="18">
        <v>3312</v>
      </c>
      <c r="S19" s="19">
        <v>-0.0309</v>
      </c>
      <c r="T19" s="18">
        <v>59582.88</v>
      </c>
      <c r="U19" s="23" t="s">
        <v>156</v>
      </c>
      <c r="V19" s="18">
        <v>3598</v>
      </c>
      <c r="W19" s="24">
        <v>90</v>
      </c>
      <c r="X19" s="25">
        <v>17.99</v>
      </c>
      <c r="Z19" s="23" t="s">
        <v>349</v>
      </c>
      <c r="AA19" s="18">
        <v>21</v>
      </c>
      <c r="AB19" s="24">
        <v>489</v>
      </c>
      <c r="AC19" s="18">
        <v>29</v>
      </c>
      <c r="AD19" s="28">
        <v>4.4</v>
      </c>
      <c r="AE19" s="29">
        <v>0.0088</v>
      </c>
      <c r="AF19" s="25">
        <v>3.44</v>
      </c>
      <c r="AG19" s="19">
        <v>0.6088</v>
      </c>
      <c r="AI19" s="14" t="s">
        <v>350</v>
      </c>
      <c r="AJ19" s="24">
        <v>586</v>
      </c>
      <c r="AK19" s="14" t="s">
        <v>72</v>
      </c>
      <c r="AL19" s="24">
        <v>8.6</v>
      </c>
      <c r="AM19" s="24">
        <v>1</v>
      </c>
      <c r="AN19" s="15" t="s">
        <v>342</v>
      </c>
      <c r="AO19" s="14" t="s">
        <v>72</v>
      </c>
      <c r="AP19" s="14" t="s">
        <v>73</v>
      </c>
      <c r="AQ19" s="15" t="s">
        <v>351</v>
      </c>
      <c r="AR19" s="14" t="s">
        <v>352</v>
      </c>
      <c r="AS19" s="14" t="s">
        <v>77</v>
      </c>
      <c r="AT19" s="14" t="s">
        <v>76</v>
      </c>
      <c r="AU19" s="14" t="s">
        <v>77</v>
      </c>
      <c r="AV19" s="14" t="s">
        <v>76</v>
      </c>
      <c r="AW19" s="14" t="s">
        <v>76</v>
      </c>
      <c r="AX19" s="14" t="s">
        <v>77</v>
      </c>
      <c r="AY19" s="14" t="s">
        <v>76</v>
      </c>
      <c r="AZ19" s="14" t="s">
        <v>77</v>
      </c>
      <c r="BA19" s="15" t="s">
        <v>77</v>
      </c>
      <c r="BB19" s="23" t="s">
        <v>353</v>
      </c>
      <c r="BC19" s="23" t="s">
        <v>300</v>
      </c>
      <c r="BD19" s="23" t="s">
        <v>301</v>
      </c>
      <c r="BE19" s="23" t="s">
        <v>354</v>
      </c>
      <c r="BF19" s="14" t="s">
        <v>355</v>
      </c>
    </row>
    <row r="20" ht="24" customHeight="1" spans="1:58">
      <c r="A20" s="14" t="str">
        <f>_xlfn.DISPIMG("ID_DBE2B726AEB34A4294AC8D6EEE04B623",1)</f>
        <v>=DISPIMG("ID_DBE2B726AEB34A4294AC8D6EEE04B623",1)</v>
      </c>
      <c r="B20" s="15" t="s">
        <v>356</v>
      </c>
      <c r="C20" s="15" t="s">
        <v>357</v>
      </c>
      <c r="D20" s="15" t="s">
        <v>358</v>
      </c>
      <c r="E20" s="15" t="s">
        <v>359</v>
      </c>
      <c r="F20" s="15" t="s">
        <v>360</v>
      </c>
      <c r="G20" s="15" t="s">
        <v>361</v>
      </c>
      <c r="H20" s="15" t="s">
        <v>362</v>
      </c>
      <c r="I20" s="15" t="s">
        <v>363</v>
      </c>
      <c r="J20" s="15" t="s">
        <v>364</v>
      </c>
      <c r="K20" s="15" t="s">
        <v>65</v>
      </c>
      <c r="L20" s="15" t="s">
        <v>66</v>
      </c>
      <c r="M20" s="18">
        <v>12411</v>
      </c>
      <c r="N20" s="18">
        <v>18188</v>
      </c>
      <c r="O20" s="19">
        <v>0.6062</v>
      </c>
      <c r="P20" s="20" t="s">
        <v>92</v>
      </c>
      <c r="Q20" s="22" t="s">
        <v>365</v>
      </c>
      <c r="R20" s="18">
        <v>2202</v>
      </c>
      <c r="S20" s="19">
        <v>-0.0143</v>
      </c>
      <c r="T20" s="18">
        <v>35209.98</v>
      </c>
      <c r="U20" s="23" t="s">
        <v>175</v>
      </c>
      <c r="V20" s="18">
        <v>1599</v>
      </c>
      <c r="W20" s="24">
        <v>112</v>
      </c>
      <c r="X20" s="25">
        <v>15.99</v>
      </c>
      <c r="Z20" s="7"/>
      <c r="AA20" s="18">
        <v>4</v>
      </c>
      <c r="AB20" s="24">
        <v>788</v>
      </c>
      <c r="AC20" s="18">
        <v>21</v>
      </c>
      <c r="AD20" s="28">
        <v>4.6</v>
      </c>
      <c r="AE20" s="29">
        <v>0.0095</v>
      </c>
      <c r="AF20" s="25">
        <v>6.19</v>
      </c>
      <c r="AG20" s="19">
        <v>0.4129</v>
      </c>
      <c r="AI20" s="14" t="s">
        <v>366</v>
      </c>
      <c r="AJ20" s="24">
        <v>1319</v>
      </c>
      <c r="AK20" s="14" t="s">
        <v>72</v>
      </c>
      <c r="AL20" s="24">
        <v>9.6</v>
      </c>
      <c r="AM20" s="24">
        <v>1</v>
      </c>
      <c r="AN20" s="15" t="s">
        <v>367</v>
      </c>
      <c r="AO20" s="14" t="s">
        <v>72</v>
      </c>
      <c r="AP20" s="14" t="s">
        <v>73</v>
      </c>
      <c r="AQ20" s="15" t="s">
        <v>368</v>
      </c>
      <c r="AR20" s="14" t="s">
        <v>369</v>
      </c>
      <c r="AS20" s="14" t="s">
        <v>77</v>
      </c>
      <c r="AT20" s="14" t="s">
        <v>76</v>
      </c>
      <c r="AU20" s="14" t="s">
        <v>77</v>
      </c>
      <c r="AV20" s="14" t="s">
        <v>76</v>
      </c>
      <c r="AW20" s="14" t="s">
        <v>76</v>
      </c>
      <c r="AX20" s="14" t="s">
        <v>77</v>
      </c>
      <c r="AY20" s="14" t="s">
        <v>76</v>
      </c>
      <c r="AZ20" s="14" t="s">
        <v>77</v>
      </c>
      <c r="BA20" s="15" t="s">
        <v>76</v>
      </c>
      <c r="BB20" s="23" t="s">
        <v>370</v>
      </c>
      <c r="BC20" s="23" t="s">
        <v>371</v>
      </c>
      <c r="BD20" s="23" t="s">
        <v>372</v>
      </c>
      <c r="BE20" s="23" t="s">
        <v>373</v>
      </c>
      <c r="BF20" s="14" t="s">
        <v>374</v>
      </c>
    </row>
    <row r="21" ht="24" customHeight="1" spans="1:58">
      <c r="A21" s="14" t="str">
        <f>_xlfn.DISPIMG("ID_9AA9490B4987488BB1678A751BA9B034",1)</f>
        <v>=DISPIMG("ID_9AA9490B4987488BB1678A751BA9B034",1)</v>
      </c>
      <c r="B21" s="15" t="s">
        <v>375</v>
      </c>
      <c r="C21" s="15" t="s">
        <v>376</v>
      </c>
      <c r="D21" s="15" t="s">
        <v>377</v>
      </c>
      <c r="E21" s="15" t="s">
        <v>378</v>
      </c>
      <c r="F21" s="15" t="s">
        <v>379</v>
      </c>
      <c r="G21" s="15" t="s">
        <v>380</v>
      </c>
      <c r="H21" s="15" t="s">
        <v>381</v>
      </c>
      <c r="I21" s="15" t="s">
        <v>382</v>
      </c>
      <c r="J21" s="15" t="s">
        <v>383</v>
      </c>
      <c r="K21" s="15" t="s">
        <v>65</v>
      </c>
      <c r="L21" s="15" t="s">
        <v>66</v>
      </c>
      <c r="M21" s="18">
        <v>12599</v>
      </c>
      <c r="N21" s="18">
        <v>12872</v>
      </c>
      <c r="O21" s="19">
        <v>0.4789</v>
      </c>
      <c r="P21" s="20" t="s">
        <v>67</v>
      </c>
      <c r="Q21" s="22" t="s">
        <v>384</v>
      </c>
      <c r="R21" s="18">
        <v>3229</v>
      </c>
      <c r="S21" s="19">
        <v>-0.2877</v>
      </c>
      <c r="T21" s="18">
        <v>48402.71</v>
      </c>
      <c r="U21" s="23" t="s">
        <v>385</v>
      </c>
      <c r="V21" s="18">
        <v>10493</v>
      </c>
      <c r="W21" s="24">
        <v>36</v>
      </c>
      <c r="X21" s="25">
        <v>14.99</v>
      </c>
      <c r="Z21" s="23" t="s">
        <v>349</v>
      </c>
      <c r="AA21" s="18">
        <v>20</v>
      </c>
      <c r="AB21" s="24">
        <v>500</v>
      </c>
      <c r="AC21" s="18">
        <v>32</v>
      </c>
      <c r="AD21" s="28">
        <v>4.4</v>
      </c>
      <c r="AE21" s="29">
        <v>0.0099</v>
      </c>
      <c r="AF21" s="25">
        <v>6.19</v>
      </c>
      <c r="AG21" s="19">
        <v>0.3871</v>
      </c>
      <c r="AI21" s="14" t="s">
        <v>386</v>
      </c>
      <c r="AJ21" s="24">
        <v>546</v>
      </c>
      <c r="AK21" s="14" t="s">
        <v>72</v>
      </c>
      <c r="AL21" s="24">
        <v>8.9</v>
      </c>
      <c r="AM21" s="24">
        <v>1</v>
      </c>
      <c r="AN21" s="15" t="s">
        <v>387</v>
      </c>
      <c r="AO21" s="14" t="s">
        <v>72</v>
      </c>
      <c r="AP21" s="14" t="s">
        <v>73</v>
      </c>
      <c r="AQ21" s="15" t="s">
        <v>388</v>
      </c>
      <c r="AR21" s="14" t="s">
        <v>389</v>
      </c>
      <c r="AS21" s="14" t="s">
        <v>77</v>
      </c>
      <c r="AT21" s="14" t="s">
        <v>76</v>
      </c>
      <c r="AU21" s="14" t="s">
        <v>76</v>
      </c>
      <c r="AV21" s="14" t="s">
        <v>76</v>
      </c>
      <c r="AW21" s="14" t="s">
        <v>76</v>
      </c>
      <c r="AX21" s="14" t="s">
        <v>77</v>
      </c>
      <c r="AY21" s="14" t="s">
        <v>76</v>
      </c>
      <c r="AZ21" s="14" t="s">
        <v>77</v>
      </c>
      <c r="BA21" s="15" t="s">
        <v>77</v>
      </c>
      <c r="BB21" s="23" t="s">
        <v>77</v>
      </c>
      <c r="BC21" s="23" t="s">
        <v>390</v>
      </c>
      <c r="BD21" s="23" t="s">
        <v>391</v>
      </c>
      <c r="BE21" s="23" t="s">
        <v>392</v>
      </c>
      <c r="BF21" s="14" t="s">
        <v>393</v>
      </c>
    </row>
    <row r="22" ht="24" customHeight="1" spans="1:58">
      <c r="A22" s="14" t="str">
        <f>_xlfn.DISPIMG("ID_863B2484F96549CBA9C6ABEEFA44F1E9",1)</f>
        <v>=DISPIMG("ID_863B2484F96549CBA9C6ABEEFA44F1E9",1)</v>
      </c>
      <c r="B22" s="15" t="s">
        <v>394</v>
      </c>
      <c r="C22" s="15" t="s">
        <v>395</v>
      </c>
      <c r="D22" s="15" t="s">
        <v>396</v>
      </c>
      <c r="E22" s="15" t="s">
        <v>397</v>
      </c>
      <c r="F22" s="15" t="s">
        <v>398</v>
      </c>
      <c r="G22" s="15" t="s">
        <v>399</v>
      </c>
      <c r="H22" s="15" t="s">
        <v>400</v>
      </c>
      <c r="I22" s="15" t="s">
        <v>401</v>
      </c>
      <c r="J22" s="15" t="s">
        <v>402</v>
      </c>
      <c r="K22" s="15" t="s">
        <v>65</v>
      </c>
      <c r="L22" s="15" t="s">
        <v>66</v>
      </c>
      <c r="M22" s="18">
        <v>13631</v>
      </c>
      <c r="N22" s="18">
        <v>9615</v>
      </c>
      <c r="O22" s="19">
        <v>0.4322</v>
      </c>
      <c r="P22" s="20" t="s">
        <v>108</v>
      </c>
      <c r="Q22" s="22" t="s">
        <v>403</v>
      </c>
      <c r="R22" s="18">
        <v>4853</v>
      </c>
      <c r="S22" s="19">
        <v>0.1958</v>
      </c>
      <c r="T22" s="18">
        <v>97011.47</v>
      </c>
      <c r="U22" s="23" t="s">
        <v>404</v>
      </c>
      <c r="V22" s="18">
        <v>999.5</v>
      </c>
      <c r="W22" s="24">
        <v>132</v>
      </c>
      <c r="X22" s="25">
        <v>19.99</v>
      </c>
      <c r="Y22" s="25">
        <v>17.99</v>
      </c>
      <c r="Z22" s="23" t="s">
        <v>405</v>
      </c>
      <c r="AB22" s="24">
        <v>866</v>
      </c>
      <c r="AC22" s="18">
        <v>108</v>
      </c>
      <c r="AD22" s="28">
        <v>4.3</v>
      </c>
      <c r="AE22" s="29">
        <v>0.0223</v>
      </c>
      <c r="AF22" s="25">
        <v>3.35</v>
      </c>
      <c r="AG22" s="19">
        <v>0.6324</v>
      </c>
      <c r="AI22" s="14" t="s">
        <v>406</v>
      </c>
      <c r="AJ22" s="24">
        <v>186</v>
      </c>
      <c r="AK22" s="14" t="s">
        <v>72</v>
      </c>
      <c r="AL22" s="24">
        <v>10</v>
      </c>
      <c r="AM22" s="24">
        <v>1</v>
      </c>
      <c r="AN22" s="15" t="s">
        <v>397</v>
      </c>
      <c r="AO22" s="14" t="s">
        <v>72</v>
      </c>
      <c r="AP22" s="14" t="s">
        <v>73</v>
      </c>
      <c r="AQ22" s="15" t="s">
        <v>407</v>
      </c>
      <c r="AR22" s="14" t="s">
        <v>408</v>
      </c>
      <c r="AS22" s="14" t="s">
        <v>77</v>
      </c>
      <c r="AT22" s="14" t="s">
        <v>77</v>
      </c>
      <c r="AU22" s="14" t="s">
        <v>77</v>
      </c>
      <c r="AV22" s="14" t="s">
        <v>76</v>
      </c>
      <c r="AW22" s="14" t="s">
        <v>76</v>
      </c>
      <c r="AX22" s="14" t="s">
        <v>77</v>
      </c>
      <c r="AY22" s="14" t="s">
        <v>76</v>
      </c>
      <c r="AZ22" s="14" t="s">
        <v>77</v>
      </c>
      <c r="BA22" s="15" t="s">
        <v>77</v>
      </c>
      <c r="BD22" s="23" t="s">
        <v>77</v>
      </c>
      <c r="BF22" s="14" t="s">
        <v>77</v>
      </c>
    </row>
    <row r="23" ht="24" customHeight="1" spans="1:58">
      <c r="A23" s="14" t="str">
        <f>_xlfn.DISPIMG("ID_FE29C2B6392943568A5ACCC0B868C7AF",1)</f>
        <v>=DISPIMG("ID_FE29C2B6392943568A5ACCC0B868C7AF",1)</v>
      </c>
      <c r="B23" s="15" t="s">
        <v>409</v>
      </c>
      <c r="C23" s="15" t="s">
        <v>84</v>
      </c>
      <c r="D23" s="15" t="s">
        <v>410</v>
      </c>
      <c r="E23" s="15" t="s">
        <v>411</v>
      </c>
      <c r="F23" s="15" t="s">
        <v>412</v>
      </c>
      <c r="G23" s="15" t="s">
        <v>413</v>
      </c>
      <c r="H23" s="15" t="s">
        <v>414</v>
      </c>
      <c r="I23" s="15" t="s">
        <v>415</v>
      </c>
      <c r="J23" s="15" t="s">
        <v>416</v>
      </c>
      <c r="K23" s="15" t="s">
        <v>65</v>
      </c>
      <c r="L23" s="15" t="s">
        <v>66</v>
      </c>
      <c r="M23" s="18">
        <v>13192</v>
      </c>
      <c r="N23" s="18">
        <v>5421</v>
      </c>
      <c r="O23" s="19">
        <v>0.2901</v>
      </c>
      <c r="P23" s="20" t="s">
        <v>67</v>
      </c>
      <c r="Q23" s="22" t="s">
        <v>417</v>
      </c>
      <c r="R23" s="18">
        <v>4475</v>
      </c>
      <c r="S23" s="19">
        <v>-0.2923</v>
      </c>
      <c r="T23" s="18">
        <v>89455.25</v>
      </c>
      <c r="U23" s="23" t="s">
        <v>156</v>
      </c>
      <c r="V23" s="18">
        <v>3998</v>
      </c>
      <c r="W23" s="24">
        <v>62</v>
      </c>
      <c r="X23" s="25">
        <v>19.99</v>
      </c>
      <c r="Z23" s="7"/>
      <c r="AA23" s="18">
        <v>23</v>
      </c>
      <c r="AB23" s="24">
        <v>6650</v>
      </c>
      <c r="AC23" s="18">
        <v>74</v>
      </c>
      <c r="AD23" s="28">
        <v>4.4</v>
      </c>
      <c r="AE23" s="29">
        <v>0.0165</v>
      </c>
      <c r="AF23" s="25">
        <v>4.71</v>
      </c>
      <c r="AG23" s="19">
        <v>0.5644</v>
      </c>
      <c r="AI23" s="14" t="s">
        <v>418</v>
      </c>
      <c r="AJ23" s="24">
        <v>1709</v>
      </c>
      <c r="AK23" s="14" t="s">
        <v>72</v>
      </c>
      <c r="AL23" s="24">
        <v>9.9</v>
      </c>
      <c r="AM23" s="24">
        <v>1</v>
      </c>
      <c r="AN23" s="15" t="s">
        <v>419</v>
      </c>
      <c r="AO23" s="14" t="s">
        <v>72</v>
      </c>
      <c r="AP23" s="14" t="s">
        <v>420</v>
      </c>
      <c r="AQ23" s="15" t="s">
        <v>421</v>
      </c>
      <c r="AR23" s="14" t="s">
        <v>422</v>
      </c>
      <c r="AS23" s="14" t="s">
        <v>76</v>
      </c>
      <c r="AT23" s="14" t="s">
        <v>76</v>
      </c>
      <c r="AU23" s="14" t="s">
        <v>77</v>
      </c>
      <c r="AV23" s="14" t="s">
        <v>76</v>
      </c>
      <c r="AW23" s="14" t="s">
        <v>76</v>
      </c>
      <c r="AX23" s="14" t="s">
        <v>77</v>
      </c>
      <c r="AY23" s="14" t="s">
        <v>76</v>
      </c>
      <c r="AZ23" s="14" t="s">
        <v>77</v>
      </c>
      <c r="BA23" s="15" t="s">
        <v>77</v>
      </c>
      <c r="BB23" s="23" t="s">
        <v>77</v>
      </c>
      <c r="BC23" s="23" t="s">
        <v>423</v>
      </c>
      <c r="BD23" s="23" t="s">
        <v>424</v>
      </c>
      <c r="BE23" s="23" t="s">
        <v>425</v>
      </c>
      <c r="BF23" s="14" t="s">
        <v>426</v>
      </c>
    </row>
    <row r="24" ht="24" customHeight="1" spans="1:58">
      <c r="A24" s="14" t="str">
        <f>_xlfn.DISPIMG("ID_AD57F8AC7994442284B5EE68F7D4A80E",1)</f>
        <v>=DISPIMG("ID_AD57F8AC7994442284B5EE68F7D4A80E",1)</v>
      </c>
      <c r="B24" s="15" t="s">
        <v>427</v>
      </c>
      <c r="C24" s="15" t="s">
        <v>84</v>
      </c>
      <c r="D24" s="15" t="s">
        <v>428</v>
      </c>
      <c r="E24" s="15" t="s">
        <v>429</v>
      </c>
      <c r="F24" s="15" t="s">
        <v>430</v>
      </c>
      <c r="G24" s="15" t="s">
        <v>431</v>
      </c>
      <c r="H24" s="15" t="s">
        <v>432</v>
      </c>
      <c r="I24" s="15" t="s">
        <v>433</v>
      </c>
      <c r="J24" s="15" t="s">
        <v>434</v>
      </c>
      <c r="K24" s="15" t="s">
        <v>65</v>
      </c>
      <c r="L24" s="15" t="s">
        <v>66</v>
      </c>
      <c r="M24" s="18">
        <v>15743</v>
      </c>
      <c r="N24" s="18">
        <v>-5854</v>
      </c>
      <c r="O24" s="19">
        <v>-0.592</v>
      </c>
      <c r="P24" s="20" t="s">
        <v>92</v>
      </c>
      <c r="Q24" s="22" t="s">
        <v>435</v>
      </c>
      <c r="R24" s="18">
        <v>4574</v>
      </c>
      <c r="S24" s="19">
        <v>-0.028</v>
      </c>
      <c r="T24" s="18">
        <v>91434.26</v>
      </c>
      <c r="U24" s="23" t="s">
        <v>156</v>
      </c>
      <c r="V24" s="18">
        <v>3998</v>
      </c>
      <c r="W24" s="24">
        <v>163</v>
      </c>
      <c r="X24" s="25">
        <v>19.99</v>
      </c>
      <c r="Y24" s="25">
        <v>14.98</v>
      </c>
      <c r="Z24" s="7"/>
      <c r="AA24" s="18">
        <v>14</v>
      </c>
      <c r="AB24" s="24">
        <v>7466</v>
      </c>
      <c r="AC24" s="18">
        <v>41</v>
      </c>
      <c r="AD24" s="28">
        <v>4.3</v>
      </c>
      <c r="AE24" s="29">
        <v>0.009</v>
      </c>
      <c r="AF24" s="25">
        <v>3.6</v>
      </c>
      <c r="AG24" s="19">
        <v>0.6199</v>
      </c>
      <c r="AI24" s="14" t="s">
        <v>436</v>
      </c>
      <c r="AJ24" s="24">
        <v>2181</v>
      </c>
      <c r="AK24" s="14" t="s">
        <v>72</v>
      </c>
      <c r="AL24" s="24">
        <v>10</v>
      </c>
      <c r="AM24" s="24">
        <v>1</v>
      </c>
      <c r="AN24" s="15" t="s">
        <v>437</v>
      </c>
      <c r="AO24" s="14" t="s">
        <v>72</v>
      </c>
      <c r="AP24" s="14" t="s">
        <v>73</v>
      </c>
      <c r="AQ24" s="15" t="s">
        <v>438</v>
      </c>
      <c r="AR24" s="14" t="s">
        <v>439</v>
      </c>
      <c r="AS24" s="14" t="s">
        <v>76</v>
      </c>
      <c r="AT24" s="14" t="s">
        <v>76</v>
      </c>
      <c r="AU24" s="14" t="s">
        <v>77</v>
      </c>
      <c r="AV24" s="14" t="s">
        <v>76</v>
      </c>
      <c r="AW24" s="14" t="s">
        <v>76</v>
      </c>
      <c r="AX24" s="14" t="s">
        <v>77</v>
      </c>
      <c r="AY24" s="14" t="s">
        <v>76</v>
      </c>
      <c r="AZ24" s="14" t="s">
        <v>77</v>
      </c>
      <c r="BA24" s="15" t="s">
        <v>77</v>
      </c>
      <c r="BB24" s="23" t="s">
        <v>77</v>
      </c>
      <c r="BC24" s="23" t="s">
        <v>440</v>
      </c>
      <c r="BD24" s="23" t="s">
        <v>441</v>
      </c>
      <c r="BE24" s="23" t="s">
        <v>442</v>
      </c>
      <c r="BF24" s="14" t="s">
        <v>443</v>
      </c>
    </row>
    <row r="25" ht="24" customHeight="1" spans="1:58">
      <c r="A25" s="14" t="str">
        <f>_xlfn.DISPIMG("ID_BAB02C3F8F1F4C088DD6F625ACC0E98A",1)</f>
        <v>=DISPIMG("ID_BAB02C3F8F1F4C088DD6F625ACC0E98A",1)</v>
      </c>
      <c r="B25" s="15" t="s">
        <v>444</v>
      </c>
      <c r="C25" s="15" t="s">
        <v>445</v>
      </c>
      <c r="D25" s="15" t="s">
        <v>446</v>
      </c>
      <c r="E25" s="15" t="s">
        <v>447</v>
      </c>
      <c r="F25" s="15" t="s">
        <v>448</v>
      </c>
      <c r="G25" s="15" t="s">
        <v>449</v>
      </c>
      <c r="H25" s="15" t="s">
        <v>450</v>
      </c>
      <c r="I25" s="15" t="s">
        <v>451</v>
      </c>
      <c r="J25" s="15" t="s">
        <v>452</v>
      </c>
      <c r="K25" s="15" t="s">
        <v>65</v>
      </c>
      <c r="L25" s="15" t="s">
        <v>66</v>
      </c>
      <c r="M25" s="18">
        <v>14063</v>
      </c>
      <c r="N25" s="18">
        <v>-5292</v>
      </c>
      <c r="O25" s="19">
        <v>-0.6034</v>
      </c>
      <c r="P25" s="20" t="s">
        <v>108</v>
      </c>
      <c r="Q25" s="22" t="s">
        <v>453</v>
      </c>
      <c r="R25" s="18">
        <v>3110</v>
      </c>
      <c r="S25" s="19">
        <v>-0.061</v>
      </c>
      <c r="T25" s="18">
        <v>62168.9</v>
      </c>
      <c r="U25" s="23" t="s">
        <v>77</v>
      </c>
      <c r="V25" s="18" t="s">
        <v>77</v>
      </c>
      <c r="W25" s="24">
        <v>137</v>
      </c>
      <c r="X25" s="25">
        <v>19.99</v>
      </c>
      <c r="Z25" s="23" t="s">
        <v>454</v>
      </c>
      <c r="AA25" s="18">
        <v>4</v>
      </c>
      <c r="AB25" s="24">
        <v>822</v>
      </c>
      <c r="AC25" s="18">
        <v>20</v>
      </c>
      <c r="AD25" s="28">
        <v>4.3</v>
      </c>
      <c r="AE25" s="29">
        <v>0.0064</v>
      </c>
      <c r="AF25" s="25">
        <v>4.84</v>
      </c>
      <c r="AG25" s="19">
        <v>0.531</v>
      </c>
      <c r="AI25" s="14" t="s">
        <v>455</v>
      </c>
      <c r="AJ25" s="24">
        <v>900</v>
      </c>
      <c r="AK25" s="14" t="s">
        <v>72</v>
      </c>
      <c r="AL25" s="24">
        <v>10</v>
      </c>
      <c r="AM25" s="24">
        <v>1</v>
      </c>
      <c r="AN25" s="15" t="s">
        <v>456</v>
      </c>
      <c r="AO25" s="14" t="s">
        <v>72</v>
      </c>
      <c r="AP25" s="14" t="s">
        <v>73</v>
      </c>
      <c r="AQ25" s="15" t="s">
        <v>457</v>
      </c>
      <c r="AR25" s="14" t="s">
        <v>458</v>
      </c>
      <c r="AS25" s="14" t="s">
        <v>77</v>
      </c>
      <c r="AT25" s="14" t="s">
        <v>76</v>
      </c>
      <c r="AU25" s="14" t="s">
        <v>77</v>
      </c>
      <c r="AV25" s="14" t="s">
        <v>76</v>
      </c>
      <c r="AW25" s="14" t="s">
        <v>77</v>
      </c>
      <c r="AX25" s="14" t="s">
        <v>77</v>
      </c>
      <c r="AY25" s="14" t="s">
        <v>77</v>
      </c>
      <c r="AZ25" s="14" t="s">
        <v>77</v>
      </c>
      <c r="BA25" s="15" t="s">
        <v>77</v>
      </c>
      <c r="BB25" s="23" t="s">
        <v>459</v>
      </c>
      <c r="BC25" s="23" t="s">
        <v>460</v>
      </c>
      <c r="BD25" s="23" t="s">
        <v>461</v>
      </c>
      <c r="BE25" s="23" t="s">
        <v>462</v>
      </c>
      <c r="BF25" s="14" t="s">
        <v>463</v>
      </c>
    </row>
    <row r="26" ht="24" customHeight="1" spans="1:58">
      <c r="A26" s="14" t="str">
        <f>_xlfn.DISPIMG("ID_5A061B6FDD4D4942AC71A6854622A7AB",1)</f>
        <v>=DISPIMG("ID_5A061B6FDD4D4942AC71A6854622A7AB",1)</v>
      </c>
      <c r="B26" s="15" t="s">
        <v>464</v>
      </c>
      <c r="C26" s="15" t="s">
        <v>465</v>
      </c>
      <c r="D26" s="15" t="s">
        <v>466</v>
      </c>
      <c r="E26" s="15" t="s">
        <v>467</v>
      </c>
      <c r="F26" s="15" t="s">
        <v>468</v>
      </c>
      <c r="G26" s="15" t="s">
        <v>469</v>
      </c>
      <c r="H26" s="15" t="s">
        <v>470</v>
      </c>
      <c r="I26" s="15" t="s">
        <v>471</v>
      </c>
      <c r="J26" s="15" t="s">
        <v>472</v>
      </c>
      <c r="K26" s="15" t="s">
        <v>65</v>
      </c>
      <c r="L26" s="15" t="s">
        <v>66</v>
      </c>
      <c r="M26" s="18">
        <v>15581</v>
      </c>
      <c r="N26" s="18">
        <v>31529</v>
      </c>
      <c r="O26" s="19">
        <v>0.6693</v>
      </c>
      <c r="P26" s="20" t="s">
        <v>108</v>
      </c>
      <c r="Q26" s="22" t="s">
        <v>473</v>
      </c>
      <c r="R26" s="18">
        <v>1592</v>
      </c>
      <c r="S26" s="19">
        <v>-0.0876</v>
      </c>
      <c r="T26" s="18">
        <v>23577.521</v>
      </c>
      <c r="U26" s="23" t="s">
        <v>404</v>
      </c>
      <c r="V26" s="18">
        <v>1481</v>
      </c>
      <c r="W26" s="24">
        <v>86</v>
      </c>
      <c r="X26" s="25">
        <v>14.81</v>
      </c>
      <c r="Z26" s="7"/>
      <c r="AA26" s="18">
        <v>8</v>
      </c>
      <c r="AB26" s="24">
        <v>727</v>
      </c>
      <c r="AC26" s="18">
        <v>11</v>
      </c>
      <c r="AD26" s="28">
        <v>4.5</v>
      </c>
      <c r="AE26" s="29">
        <v>0.0069</v>
      </c>
      <c r="AF26" s="25">
        <v>3.44</v>
      </c>
      <c r="AG26" s="19">
        <v>0.5677</v>
      </c>
      <c r="AI26" s="14" t="s">
        <v>474</v>
      </c>
      <c r="AJ26" s="24">
        <v>1619</v>
      </c>
      <c r="AK26" s="14" t="s">
        <v>72</v>
      </c>
      <c r="AL26" s="24">
        <v>10</v>
      </c>
      <c r="AM26" s="24">
        <v>1</v>
      </c>
      <c r="AN26" s="15" t="s">
        <v>475</v>
      </c>
      <c r="AO26" s="14" t="s">
        <v>72</v>
      </c>
      <c r="AP26" s="14" t="s">
        <v>73</v>
      </c>
      <c r="AQ26" s="15" t="s">
        <v>476</v>
      </c>
      <c r="AR26" s="14" t="s">
        <v>477</v>
      </c>
      <c r="AS26" s="14" t="s">
        <v>77</v>
      </c>
      <c r="AT26" s="14" t="s">
        <v>76</v>
      </c>
      <c r="AU26" s="14" t="s">
        <v>77</v>
      </c>
      <c r="AV26" s="14" t="s">
        <v>76</v>
      </c>
      <c r="AW26" s="14" t="s">
        <v>76</v>
      </c>
      <c r="AX26" s="14" t="s">
        <v>77</v>
      </c>
      <c r="AY26" s="14" t="s">
        <v>76</v>
      </c>
      <c r="AZ26" s="14" t="s">
        <v>77</v>
      </c>
      <c r="BA26" s="15" t="s">
        <v>76</v>
      </c>
      <c r="BB26" s="23" t="s">
        <v>77</v>
      </c>
      <c r="BC26" s="23" t="s">
        <v>478</v>
      </c>
      <c r="BD26" s="23" t="s">
        <v>479</v>
      </c>
      <c r="BE26" s="23" t="s">
        <v>480</v>
      </c>
      <c r="BF26" s="14" t="s">
        <v>481</v>
      </c>
    </row>
    <row r="27" ht="24" customHeight="1" spans="1:58">
      <c r="A27" s="14" t="str">
        <f>_xlfn.DISPIMG("ID_CB9F989EF85445678C559752918A5AC6",1)</f>
        <v>=DISPIMG("ID_CB9F989EF85445678C559752918A5AC6",1)</v>
      </c>
      <c r="B27" s="15" t="s">
        <v>482</v>
      </c>
      <c r="C27" s="15" t="s">
        <v>483</v>
      </c>
      <c r="D27" s="15" t="s">
        <v>484</v>
      </c>
      <c r="E27" s="15" t="s">
        <v>485</v>
      </c>
      <c r="F27" s="15" t="s">
        <v>486</v>
      </c>
      <c r="G27" s="15" t="s">
        <v>487</v>
      </c>
      <c r="H27" s="15" t="s">
        <v>488</v>
      </c>
      <c r="I27" s="15" t="s">
        <v>489</v>
      </c>
      <c r="J27" s="15" t="s">
        <v>490</v>
      </c>
      <c r="K27" s="15" t="s">
        <v>65</v>
      </c>
      <c r="L27" s="15" t="s">
        <v>66</v>
      </c>
      <c r="M27" s="18">
        <v>15083</v>
      </c>
      <c r="N27" s="18">
        <v>708</v>
      </c>
      <c r="O27" s="19">
        <v>0.0454</v>
      </c>
      <c r="P27" s="20" t="s">
        <v>108</v>
      </c>
      <c r="Q27" s="22" t="s">
        <v>491</v>
      </c>
      <c r="R27" s="18">
        <v>2018</v>
      </c>
      <c r="S27" s="19">
        <v>0.4804</v>
      </c>
      <c r="T27" s="18">
        <v>38321.82</v>
      </c>
      <c r="U27" s="23" t="s">
        <v>175</v>
      </c>
      <c r="V27" s="18">
        <v>1899</v>
      </c>
      <c r="W27" s="24">
        <v>108</v>
      </c>
      <c r="X27" s="25">
        <v>18.99</v>
      </c>
      <c r="Z27" s="23" t="s">
        <v>454</v>
      </c>
      <c r="AB27" s="24">
        <v>48</v>
      </c>
      <c r="AC27" s="18">
        <v>17</v>
      </c>
      <c r="AD27" s="28">
        <v>4.6</v>
      </c>
      <c r="AE27" s="29">
        <v>0.0084</v>
      </c>
      <c r="AF27" s="25">
        <v>4.77</v>
      </c>
      <c r="AG27" s="19">
        <v>0.5488</v>
      </c>
      <c r="AI27" s="14" t="s">
        <v>492</v>
      </c>
      <c r="AJ27" s="24">
        <v>117</v>
      </c>
      <c r="AK27" s="14" t="s">
        <v>72</v>
      </c>
      <c r="AL27" s="24">
        <v>8.8</v>
      </c>
      <c r="AM27" s="24">
        <v>1</v>
      </c>
      <c r="AN27" s="15" t="s">
        <v>493</v>
      </c>
      <c r="AO27" s="14" t="s">
        <v>72</v>
      </c>
      <c r="AP27" s="14" t="s">
        <v>73</v>
      </c>
      <c r="AQ27" s="15" t="s">
        <v>494</v>
      </c>
      <c r="AR27" s="14" t="s">
        <v>495</v>
      </c>
      <c r="AS27" s="14" t="s">
        <v>77</v>
      </c>
      <c r="AT27" s="14" t="s">
        <v>77</v>
      </c>
      <c r="AU27" s="14" t="s">
        <v>76</v>
      </c>
      <c r="AV27" s="14" t="s">
        <v>76</v>
      </c>
      <c r="AW27" s="14" t="s">
        <v>77</v>
      </c>
      <c r="AX27" s="14" t="s">
        <v>77</v>
      </c>
      <c r="AY27" s="14" t="s">
        <v>77</v>
      </c>
      <c r="AZ27" s="14" t="s">
        <v>77</v>
      </c>
      <c r="BA27" s="15" t="s">
        <v>77</v>
      </c>
      <c r="BC27" s="23" t="s">
        <v>496</v>
      </c>
      <c r="BD27" s="23" t="s">
        <v>497</v>
      </c>
      <c r="BE27" s="23" t="s">
        <v>498</v>
      </c>
      <c r="BF27" s="14" t="s">
        <v>499</v>
      </c>
    </row>
    <row r="28" ht="24" customHeight="1" spans="1:58">
      <c r="A28" s="14" t="str">
        <f>_xlfn.DISPIMG("ID_7EC2C197C5EC49249E783C8A34E638FC",1)</f>
        <v>=DISPIMG("ID_7EC2C197C5EC49249E783C8A34E638FC",1)</v>
      </c>
      <c r="B28" s="15" t="s">
        <v>500</v>
      </c>
      <c r="C28" s="15" t="s">
        <v>84</v>
      </c>
      <c r="D28" s="15" t="s">
        <v>501</v>
      </c>
      <c r="E28" s="15" t="s">
        <v>86</v>
      </c>
      <c r="F28" s="15" t="s">
        <v>87</v>
      </c>
      <c r="G28" s="15" t="s">
        <v>502</v>
      </c>
      <c r="H28" s="15" t="s">
        <v>503</v>
      </c>
      <c r="I28" s="15" t="s">
        <v>504</v>
      </c>
      <c r="J28" s="15" t="s">
        <v>505</v>
      </c>
      <c r="K28" s="15" t="s">
        <v>65</v>
      </c>
      <c r="L28" s="15" t="s">
        <v>66</v>
      </c>
      <c r="M28" s="18">
        <v>15528</v>
      </c>
      <c r="N28" s="18">
        <v>7161</v>
      </c>
      <c r="O28" s="19">
        <v>0.2997</v>
      </c>
      <c r="P28" s="20" t="s">
        <v>92</v>
      </c>
      <c r="Q28" s="22" t="s">
        <v>506</v>
      </c>
      <c r="R28" s="18">
        <v>1945</v>
      </c>
      <c r="S28" s="19">
        <v>-0.1821</v>
      </c>
      <c r="T28" s="18">
        <v>46680</v>
      </c>
      <c r="U28" s="23" t="s">
        <v>175</v>
      </c>
      <c r="V28" s="18">
        <v>2400</v>
      </c>
      <c r="W28" s="24">
        <v>122</v>
      </c>
      <c r="X28" s="25">
        <v>24</v>
      </c>
      <c r="Z28" s="7"/>
      <c r="AA28" s="18">
        <v>3</v>
      </c>
      <c r="AB28" s="24">
        <v>369</v>
      </c>
      <c r="AC28" s="18">
        <v>21</v>
      </c>
      <c r="AD28" s="28">
        <v>4.3</v>
      </c>
      <c r="AE28" s="29">
        <v>0.0108</v>
      </c>
      <c r="AF28" s="25">
        <v>4.94</v>
      </c>
      <c r="AG28" s="19">
        <v>0.5942</v>
      </c>
      <c r="AI28" s="14" t="s">
        <v>507</v>
      </c>
      <c r="AJ28" s="24">
        <v>487</v>
      </c>
      <c r="AK28" s="14" t="s">
        <v>72</v>
      </c>
      <c r="AL28" s="24">
        <v>8.8</v>
      </c>
      <c r="AM28" s="24">
        <v>1</v>
      </c>
      <c r="AN28" s="15" t="s">
        <v>86</v>
      </c>
      <c r="AO28" s="14" t="s">
        <v>72</v>
      </c>
      <c r="AP28" s="14" t="s">
        <v>73</v>
      </c>
      <c r="AQ28" s="15" t="s">
        <v>96</v>
      </c>
      <c r="AR28" s="14" t="s">
        <v>97</v>
      </c>
      <c r="AS28" s="14" t="s">
        <v>77</v>
      </c>
      <c r="AT28" s="14" t="s">
        <v>76</v>
      </c>
      <c r="AU28" s="14" t="s">
        <v>76</v>
      </c>
      <c r="AV28" s="14" t="s">
        <v>76</v>
      </c>
      <c r="AW28" s="14" t="s">
        <v>77</v>
      </c>
      <c r="AX28" s="14" t="s">
        <v>77</v>
      </c>
      <c r="AY28" s="14" t="s">
        <v>76</v>
      </c>
      <c r="AZ28" s="14" t="s">
        <v>77</v>
      </c>
      <c r="BA28" s="15" t="s">
        <v>77</v>
      </c>
      <c r="BB28" s="23" t="s">
        <v>508</v>
      </c>
      <c r="BC28" s="23" t="s">
        <v>509</v>
      </c>
      <c r="BD28" s="23" t="s">
        <v>510</v>
      </c>
      <c r="BE28" s="23" t="s">
        <v>511</v>
      </c>
      <c r="BF28" s="14" t="s">
        <v>512</v>
      </c>
    </row>
    <row r="29" ht="24" customHeight="1" spans="1:58">
      <c r="A29" s="14" t="str">
        <f>_xlfn.DISPIMG("ID_890333BB11E14300B580126BD2BBD144",1)</f>
        <v>=DISPIMG("ID_890333BB11E14300B580126BD2BBD144",1)</v>
      </c>
      <c r="B29" s="15" t="s">
        <v>513</v>
      </c>
      <c r="C29" s="15" t="s">
        <v>514</v>
      </c>
      <c r="D29" s="15" t="s">
        <v>515</v>
      </c>
      <c r="E29" s="15" t="s">
        <v>516</v>
      </c>
      <c r="F29" s="15" t="s">
        <v>517</v>
      </c>
      <c r="G29" s="15" t="s">
        <v>518</v>
      </c>
      <c r="H29" s="15" t="s">
        <v>519</v>
      </c>
      <c r="I29" s="15" t="s">
        <v>520</v>
      </c>
      <c r="J29" s="15" t="s">
        <v>521</v>
      </c>
      <c r="K29" s="15" t="s">
        <v>65</v>
      </c>
      <c r="L29" s="15" t="s">
        <v>66</v>
      </c>
      <c r="M29" s="18">
        <v>15413</v>
      </c>
      <c r="N29" s="18">
        <v>6089</v>
      </c>
      <c r="O29" s="19">
        <v>0.2389</v>
      </c>
      <c r="P29" s="20" t="s">
        <v>92</v>
      </c>
      <c r="Q29" s="22" t="s">
        <v>522</v>
      </c>
      <c r="R29" s="18">
        <v>2657</v>
      </c>
      <c r="S29" s="19">
        <v>-0.0938</v>
      </c>
      <c r="T29" s="18">
        <v>74103.73</v>
      </c>
      <c r="U29" s="23" t="s">
        <v>156</v>
      </c>
      <c r="V29" s="18">
        <v>5578</v>
      </c>
      <c r="W29" s="24">
        <v>40</v>
      </c>
      <c r="X29" s="25">
        <v>27.89</v>
      </c>
      <c r="Z29" s="7"/>
      <c r="AA29" s="18">
        <v>6</v>
      </c>
      <c r="AB29" s="24">
        <v>2719</v>
      </c>
      <c r="AC29" s="18">
        <v>28</v>
      </c>
      <c r="AD29" s="28">
        <v>4.3</v>
      </c>
      <c r="AE29" s="29">
        <v>0.0105</v>
      </c>
      <c r="AF29" s="25">
        <v>5.39</v>
      </c>
      <c r="AG29" s="19">
        <v>0.6067</v>
      </c>
      <c r="AI29" s="14" t="s">
        <v>523</v>
      </c>
      <c r="AJ29" s="24">
        <v>1034</v>
      </c>
      <c r="AK29" s="14" t="s">
        <v>72</v>
      </c>
      <c r="AL29" s="24">
        <v>8.2</v>
      </c>
      <c r="AM29" s="24">
        <v>1</v>
      </c>
      <c r="AN29" s="15" t="s">
        <v>516</v>
      </c>
      <c r="AO29" s="14" t="s">
        <v>72</v>
      </c>
      <c r="AP29" s="14" t="s">
        <v>73</v>
      </c>
      <c r="AQ29" s="15" t="s">
        <v>524</v>
      </c>
      <c r="AR29" s="14" t="s">
        <v>525</v>
      </c>
      <c r="AS29" s="14" t="s">
        <v>77</v>
      </c>
      <c r="AT29" s="14" t="s">
        <v>76</v>
      </c>
      <c r="AU29" s="14" t="s">
        <v>77</v>
      </c>
      <c r="AV29" s="14" t="s">
        <v>76</v>
      </c>
      <c r="AW29" s="14" t="s">
        <v>76</v>
      </c>
      <c r="AX29" s="14" t="s">
        <v>77</v>
      </c>
      <c r="AY29" s="14" t="s">
        <v>77</v>
      </c>
      <c r="AZ29" s="14" t="s">
        <v>77</v>
      </c>
      <c r="BA29" s="15" t="s">
        <v>77</v>
      </c>
      <c r="BB29" s="23" t="s">
        <v>77</v>
      </c>
      <c r="BC29" s="23" t="s">
        <v>440</v>
      </c>
      <c r="BD29" s="23" t="s">
        <v>441</v>
      </c>
      <c r="BE29" s="23" t="s">
        <v>526</v>
      </c>
      <c r="BF29" s="14" t="s">
        <v>527</v>
      </c>
    </row>
    <row r="30" ht="24" customHeight="1" spans="1:58">
      <c r="A30" s="14" t="str">
        <f>_xlfn.DISPIMG("ID_EC59C0302E23487F89431152EA5BEFB5",1)</f>
        <v>=DISPIMG("ID_EC59C0302E23487F89431152EA5BEFB5",1)</v>
      </c>
      <c r="B30" s="15" t="s">
        <v>528</v>
      </c>
      <c r="C30" s="15" t="s">
        <v>84</v>
      </c>
      <c r="D30" s="15" t="s">
        <v>341</v>
      </c>
      <c r="E30" s="15" t="s">
        <v>342</v>
      </c>
      <c r="F30" s="15" t="s">
        <v>343</v>
      </c>
      <c r="G30" s="15" t="s">
        <v>529</v>
      </c>
      <c r="H30" s="15" t="s">
        <v>530</v>
      </c>
      <c r="I30" s="15" t="s">
        <v>531</v>
      </c>
      <c r="J30" s="15" t="s">
        <v>532</v>
      </c>
      <c r="K30" s="15" t="s">
        <v>65</v>
      </c>
      <c r="L30" s="15" t="s">
        <v>66</v>
      </c>
      <c r="M30" s="18">
        <v>13207</v>
      </c>
      <c r="N30" s="18">
        <v>32766</v>
      </c>
      <c r="O30" s="19">
        <v>0.6711</v>
      </c>
      <c r="P30" s="20" t="s">
        <v>92</v>
      </c>
      <c r="Q30" s="22" t="s">
        <v>533</v>
      </c>
      <c r="R30" s="18">
        <v>1156</v>
      </c>
      <c r="S30" s="19">
        <v>-0.2751</v>
      </c>
      <c r="T30" s="18">
        <v>17328.44</v>
      </c>
      <c r="U30" s="23" t="s">
        <v>404</v>
      </c>
      <c r="V30" s="18">
        <v>749.5</v>
      </c>
      <c r="W30" s="24">
        <v>79</v>
      </c>
      <c r="X30" s="25">
        <v>14.99</v>
      </c>
      <c r="Z30" s="7"/>
      <c r="AA30" s="18">
        <v>20</v>
      </c>
      <c r="AB30" s="24">
        <v>6448</v>
      </c>
      <c r="AC30" s="18">
        <v>8</v>
      </c>
      <c r="AD30" s="28">
        <v>4.4</v>
      </c>
      <c r="AE30" s="29">
        <v>0.0069</v>
      </c>
      <c r="AF30" s="25">
        <v>3.44</v>
      </c>
      <c r="AG30" s="19">
        <v>0.5705</v>
      </c>
      <c r="AI30" s="14" t="s">
        <v>534</v>
      </c>
      <c r="AJ30" s="24">
        <v>1914</v>
      </c>
      <c r="AK30" s="14" t="s">
        <v>72</v>
      </c>
      <c r="AL30" s="24">
        <v>9.8</v>
      </c>
      <c r="AM30" s="24">
        <v>1</v>
      </c>
      <c r="AN30" s="15" t="s">
        <v>342</v>
      </c>
      <c r="AO30" s="14" t="s">
        <v>72</v>
      </c>
      <c r="AP30" s="14" t="s">
        <v>73</v>
      </c>
      <c r="AQ30" s="15" t="s">
        <v>351</v>
      </c>
      <c r="AR30" s="14" t="s">
        <v>352</v>
      </c>
      <c r="AS30" s="14" t="s">
        <v>77</v>
      </c>
      <c r="AT30" s="14" t="s">
        <v>76</v>
      </c>
      <c r="AU30" s="14" t="s">
        <v>77</v>
      </c>
      <c r="AV30" s="14" t="s">
        <v>76</v>
      </c>
      <c r="AW30" s="14" t="s">
        <v>76</v>
      </c>
      <c r="AX30" s="14" t="s">
        <v>77</v>
      </c>
      <c r="AY30" s="14" t="s">
        <v>76</v>
      </c>
      <c r="AZ30" s="14" t="s">
        <v>77</v>
      </c>
      <c r="BA30" s="15" t="s">
        <v>76</v>
      </c>
      <c r="BB30" s="23" t="s">
        <v>77</v>
      </c>
      <c r="BC30" s="23" t="s">
        <v>318</v>
      </c>
      <c r="BD30" s="23" t="s">
        <v>319</v>
      </c>
      <c r="BE30" s="23" t="s">
        <v>535</v>
      </c>
      <c r="BF30" s="14" t="s">
        <v>536</v>
      </c>
    </row>
    <row r="31" ht="24" customHeight="1" spans="1:58">
      <c r="A31" s="14" t="str">
        <f>_xlfn.DISPIMG("ID_0BA92FECD34342E5A03EAD0AC9BEAE54",1)</f>
        <v>=DISPIMG("ID_0BA92FECD34342E5A03EAD0AC9BEAE54",1)</v>
      </c>
      <c r="B31" s="15" t="s">
        <v>537</v>
      </c>
      <c r="C31" s="15" t="s">
        <v>84</v>
      </c>
      <c r="D31" s="15" t="s">
        <v>202</v>
      </c>
      <c r="E31" s="15" t="s">
        <v>86</v>
      </c>
      <c r="F31" s="15" t="s">
        <v>87</v>
      </c>
      <c r="G31" s="15" t="s">
        <v>538</v>
      </c>
      <c r="H31" s="15" t="s">
        <v>539</v>
      </c>
      <c r="I31" s="15" t="s">
        <v>540</v>
      </c>
      <c r="J31" s="15" t="s">
        <v>541</v>
      </c>
      <c r="K31" s="15" t="s">
        <v>65</v>
      </c>
      <c r="L31" s="15" t="s">
        <v>66</v>
      </c>
      <c r="M31" s="18">
        <v>18335</v>
      </c>
      <c r="N31" s="18">
        <v>6644</v>
      </c>
      <c r="O31" s="19">
        <v>0.266</v>
      </c>
      <c r="P31" s="20" t="s">
        <v>92</v>
      </c>
      <c r="Q31" s="22" t="s">
        <v>542</v>
      </c>
      <c r="R31" s="18">
        <v>1647</v>
      </c>
      <c r="S31" s="19">
        <v>-0.27</v>
      </c>
      <c r="T31" s="18">
        <v>52704</v>
      </c>
      <c r="U31" s="23" t="s">
        <v>175</v>
      </c>
      <c r="V31" s="18">
        <v>3200</v>
      </c>
      <c r="W31" s="24">
        <v>103</v>
      </c>
      <c r="X31" s="25">
        <v>32</v>
      </c>
      <c r="Z31" s="7"/>
      <c r="AA31" s="18">
        <v>7</v>
      </c>
      <c r="AB31" s="24">
        <v>469</v>
      </c>
      <c r="AC31" s="18">
        <v>14</v>
      </c>
      <c r="AD31" s="28">
        <v>4.6</v>
      </c>
      <c r="AE31" s="29">
        <v>0.0085</v>
      </c>
      <c r="AF31" s="25">
        <v>7.04</v>
      </c>
      <c r="AG31" s="19">
        <v>0.58</v>
      </c>
      <c r="AI31" s="14" t="s">
        <v>543</v>
      </c>
      <c r="AJ31" s="24">
        <v>562</v>
      </c>
      <c r="AK31" s="14" t="s">
        <v>72</v>
      </c>
      <c r="AL31" s="24">
        <v>9.8</v>
      </c>
      <c r="AM31" s="24">
        <v>1</v>
      </c>
      <c r="AN31" s="15" t="s">
        <v>86</v>
      </c>
      <c r="AO31" s="14" t="s">
        <v>72</v>
      </c>
      <c r="AP31" s="14" t="s">
        <v>73</v>
      </c>
      <c r="AQ31" s="15" t="s">
        <v>96</v>
      </c>
      <c r="AR31" s="14" t="s">
        <v>97</v>
      </c>
      <c r="AS31" s="14" t="s">
        <v>77</v>
      </c>
      <c r="AT31" s="14" t="s">
        <v>77</v>
      </c>
      <c r="AU31" s="14" t="s">
        <v>76</v>
      </c>
      <c r="AV31" s="14" t="s">
        <v>76</v>
      </c>
      <c r="AW31" s="14" t="s">
        <v>77</v>
      </c>
      <c r="AX31" s="14" t="s">
        <v>77</v>
      </c>
      <c r="AY31" s="14" t="s">
        <v>76</v>
      </c>
      <c r="AZ31" s="14" t="s">
        <v>77</v>
      </c>
      <c r="BA31" s="15" t="s">
        <v>77</v>
      </c>
      <c r="BC31" s="23" t="s">
        <v>544</v>
      </c>
      <c r="BD31" s="23" t="s">
        <v>545</v>
      </c>
      <c r="BE31" s="23" t="s">
        <v>546</v>
      </c>
      <c r="BF31" s="14" t="s">
        <v>547</v>
      </c>
    </row>
    <row r="32" ht="24" customHeight="1" spans="1:58">
      <c r="A32" s="14" t="str">
        <f>_xlfn.DISPIMG("ID_7CF25B02F4094E08B8739D46A1C7FD3C",1)</f>
        <v>=DISPIMG("ID_7CF25B02F4094E08B8739D46A1C7FD3C",1)</v>
      </c>
      <c r="B32" s="15" t="s">
        <v>548</v>
      </c>
      <c r="C32" s="15" t="s">
        <v>549</v>
      </c>
      <c r="D32" s="15" t="s">
        <v>550</v>
      </c>
      <c r="E32" s="15" t="s">
        <v>551</v>
      </c>
      <c r="F32" s="15" t="s">
        <v>552</v>
      </c>
      <c r="G32" s="15" t="s">
        <v>553</v>
      </c>
      <c r="H32" s="15" t="s">
        <v>554</v>
      </c>
      <c r="I32" s="15" t="s">
        <v>555</v>
      </c>
      <c r="J32" s="15" t="s">
        <v>556</v>
      </c>
      <c r="K32" s="15" t="s">
        <v>65</v>
      </c>
      <c r="L32" s="15" t="s">
        <v>66</v>
      </c>
      <c r="M32" s="18">
        <v>24213</v>
      </c>
      <c r="N32" s="18">
        <v>446</v>
      </c>
      <c r="O32" s="19">
        <v>0.0199</v>
      </c>
      <c r="P32" s="20" t="s">
        <v>67</v>
      </c>
      <c r="Q32" s="22" t="s">
        <v>557</v>
      </c>
      <c r="R32" s="18">
        <v>1918</v>
      </c>
      <c r="S32" s="19">
        <v>-0.121</v>
      </c>
      <c r="T32" s="18">
        <v>28750.82</v>
      </c>
      <c r="U32" s="23" t="s">
        <v>175</v>
      </c>
      <c r="V32" s="18">
        <v>1499</v>
      </c>
      <c r="W32" s="24">
        <v>87</v>
      </c>
      <c r="X32" s="25">
        <v>14.99</v>
      </c>
      <c r="Z32" s="7"/>
      <c r="AB32" s="24">
        <v>379</v>
      </c>
      <c r="AC32" s="18">
        <v>22</v>
      </c>
      <c r="AD32" s="28">
        <v>4.5</v>
      </c>
      <c r="AE32" s="29">
        <v>0.0115</v>
      </c>
      <c r="AF32" s="25">
        <v>3.6</v>
      </c>
      <c r="AG32" s="19">
        <v>0.5598</v>
      </c>
      <c r="AI32" s="14" t="s">
        <v>558</v>
      </c>
      <c r="AJ32" s="24">
        <v>358</v>
      </c>
      <c r="AK32" s="14" t="s">
        <v>72</v>
      </c>
      <c r="AL32" s="24">
        <v>8.8</v>
      </c>
      <c r="AM32" s="24">
        <v>2</v>
      </c>
      <c r="AN32" s="15" t="s">
        <v>559</v>
      </c>
      <c r="AO32" s="14" t="s">
        <v>72</v>
      </c>
      <c r="AP32" s="14" t="s">
        <v>73</v>
      </c>
      <c r="AQ32" s="15" t="s">
        <v>560</v>
      </c>
      <c r="AR32" s="14" t="s">
        <v>561</v>
      </c>
      <c r="AS32" s="14" t="s">
        <v>77</v>
      </c>
      <c r="AT32" s="14" t="s">
        <v>76</v>
      </c>
      <c r="AU32" s="14" t="s">
        <v>77</v>
      </c>
      <c r="AV32" s="14" t="s">
        <v>76</v>
      </c>
      <c r="AW32" s="14" t="s">
        <v>76</v>
      </c>
      <c r="AX32" s="14" t="s">
        <v>77</v>
      </c>
      <c r="AY32" s="14" t="s">
        <v>76</v>
      </c>
      <c r="AZ32" s="14" t="s">
        <v>77</v>
      </c>
      <c r="BA32" s="15" t="s">
        <v>77</v>
      </c>
      <c r="BB32" s="23" t="s">
        <v>77</v>
      </c>
      <c r="BC32" s="23" t="s">
        <v>562</v>
      </c>
      <c r="BD32" s="23" t="s">
        <v>563</v>
      </c>
      <c r="BE32" s="23" t="s">
        <v>564</v>
      </c>
      <c r="BF32" s="14" t="s">
        <v>565</v>
      </c>
    </row>
    <row r="33" ht="24" customHeight="1" spans="1:58">
      <c r="A33" s="14" t="str">
        <f>_xlfn.DISPIMG("ID_1AD8EDE60DCF468F962371AF2CDBE4B4",1)</f>
        <v>=DISPIMG("ID_1AD8EDE60DCF468F962371AF2CDBE4B4",1)</v>
      </c>
      <c r="B33" s="15" t="s">
        <v>566</v>
      </c>
      <c r="C33" s="15" t="s">
        <v>84</v>
      </c>
      <c r="D33" s="15" t="s">
        <v>567</v>
      </c>
      <c r="E33" s="15" t="s">
        <v>86</v>
      </c>
      <c r="F33" s="15" t="s">
        <v>87</v>
      </c>
      <c r="G33" s="15" t="s">
        <v>568</v>
      </c>
      <c r="H33" s="15" t="s">
        <v>569</v>
      </c>
      <c r="I33" s="15" t="s">
        <v>570</v>
      </c>
      <c r="J33" s="15" t="s">
        <v>571</v>
      </c>
      <c r="K33" s="15" t="s">
        <v>65</v>
      </c>
      <c r="L33" s="15" t="s">
        <v>66</v>
      </c>
      <c r="M33" s="18">
        <v>14248</v>
      </c>
      <c r="N33" s="18">
        <v>7886</v>
      </c>
      <c r="O33" s="19">
        <v>0.3292</v>
      </c>
      <c r="P33" s="20" t="s">
        <v>92</v>
      </c>
      <c r="Q33" s="22" t="s">
        <v>572</v>
      </c>
      <c r="R33" s="18">
        <v>2041</v>
      </c>
      <c r="S33" s="19">
        <v>-0.3435</v>
      </c>
      <c r="T33" s="18">
        <v>57148</v>
      </c>
      <c r="U33" s="23" t="s">
        <v>175</v>
      </c>
      <c r="V33" s="18">
        <v>2800</v>
      </c>
      <c r="W33" s="24">
        <v>165</v>
      </c>
      <c r="X33" s="25">
        <v>28</v>
      </c>
      <c r="Z33" s="7"/>
      <c r="AA33" s="18">
        <v>41</v>
      </c>
      <c r="AB33" s="24">
        <v>6883</v>
      </c>
      <c r="AC33" s="18">
        <v>18</v>
      </c>
      <c r="AD33" s="28">
        <v>4.5</v>
      </c>
      <c r="AE33" s="29">
        <v>0.0088</v>
      </c>
      <c r="AF33" s="25">
        <v>5.9</v>
      </c>
      <c r="AG33" s="19">
        <v>0.5893</v>
      </c>
      <c r="AI33" s="14" t="s">
        <v>573</v>
      </c>
      <c r="AJ33" s="24">
        <v>134</v>
      </c>
      <c r="AK33" s="14" t="s">
        <v>72</v>
      </c>
      <c r="AL33" s="24">
        <v>9.8</v>
      </c>
      <c r="AM33" s="24">
        <v>1</v>
      </c>
      <c r="AN33" s="15" t="s">
        <v>86</v>
      </c>
      <c r="AO33" s="14" t="s">
        <v>72</v>
      </c>
      <c r="AP33" s="14" t="s">
        <v>73</v>
      </c>
      <c r="AQ33" s="15" t="s">
        <v>96</v>
      </c>
      <c r="AR33" s="14" t="s">
        <v>97</v>
      </c>
      <c r="AS33" s="14" t="s">
        <v>77</v>
      </c>
      <c r="AT33" s="14" t="s">
        <v>76</v>
      </c>
      <c r="AU33" s="14" t="s">
        <v>77</v>
      </c>
      <c r="AV33" s="14" t="s">
        <v>76</v>
      </c>
      <c r="AW33" s="14" t="s">
        <v>77</v>
      </c>
      <c r="AX33" s="14" t="s">
        <v>77</v>
      </c>
      <c r="AY33" s="14" t="s">
        <v>76</v>
      </c>
      <c r="AZ33" s="14" t="s">
        <v>77</v>
      </c>
      <c r="BA33" s="15" t="s">
        <v>77</v>
      </c>
      <c r="BB33" s="23" t="s">
        <v>77</v>
      </c>
      <c r="BC33" s="23" t="s">
        <v>574</v>
      </c>
      <c r="BD33" s="23" t="s">
        <v>575</v>
      </c>
      <c r="BE33" s="23" t="s">
        <v>576</v>
      </c>
      <c r="BF33" s="14" t="s">
        <v>577</v>
      </c>
    </row>
    <row r="34" ht="24" customHeight="1" spans="1:58">
      <c r="A34" s="14" t="str">
        <f>_xlfn.DISPIMG("ID_428E73B498A74A98909CF2268383167C",1)</f>
        <v>=DISPIMG("ID_428E73B498A74A98909CF2268383167C",1)</v>
      </c>
      <c r="B34" s="15" t="s">
        <v>578</v>
      </c>
      <c r="C34" s="15" t="s">
        <v>579</v>
      </c>
      <c r="D34" s="15" t="s">
        <v>580</v>
      </c>
      <c r="E34" s="15" t="s">
        <v>581</v>
      </c>
      <c r="F34" s="15" t="s">
        <v>582</v>
      </c>
      <c r="G34" s="15" t="s">
        <v>583</v>
      </c>
      <c r="H34" s="15" t="s">
        <v>584</v>
      </c>
      <c r="I34" s="15" t="s">
        <v>585</v>
      </c>
      <c r="J34" s="15" t="s">
        <v>586</v>
      </c>
      <c r="K34" s="15" t="s">
        <v>65</v>
      </c>
      <c r="L34" s="15" t="s">
        <v>66</v>
      </c>
      <c r="M34" s="18">
        <v>16013</v>
      </c>
      <c r="N34" s="18">
        <v>5554</v>
      </c>
      <c r="O34" s="19">
        <v>0.2575</v>
      </c>
      <c r="P34" s="20" t="s">
        <v>92</v>
      </c>
      <c r="Q34" s="22" t="s">
        <v>587</v>
      </c>
      <c r="R34" s="18">
        <v>3402</v>
      </c>
      <c r="S34" s="19">
        <v>-0.0517</v>
      </c>
      <c r="T34" s="18">
        <v>68005.98</v>
      </c>
      <c r="U34" s="23" t="s">
        <v>175</v>
      </c>
      <c r="V34" s="18">
        <v>1999</v>
      </c>
      <c r="W34" s="24">
        <v>76</v>
      </c>
      <c r="X34" s="25">
        <v>19.99</v>
      </c>
      <c r="Y34" s="25">
        <v>14.99</v>
      </c>
      <c r="Z34" s="7"/>
      <c r="AA34" s="18">
        <v>9</v>
      </c>
      <c r="AB34" s="24">
        <v>2368</v>
      </c>
      <c r="AC34" s="18">
        <v>39</v>
      </c>
      <c r="AD34" s="28">
        <v>4.5</v>
      </c>
      <c r="AE34" s="29">
        <v>0.0115</v>
      </c>
      <c r="AF34" s="25">
        <v>5.39</v>
      </c>
      <c r="AG34" s="19">
        <v>0.5304</v>
      </c>
      <c r="AI34" s="14" t="s">
        <v>588</v>
      </c>
      <c r="AJ34" s="24">
        <v>926</v>
      </c>
      <c r="AK34" s="14" t="s">
        <v>72</v>
      </c>
      <c r="AL34" s="24">
        <v>9</v>
      </c>
      <c r="AM34" s="24">
        <v>1</v>
      </c>
      <c r="AN34" s="15" t="s">
        <v>589</v>
      </c>
      <c r="AO34" s="14" t="s">
        <v>72</v>
      </c>
      <c r="AP34" s="14" t="s">
        <v>73</v>
      </c>
      <c r="AQ34" s="15" t="s">
        <v>590</v>
      </c>
      <c r="AR34" s="14" t="s">
        <v>591</v>
      </c>
      <c r="AS34" s="14" t="s">
        <v>76</v>
      </c>
      <c r="AT34" s="14" t="s">
        <v>76</v>
      </c>
      <c r="AU34" s="14" t="s">
        <v>77</v>
      </c>
      <c r="AV34" s="14" t="s">
        <v>76</v>
      </c>
      <c r="AW34" s="14" t="s">
        <v>76</v>
      </c>
      <c r="AX34" s="14" t="s">
        <v>77</v>
      </c>
      <c r="AY34" s="14" t="s">
        <v>76</v>
      </c>
      <c r="AZ34" s="14" t="s">
        <v>77</v>
      </c>
      <c r="BA34" s="15" t="s">
        <v>77</v>
      </c>
      <c r="BB34" s="23" t="s">
        <v>592</v>
      </c>
      <c r="BC34" s="23" t="s">
        <v>593</v>
      </c>
      <c r="BD34" s="23" t="s">
        <v>461</v>
      </c>
      <c r="BE34" s="23" t="s">
        <v>594</v>
      </c>
      <c r="BF34" s="14" t="s">
        <v>595</v>
      </c>
    </row>
    <row r="35" ht="24" customHeight="1" spans="1:58">
      <c r="A35" s="14" t="str">
        <f>_xlfn.DISPIMG("ID_4C11B6393EE7432CB3FC0441DD112ABB",1)</f>
        <v>=DISPIMG("ID_4C11B6393EE7432CB3FC0441DD112ABB",1)</v>
      </c>
      <c r="B35" s="15" t="s">
        <v>596</v>
      </c>
      <c r="C35" s="15" t="s">
        <v>597</v>
      </c>
      <c r="D35" s="15" t="s">
        <v>598</v>
      </c>
      <c r="E35" s="15" t="s">
        <v>599</v>
      </c>
      <c r="F35" s="15" t="s">
        <v>600</v>
      </c>
      <c r="G35" s="15" t="s">
        <v>601</v>
      </c>
      <c r="H35" s="15" t="s">
        <v>602</v>
      </c>
      <c r="I35" s="15" t="s">
        <v>603</v>
      </c>
      <c r="J35" s="15" t="s">
        <v>604</v>
      </c>
      <c r="K35" s="15" t="s">
        <v>605</v>
      </c>
      <c r="L35" s="15" t="s">
        <v>66</v>
      </c>
      <c r="M35" s="18">
        <v>18008</v>
      </c>
      <c r="N35" s="18">
        <v>6245</v>
      </c>
      <c r="O35" s="19">
        <v>0.3195</v>
      </c>
      <c r="P35" s="20" t="s">
        <v>606</v>
      </c>
      <c r="Q35" s="22" t="s">
        <v>607</v>
      </c>
      <c r="R35" s="18">
        <v>3141</v>
      </c>
      <c r="S35" s="19">
        <v>-0.2306</v>
      </c>
      <c r="T35" s="18">
        <v>71897.484</v>
      </c>
      <c r="U35" s="23" t="s">
        <v>175</v>
      </c>
      <c r="V35" s="18">
        <v>2289</v>
      </c>
      <c r="W35" s="24">
        <v>94</v>
      </c>
      <c r="X35" s="25">
        <v>22.89</v>
      </c>
      <c r="Z35" s="7"/>
      <c r="AA35" s="18">
        <v>36</v>
      </c>
      <c r="AB35" s="24">
        <v>3704</v>
      </c>
      <c r="AC35" s="18">
        <v>22</v>
      </c>
      <c r="AD35" s="28">
        <v>4.5</v>
      </c>
      <c r="AE35" s="29">
        <v>0.007</v>
      </c>
      <c r="AF35" s="25">
        <v>4.77</v>
      </c>
      <c r="AG35" s="19">
        <v>0.5916</v>
      </c>
      <c r="AI35" s="14" t="s">
        <v>608</v>
      </c>
      <c r="AJ35" s="24">
        <v>1658</v>
      </c>
      <c r="AK35" s="14" t="s">
        <v>72</v>
      </c>
      <c r="AL35" s="24">
        <v>8.1</v>
      </c>
      <c r="AM35" s="24">
        <v>1</v>
      </c>
      <c r="AN35" s="15" t="s">
        <v>599</v>
      </c>
      <c r="AO35" s="14" t="s">
        <v>72</v>
      </c>
      <c r="AP35" s="14" t="s">
        <v>73</v>
      </c>
      <c r="AQ35" s="15" t="s">
        <v>609</v>
      </c>
      <c r="AR35" s="14" t="s">
        <v>610</v>
      </c>
      <c r="AS35" s="14" t="s">
        <v>77</v>
      </c>
      <c r="AT35" s="14" t="s">
        <v>76</v>
      </c>
      <c r="AU35" s="14" t="s">
        <v>77</v>
      </c>
      <c r="AV35" s="14" t="s">
        <v>76</v>
      </c>
      <c r="AW35" s="14" t="s">
        <v>76</v>
      </c>
      <c r="AX35" s="14" t="s">
        <v>77</v>
      </c>
      <c r="AY35" s="14" t="s">
        <v>76</v>
      </c>
      <c r="AZ35" s="14" t="s">
        <v>77</v>
      </c>
      <c r="BA35" s="15" t="s">
        <v>77</v>
      </c>
      <c r="BB35" s="23" t="s">
        <v>77</v>
      </c>
      <c r="BC35" s="23" t="s">
        <v>611</v>
      </c>
      <c r="BD35" s="23" t="s">
        <v>125</v>
      </c>
      <c r="BE35" s="23" t="s">
        <v>612</v>
      </c>
      <c r="BF35" s="14" t="s">
        <v>613</v>
      </c>
    </row>
    <row r="36" ht="24" customHeight="1" spans="1:58">
      <c r="A36" s="14" t="str">
        <f>_xlfn.DISPIMG("ID_404631B2983E4CBDB3BEBBCCA509BD72",1)</f>
        <v>=DISPIMG("ID_404631B2983E4CBDB3BEBBCCA509BD72",1)</v>
      </c>
      <c r="B36" s="15" t="s">
        <v>614</v>
      </c>
      <c r="C36" s="15" t="s">
        <v>185</v>
      </c>
      <c r="D36" s="15" t="s">
        <v>615</v>
      </c>
      <c r="E36" s="15" t="s">
        <v>86</v>
      </c>
      <c r="F36" s="15" t="s">
        <v>87</v>
      </c>
      <c r="G36" s="15" t="s">
        <v>616</v>
      </c>
      <c r="H36" s="15" t="s">
        <v>617</v>
      </c>
      <c r="I36" s="15" t="s">
        <v>618</v>
      </c>
      <c r="J36" s="15" t="s">
        <v>619</v>
      </c>
      <c r="K36" s="15" t="s">
        <v>65</v>
      </c>
      <c r="L36" s="15" t="s">
        <v>66</v>
      </c>
      <c r="M36" s="18">
        <v>16521</v>
      </c>
      <c r="N36" s="18">
        <v>4641</v>
      </c>
      <c r="O36" s="19">
        <v>0.1944</v>
      </c>
      <c r="P36" s="20" t="s">
        <v>92</v>
      </c>
      <c r="Q36" s="22" t="s">
        <v>620</v>
      </c>
      <c r="R36" s="18">
        <v>1850</v>
      </c>
      <c r="S36" s="19">
        <v>-0.2591</v>
      </c>
      <c r="T36" s="18">
        <v>59200</v>
      </c>
      <c r="U36" s="23" t="s">
        <v>175</v>
      </c>
      <c r="V36" s="18">
        <v>3200</v>
      </c>
      <c r="W36" s="24">
        <v>79</v>
      </c>
      <c r="X36" s="25">
        <v>32</v>
      </c>
      <c r="Z36" s="7"/>
      <c r="AA36" s="18">
        <v>1</v>
      </c>
      <c r="AB36" s="24">
        <v>390</v>
      </c>
      <c r="AC36" s="18">
        <v>20</v>
      </c>
      <c r="AD36" s="28">
        <v>4.6</v>
      </c>
      <c r="AE36" s="29">
        <v>0.0108</v>
      </c>
      <c r="AF36" s="25">
        <v>7.75</v>
      </c>
      <c r="AG36" s="19">
        <v>0.5578</v>
      </c>
      <c r="AI36" s="14" t="s">
        <v>621</v>
      </c>
      <c r="AJ36" s="24">
        <v>434</v>
      </c>
      <c r="AK36" s="14" t="s">
        <v>72</v>
      </c>
      <c r="AL36" s="24">
        <v>8.8</v>
      </c>
      <c r="AM36" s="24">
        <v>1</v>
      </c>
      <c r="AN36" s="15" t="s">
        <v>86</v>
      </c>
      <c r="AO36" s="14" t="s">
        <v>72</v>
      </c>
      <c r="AP36" s="14" t="s">
        <v>73</v>
      </c>
      <c r="AQ36" s="15" t="s">
        <v>96</v>
      </c>
      <c r="AR36" s="14" t="s">
        <v>97</v>
      </c>
      <c r="AS36" s="14" t="s">
        <v>77</v>
      </c>
      <c r="AT36" s="14" t="s">
        <v>76</v>
      </c>
      <c r="AU36" s="14" t="s">
        <v>77</v>
      </c>
      <c r="AV36" s="14" t="s">
        <v>76</v>
      </c>
      <c r="AW36" s="14" t="s">
        <v>77</v>
      </c>
      <c r="AX36" s="14" t="s">
        <v>77</v>
      </c>
      <c r="AY36" s="14" t="s">
        <v>76</v>
      </c>
      <c r="AZ36" s="14" t="s">
        <v>77</v>
      </c>
      <c r="BA36" s="15" t="s">
        <v>77</v>
      </c>
      <c r="BB36" s="23" t="s">
        <v>77</v>
      </c>
      <c r="BC36" s="23" t="s">
        <v>562</v>
      </c>
      <c r="BD36" s="23" t="s">
        <v>563</v>
      </c>
      <c r="BE36" s="23" t="s">
        <v>622</v>
      </c>
      <c r="BF36" s="14" t="s">
        <v>623</v>
      </c>
    </row>
    <row r="37" ht="24" customHeight="1" spans="1:58">
      <c r="A37" s="14" t="str">
        <f>_xlfn.DISPIMG("ID_3AD28558B23140E49166314D3688F998",1)</f>
        <v>=DISPIMG("ID_3AD28558B23140E49166314D3688F998",1)</v>
      </c>
      <c r="B37" s="15" t="s">
        <v>624</v>
      </c>
      <c r="C37" s="15" t="s">
        <v>625</v>
      </c>
      <c r="D37" s="15" t="s">
        <v>626</v>
      </c>
      <c r="E37" s="15" t="s">
        <v>627</v>
      </c>
      <c r="F37" s="15" t="s">
        <v>628</v>
      </c>
      <c r="G37" s="15" t="s">
        <v>629</v>
      </c>
      <c r="H37" s="15" t="s">
        <v>630</v>
      </c>
      <c r="I37" s="15" t="s">
        <v>631</v>
      </c>
      <c r="J37" s="15" t="s">
        <v>632</v>
      </c>
      <c r="K37" s="15" t="s">
        <v>65</v>
      </c>
      <c r="L37" s="15" t="s">
        <v>633</v>
      </c>
      <c r="M37" s="18">
        <v>1734</v>
      </c>
      <c r="O37" s="19">
        <v>0</v>
      </c>
      <c r="P37" s="20" t="s">
        <v>92</v>
      </c>
      <c r="Q37" s="22" t="s">
        <v>634</v>
      </c>
      <c r="R37" s="18" t="s">
        <v>77</v>
      </c>
      <c r="S37" s="19" t="s">
        <v>77</v>
      </c>
      <c r="T37" s="18" t="s">
        <v>77</v>
      </c>
      <c r="U37" s="23" t="s">
        <v>77</v>
      </c>
      <c r="V37" s="18" t="s">
        <v>77</v>
      </c>
      <c r="W37" s="24">
        <v>94</v>
      </c>
      <c r="X37" s="25">
        <v>9.4</v>
      </c>
      <c r="Z37" s="7"/>
      <c r="AA37" s="18">
        <v>20</v>
      </c>
      <c r="AB37" s="24">
        <v>3126</v>
      </c>
      <c r="AD37" s="28">
        <v>4.3</v>
      </c>
      <c r="AE37" s="29">
        <v>0</v>
      </c>
      <c r="AG37" s="19">
        <v>0</v>
      </c>
      <c r="AI37" s="14" t="s">
        <v>635</v>
      </c>
      <c r="AJ37" s="24">
        <v>484</v>
      </c>
      <c r="AK37" s="14" t="s">
        <v>636</v>
      </c>
      <c r="AL37" s="24" t="s">
        <v>77</v>
      </c>
      <c r="AM37" s="24">
        <v>1</v>
      </c>
      <c r="AN37" s="15" t="s">
        <v>637</v>
      </c>
      <c r="AO37" s="14" t="s">
        <v>636</v>
      </c>
      <c r="AP37" s="14" t="s">
        <v>77</v>
      </c>
      <c r="AQ37" s="15" t="s">
        <v>77</v>
      </c>
      <c r="AR37" s="14" t="s">
        <v>77</v>
      </c>
      <c r="AS37" s="14" t="s">
        <v>77</v>
      </c>
      <c r="AT37" s="14" t="s">
        <v>76</v>
      </c>
      <c r="AU37" s="14" t="s">
        <v>77</v>
      </c>
      <c r="AV37" s="14" t="s">
        <v>77</v>
      </c>
      <c r="AW37" s="14" t="s">
        <v>77</v>
      </c>
      <c r="AX37" s="14" t="s">
        <v>77</v>
      </c>
      <c r="AY37" s="14" t="s">
        <v>76</v>
      </c>
      <c r="AZ37" s="14" t="s">
        <v>77</v>
      </c>
      <c r="BA37" s="15" t="s">
        <v>76</v>
      </c>
      <c r="BB37" s="23" t="s">
        <v>77</v>
      </c>
      <c r="BC37" s="23" t="s">
        <v>638</v>
      </c>
      <c r="BD37" s="23" t="s">
        <v>639</v>
      </c>
      <c r="BE37" s="23" t="s">
        <v>640</v>
      </c>
      <c r="BF37" s="14" t="s">
        <v>641</v>
      </c>
    </row>
    <row r="38" ht="24" customHeight="1" spans="1:58">
      <c r="A38" s="14" t="str">
        <f>_xlfn.DISPIMG("ID_7F6BCFB7B2FC4825B1CB52CB176095D3",1)</f>
        <v>=DISPIMG("ID_7F6BCFB7B2FC4825B1CB52CB176095D3",1)</v>
      </c>
      <c r="B38" s="15" t="s">
        <v>642</v>
      </c>
      <c r="C38" s="15" t="s">
        <v>643</v>
      </c>
      <c r="D38" s="15" t="s">
        <v>644</v>
      </c>
      <c r="E38" s="15" t="s">
        <v>645</v>
      </c>
      <c r="F38" s="15" t="s">
        <v>646</v>
      </c>
      <c r="G38" s="15" t="s">
        <v>647</v>
      </c>
      <c r="H38" s="15" t="s">
        <v>648</v>
      </c>
      <c r="I38" s="15" t="s">
        <v>649</v>
      </c>
      <c r="J38" s="15" t="s">
        <v>650</v>
      </c>
      <c r="K38" s="15" t="s">
        <v>65</v>
      </c>
      <c r="L38" s="15" t="s">
        <v>66</v>
      </c>
      <c r="M38" s="18">
        <v>17661</v>
      </c>
      <c r="N38" s="18">
        <v>1396</v>
      </c>
      <c r="O38" s="19">
        <v>0.0749</v>
      </c>
      <c r="P38" s="20" t="s">
        <v>67</v>
      </c>
      <c r="Q38" s="22" t="s">
        <v>651</v>
      </c>
      <c r="R38" s="18">
        <v>2285</v>
      </c>
      <c r="S38" s="19">
        <v>-0.0966</v>
      </c>
      <c r="T38" s="18">
        <v>56805.1</v>
      </c>
      <c r="U38" s="23" t="s">
        <v>404</v>
      </c>
      <c r="V38" s="18">
        <v>1243</v>
      </c>
      <c r="W38" s="24">
        <v>60</v>
      </c>
      <c r="X38" s="25">
        <v>24.86</v>
      </c>
      <c r="Z38" s="7"/>
      <c r="AA38" s="18">
        <v>15</v>
      </c>
      <c r="AB38" s="24">
        <v>7672</v>
      </c>
      <c r="AC38" s="18">
        <v>26</v>
      </c>
      <c r="AD38" s="28">
        <v>4.4</v>
      </c>
      <c r="AE38" s="29">
        <v>0.0114</v>
      </c>
      <c r="AF38" s="25">
        <v>4.94</v>
      </c>
      <c r="AG38" s="19">
        <v>0.6013</v>
      </c>
      <c r="AI38" s="14" t="s">
        <v>652</v>
      </c>
      <c r="AJ38" s="24">
        <v>1192</v>
      </c>
      <c r="AK38" s="14" t="s">
        <v>72</v>
      </c>
      <c r="AL38" s="24">
        <v>9.8</v>
      </c>
      <c r="AM38" s="24">
        <v>1</v>
      </c>
      <c r="AN38" s="15" t="s">
        <v>653</v>
      </c>
      <c r="AO38" s="14" t="s">
        <v>72</v>
      </c>
      <c r="AP38" s="14" t="s">
        <v>73</v>
      </c>
      <c r="AQ38" s="15" t="s">
        <v>654</v>
      </c>
      <c r="AR38" s="14" t="s">
        <v>655</v>
      </c>
      <c r="AS38" s="14" t="s">
        <v>77</v>
      </c>
      <c r="AT38" s="14" t="s">
        <v>76</v>
      </c>
      <c r="AU38" s="14" t="s">
        <v>77</v>
      </c>
      <c r="AV38" s="14" t="s">
        <v>76</v>
      </c>
      <c r="AW38" s="14" t="s">
        <v>76</v>
      </c>
      <c r="AX38" s="14" t="s">
        <v>77</v>
      </c>
      <c r="AY38" s="14" t="s">
        <v>77</v>
      </c>
      <c r="AZ38" s="14" t="s">
        <v>77</v>
      </c>
      <c r="BA38" s="15" t="s">
        <v>77</v>
      </c>
      <c r="BB38" s="23" t="s">
        <v>656</v>
      </c>
      <c r="BC38" s="23" t="s">
        <v>657</v>
      </c>
      <c r="BD38" s="23" t="s">
        <v>658</v>
      </c>
      <c r="BE38" s="23" t="s">
        <v>659</v>
      </c>
      <c r="BF38" s="14" t="s">
        <v>660</v>
      </c>
    </row>
    <row r="39" ht="24" customHeight="1" spans="1:58">
      <c r="A39" s="14" t="str">
        <f>_xlfn.DISPIMG("ID_876EAD6ACE704A5586B97355AC03F396",1)</f>
        <v>=DISPIMG("ID_876EAD6ACE704A5586B97355AC03F396",1)</v>
      </c>
      <c r="B39" s="15" t="s">
        <v>661</v>
      </c>
      <c r="C39" s="15" t="s">
        <v>483</v>
      </c>
      <c r="D39" s="15" t="s">
        <v>662</v>
      </c>
      <c r="E39" s="15" t="s">
        <v>663</v>
      </c>
      <c r="F39" s="15" t="s">
        <v>664</v>
      </c>
      <c r="G39" s="15" t="s">
        <v>665</v>
      </c>
      <c r="H39" s="15" t="s">
        <v>666</v>
      </c>
      <c r="I39" s="15" t="s">
        <v>667</v>
      </c>
      <c r="J39" s="15" t="s">
        <v>668</v>
      </c>
      <c r="K39" s="15" t="s">
        <v>65</v>
      </c>
      <c r="L39" s="15" t="s">
        <v>66</v>
      </c>
      <c r="M39" s="18">
        <v>21796</v>
      </c>
      <c r="N39" s="18">
        <v>4399</v>
      </c>
      <c r="O39" s="19">
        <v>0.1535</v>
      </c>
      <c r="P39" s="20" t="s">
        <v>67</v>
      </c>
      <c r="Q39" s="22" t="s">
        <v>669</v>
      </c>
      <c r="R39" s="18">
        <v>2342</v>
      </c>
      <c r="S39" s="19">
        <v>-0.1934</v>
      </c>
      <c r="T39" s="18">
        <v>46816.58</v>
      </c>
      <c r="U39" s="23" t="s">
        <v>175</v>
      </c>
      <c r="V39" s="18">
        <v>1999</v>
      </c>
      <c r="W39" s="24">
        <v>69</v>
      </c>
      <c r="X39" s="25">
        <v>19.99</v>
      </c>
      <c r="Z39" s="23" t="s">
        <v>405</v>
      </c>
      <c r="AB39" s="24">
        <v>98</v>
      </c>
      <c r="AC39" s="18">
        <v>24</v>
      </c>
      <c r="AD39" s="28">
        <v>4.5</v>
      </c>
      <c r="AE39" s="29">
        <v>0.0102</v>
      </c>
      <c r="AF39" s="25">
        <v>4.77</v>
      </c>
      <c r="AG39" s="19">
        <v>0.5614</v>
      </c>
      <c r="AI39" s="14" t="s">
        <v>670</v>
      </c>
      <c r="AJ39" s="24">
        <v>233</v>
      </c>
      <c r="AK39" s="14" t="s">
        <v>72</v>
      </c>
      <c r="AL39" s="24">
        <v>10</v>
      </c>
      <c r="AM39" s="24">
        <v>1</v>
      </c>
      <c r="AN39" s="15" t="s">
        <v>671</v>
      </c>
      <c r="AO39" s="14" t="s">
        <v>72</v>
      </c>
      <c r="AP39" s="14" t="s">
        <v>73</v>
      </c>
      <c r="AQ39" s="15" t="s">
        <v>672</v>
      </c>
      <c r="AR39" s="14" t="s">
        <v>673</v>
      </c>
      <c r="AS39" s="14" t="s">
        <v>77</v>
      </c>
      <c r="AT39" s="14" t="s">
        <v>77</v>
      </c>
      <c r="AU39" s="14" t="s">
        <v>77</v>
      </c>
      <c r="AV39" s="14" t="s">
        <v>76</v>
      </c>
      <c r="AW39" s="14" t="s">
        <v>76</v>
      </c>
      <c r="AX39" s="14" t="s">
        <v>77</v>
      </c>
      <c r="AY39" s="14" t="s">
        <v>77</v>
      </c>
      <c r="AZ39" s="14" t="s">
        <v>77</v>
      </c>
      <c r="BA39" s="15" t="s">
        <v>77</v>
      </c>
      <c r="BC39" s="23" t="s">
        <v>246</v>
      </c>
      <c r="BD39" s="23" t="s">
        <v>247</v>
      </c>
      <c r="BE39" s="23" t="s">
        <v>674</v>
      </c>
      <c r="BF39" s="14" t="s">
        <v>675</v>
      </c>
    </row>
    <row r="40" ht="24" customHeight="1" spans="1:58">
      <c r="A40" s="14" t="str">
        <f>_xlfn.DISPIMG("ID_CCA68C353A83419988F3EC40E9430636",1)</f>
        <v>=DISPIMG("ID_CCA68C353A83419988F3EC40E9430636",1)</v>
      </c>
      <c r="B40" s="15" t="s">
        <v>676</v>
      </c>
      <c r="C40" s="15" t="s">
        <v>84</v>
      </c>
      <c r="D40" s="15" t="s">
        <v>501</v>
      </c>
      <c r="E40" s="15" t="s">
        <v>86</v>
      </c>
      <c r="F40" s="15" t="s">
        <v>87</v>
      </c>
      <c r="G40" s="15" t="s">
        <v>677</v>
      </c>
      <c r="H40" s="15" t="s">
        <v>678</v>
      </c>
      <c r="I40" s="15" t="s">
        <v>679</v>
      </c>
      <c r="J40" s="15" t="s">
        <v>680</v>
      </c>
      <c r="K40" s="15" t="s">
        <v>65</v>
      </c>
      <c r="L40" s="15" t="s">
        <v>66</v>
      </c>
      <c r="M40" s="18">
        <v>18662</v>
      </c>
      <c r="N40" s="18">
        <v>5066</v>
      </c>
      <c r="O40" s="19">
        <v>0.1829</v>
      </c>
      <c r="P40" s="20" t="s">
        <v>92</v>
      </c>
      <c r="Q40" s="22" t="s">
        <v>681</v>
      </c>
      <c r="R40" s="18">
        <v>1471</v>
      </c>
      <c r="S40" s="19">
        <v>-0.3857</v>
      </c>
      <c r="T40" s="18">
        <v>29420</v>
      </c>
      <c r="U40" s="23" t="s">
        <v>175</v>
      </c>
      <c r="V40" s="18">
        <v>2000</v>
      </c>
      <c r="W40" s="24">
        <v>58</v>
      </c>
      <c r="X40" s="25">
        <v>20</v>
      </c>
      <c r="Z40" s="7"/>
      <c r="AA40" s="18">
        <v>14</v>
      </c>
      <c r="AB40" s="24">
        <v>948</v>
      </c>
      <c r="AC40" s="18">
        <v>10</v>
      </c>
      <c r="AD40" s="28">
        <v>4.3</v>
      </c>
      <c r="AE40" s="29">
        <v>0.0068</v>
      </c>
      <c r="AF40" s="25">
        <v>4.94</v>
      </c>
      <c r="AG40" s="19">
        <v>0.553</v>
      </c>
      <c r="AI40" s="14" t="s">
        <v>682</v>
      </c>
      <c r="AJ40" s="24">
        <v>1389</v>
      </c>
      <c r="AK40" s="14" t="s">
        <v>72</v>
      </c>
      <c r="AL40" s="24">
        <v>10</v>
      </c>
      <c r="AM40" s="24">
        <v>1</v>
      </c>
      <c r="AN40" s="15" t="s">
        <v>86</v>
      </c>
      <c r="AO40" s="14" t="s">
        <v>72</v>
      </c>
      <c r="AP40" s="14" t="s">
        <v>73</v>
      </c>
      <c r="AQ40" s="15" t="s">
        <v>96</v>
      </c>
      <c r="AR40" s="14" t="s">
        <v>97</v>
      </c>
      <c r="AS40" s="14" t="s">
        <v>77</v>
      </c>
      <c r="AT40" s="14" t="s">
        <v>76</v>
      </c>
      <c r="AU40" s="14" t="s">
        <v>77</v>
      </c>
      <c r="AV40" s="14" t="s">
        <v>76</v>
      </c>
      <c r="AW40" s="14" t="s">
        <v>77</v>
      </c>
      <c r="AX40" s="14" t="s">
        <v>77</v>
      </c>
      <c r="AY40" s="14" t="s">
        <v>76</v>
      </c>
      <c r="AZ40" s="14" t="s">
        <v>77</v>
      </c>
      <c r="BA40" s="15" t="s">
        <v>77</v>
      </c>
      <c r="BB40" s="23" t="s">
        <v>77</v>
      </c>
      <c r="BC40" s="23" t="s">
        <v>683</v>
      </c>
      <c r="BD40" s="23" t="s">
        <v>684</v>
      </c>
      <c r="BE40" s="23" t="s">
        <v>685</v>
      </c>
      <c r="BF40" s="14" t="s">
        <v>686</v>
      </c>
    </row>
    <row r="41" ht="24" customHeight="1" spans="1:58">
      <c r="A41" s="14" t="str">
        <f>_xlfn.DISPIMG("ID_2F1DDC3D9010410EA385476A77BCCB30",1)</f>
        <v>=DISPIMG("ID_2F1DDC3D9010410EA385476A77BCCB30",1)</v>
      </c>
      <c r="B41" s="15" t="s">
        <v>687</v>
      </c>
      <c r="C41" s="15" t="s">
        <v>688</v>
      </c>
      <c r="D41" s="15" t="s">
        <v>689</v>
      </c>
      <c r="E41" s="15" t="s">
        <v>324</v>
      </c>
      <c r="F41" s="15" t="s">
        <v>325</v>
      </c>
      <c r="G41" s="15" t="s">
        <v>690</v>
      </c>
      <c r="H41" s="15" t="s">
        <v>691</v>
      </c>
      <c r="I41" s="15" t="s">
        <v>692</v>
      </c>
      <c r="J41" s="15" t="s">
        <v>693</v>
      </c>
      <c r="K41" s="15" t="s">
        <v>65</v>
      </c>
      <c r="L41" s="15" t="s">
        <v>66</v>
      </c>
      <c r="M41" s="18">
        <v>22451</v>
      </c>
      <c r="N41" s="18">
        <v>2362</v>
      </c>
      <c r="O41" s="19">
        <v>0.0737</v>
      </c>
      <c r="P41" s="20" t="s">
        <v>92</v>
      </c>
      <c r="Q41" s="22" t="s">
        <v>694</v>
      </c>
      <c r="R41" s="18">
        <v>1766</v>
      </c>
      <c r="S41" s="19">
        <v>-0.1624</v>
      </c>
      <c r="T41" s="18">
        <v>35302.34</v>
      </c>
      <c r="U41" s="23" t="s">
        <v>77</v>
      </c>
      <c r="V41" s="18" t="s">
        <v>77</v>
      </c>
      <c r="W41" s="24">
        <v>164</v>
      </c>
      <c r="X41" s="25">
        <v>19.99</v>
      </c>
      <c r="Z41" s="7"/>
      <c r="AA41" s="18">
        <v>92</v>
      </c>
      <c r="AB41" s="24">
        <v>33342</v>
      </c>
      <c r="AC41" s="18">
        <v>23</v>
      </c>
      <c r="AD41" s="28">
        <v>4.3</v>
      </c>
      <c r="AE41" s="29">
        <v>0.013</v>
      </c>
      <c r="AF41" s="25">
        <v>5.32</v>
      </c>
      <c r="AG41" s="19">
        <v>0.5782</v>
      </c>
      <c r="AI41" s="14" t="s">
        <v>695</v>
      </c>
      <c r="AJ41" s="24">
        <v>2627</v>
      </c>
      <c r="AK41" s="14" t="s">
        <v>72</v>
      </c>
      <c r="AL41" s="24">
        <v>9.6</v>
      </c>
      <c r="AM41" s="24">
        <v>1</v>
      </c>
      <c r="AN41" s="15" t="s">
        <v>332</v>
      </c>
      <c r="AO41" s="14" t="s">
        <v>72</v>
      </c>
      <c r="AP41" s="14" t="s">
        <v>73</v>
      </c>
      <c r="AQ41" s="15" t="s">
        <v>333</v>
      </c>
      <c r="AR41" s="14" t="s">
        <v>334</v>
      </c>
      <c r="AS41" s="14" t="s">
        <v>76</v>
      </c>
      <c r="AT41" s="14" t="s">
        <v>76</v>
      </c>
      <c r="AU41" s="14" t="s">
        <v>77</v>
      </c>
      <c r="AV41" s="14" t="s">
        <v>76</v>
      </c>
      <c r="AW41" s="14" t="s">
        <v>76</v>
      </c>
      <c r="AX41" s="14" t="s">
        <v>77</v>
      </c>
      <c r="AY41" s="14" t="s">
        <v>76</v>
      </c>
      <c r="AZ41" s="14" t="s">
        <v>77</v>
      </c>
      <c r="BA41" s="15" t="s">
        <v>77</v>
      </c>
      <c r="BB41" s="23" t="s">
        <v>696</v>
      </c>
      <c r="BC41" s="23" t="s">
        <v>697</v>
      </c>
      <c r="BD41" s="23" t="s">
        <v>698</v>
      </c>
      <c r="BE41" s="23" t="s">
        <v>699</v>
      </c>
      <c r="BF41" s="14" t="s">
        <v>700</v>
      </c>
    </row>
    <row r="42" ht="24" customHeight="1" spans="1:58">
      <c r="A42" s="14" t="str">
        <f>_xlfn.DISPIMG("ID_B989790ED54341CCAE2F0B6483C63DAD",1)</f>
        <v>=DISPIMG("ID_B989790ED54341CCAE2F0B6483C63DAD",1)</v>
      </c>
      <c r="B42" s="15" t="s">
        <v>701</v>
      </c>
      <c r="C42" s="15" t="s">
        <v>702</v>
      </c>
      <c r="D42" s="15" t="s">
        <v>703</v>
      </c>
      <c r="E42" s="15" t="s">
        <v>704</v>
      </c>
      <c r="F42" s="15" t="s">
        <v>705</v>
      </c>
      <c r="G42" s="15" t="s">
        <v>706</v>
      </c>
      <c r="H42" s="15" t="s">
        <v>707</v>
      </c>
      <c r="I42" s="15" t="s">
        <v>708</v>
      </c>
      <c r="J42" s="15" t="s">
        <v>709</v>
      </c>
      <c r="K42" s="15" t="s">
        <v>65</v>
      </c>
      <c r="L42" s="15" t="s">
        <v>66</v>
      </c>
      <c r="M42" s="18">
        <v>25004</v>
      </c>
      <c r="N42" s="18">
        <v>17669</v>
      </c>
      <c r="O42" s="19">
        <v>0.4389</v>
      </c>
      <c r="P42" s="20" t="s">
        <v>92</v>
      </c>
      <c r="Q42" s="22" t="s">
        <v>710</v>
      </c>
      <c r="R42" s="18">
        <v>1460</v>
      </c>
      <c r="S42" s="19">
        <v>0.1115</v>
      </c>
      <c r="T42" s="18">
        <v>21199.201</v>
      </c>
      <c r="U42" s="23" t="s">
        <v>404</v>
      </c>
      <c r="V42" s="18">
        <v>726</v>
      </c>
      <c r="W42" s="24">
        <v>415</v>
      </c>
      <c r="X42" s="25">
        <v>14.52</v>
      </c>
      <c r="Z42" s="7"/>
      <c r="AA42" s="18">
        <v>32</v>
      </c>
      <c r="AB42" s="24">
        <v>3</v>
      </c>
      <c r="AC42" s="18">
        <v>2</v>
      </c>
      <c r="AD42" s="28">
        <v>4.3</v>
      </c>
      <c r="AE42" s="29">
        <v>0.0014</v>
      </c>
      <c r="AF42" s="25">
        <v>4.61</v>
      </c>
      <c r="AG42" s="19">
        <v>0</v>
      </c>
      <c r="AI42" s="14" t="s">
        <v>711</v>
      </c>
      <c r="AJ42" s="24">
        <v>2087</v>
      </c>
      <c r="AK42" s="14" t="s">
        <v>636</v>
      </c>
      <c r="AL42" s="24">
        <v>6.9</v>
      </c>
      <c r="AM42" s="24">
        <v>5</v>
      </c>
      <c r="AN42" s="15" t="s">
        <v>637</v>
      </c>
      <c r="AO42" s="14" t="s">
        <v>636</v>
      </c>
      <c r="AP42" s="14" t="s">
        <v>77</v>
      </c>
      <c r="AQ42" s="15" t="s">
        <v>77</v>
      </c>
      <c r="AR42" s="14" t="s">
        <v>77</v>
      </c>
      <c r="AS42" s="14" t="s">
        <v>77</v>
      </c>
      <c r="AT42" s="14" t="s">
        <v>77</v>
      </c>
      <c r="AU42" s="14" t="s">
        <v>77</v>
      </c>
      <c r="AV42" s="14" t="s">
        <v>76</v>
      </c>
      <c r="AW42" s="14" t="s">
        <v>77</v>
      </c>
      <c r="AX42" s="14" t="s">
        <v>77</v>
      </c>
      <c r="AY42" s="14" t="s">
        <v>77</v>
      </c>
      <c r="AZ42" s="14" t="s">
        <v>77</v>
      </c>
      <c r="BA42" s="15" t="s">
        <v>77</v>
      </c>
      <c r="BC42" s="23" t="s">
        <v>611</v>
      </c>
      <c r="BD42" s="23" t="s">
        <v>125</v>
      </c>
      <c r="BE42" s="23" t="s">
        <v>712</v>
      </c>
      <c r="BF42" s="14" t="s">
        <v>713</v>
      </c>
    </row>
    <row r="43" ht="24" customHeight="1" spans="1:58">
      <c r="A43" s="14" t="str">
        <f>_xlfn.DISPIMG("ID_77C170E9052947FAAE2A008761A1C731",1)</f>
        <v>=DISPIMG("ID_77C170E9052947FAAE2A008761A1C731",1)</v>
      </c>
      <c r="B43" s="15" t="s">
        <v>714</v>
      </c>
      <c r="C43" s="15" t="s">
        <v>715</v>
      </c>
      <c r="D43" s="15" t="s">
        <v>716</v>
      </c>
      <c r="E43" s="15" t="s">
        <v>717</v>
      </c>
      <c r="F43" s="15" t="s">
        <v>718</v>
      </c>
      <c r="G43" s="15" t="s">
        <v>719</v>
      </c>
      <c r="H43" s="15" t="s">
        <v>720</v>
      </c>
      <c r="I43" s="15" t="s">
        <v>721</v>
      </c>
      <c r="J43" s="15" t="s">
        <v>722</v>
      </c>
      <c r="K43" s="15" t="s">
        <v>65</v>
      </c>
      <c r="L43" s="15" t="s">
        <v>66</v>
      </c>
      <c r="M43" s="18">
        <v>17965</v>
      </c>
      <c r="N43" s="18">
        <v>11004</v>
      </c>
      <c r="O43" s="19">
        <v>0.3556</v>
      </c>
      <c r="P43" s="20" t="s">
        <v>92</v>
      </c>
      <c r="Q43" s="22" t="s">
        <v>723</v>
      </c>
      <c r="R43" s="18">
        <v>1634</v>
      </c>
      <c r="S43" s="19">
        <v>-0.0179</v>
      </c>
      <c r="T43" s="18">
        <v>24330.26</v>
      </c>
      <c r="U43" s="23" t="s">
        <v>175</v>
      </c>
      <c r="V43" s="18">
        <v>1489</v>
      </c>
      <c r="W43" s="24">
        <v>55</v>
      </c>
      <c r="X43" s="25">
        <v>14.89</v>
      </c>
      <c r="Z43" s="23" t="s">
        <v>724</v>
      </c>
      <c r="AB43" s="24">
        <v>68</v>
      </c>
      <c r="AC43" s="18">
        <v>16</v>
      </c>
      <c r="AD43" s="28">
        <v>4.3</v>
      </c>
      <c r="AE43" s="29">
        <v>0.0098</v>
      </c>
      <c r="AF43" s="25">
        <v>4.77</v>
      </c>
      <c r="AG43" s="19">
        <v>0.4797</v>
      </c>
      <c r="AI43" s="14" t="s">
        <v>725</v>
      </c>
      <c r="AJ43" s="24">
        <v>94</v>
      </c>
      <c r="AK43" s="14" t="s">
        <v>72</v>
      </c>
      <c r="AL43" s="24">
        <v>9.5</v>
      </c>
      <c r="AM43" s="24">
        <v>2</v>
      </c>
      <c r="AN43" s="15" t="s">
        <v>726</v>
      </c>
      <c r="AO43" s="14" t="s">
        <v>72</v>
      </c>
      <c r="AP43" s="14" t="s">
        <v>73</v>
      </c>
      <c r="AQ43" s="15" t="s">
        <v>727</v>
      </c>
      <c r="AR43" s="14" t="s">
        <v>728</v>
      </c>
      <c r="AS43" s="14" t="s">
        <v>77</v>
      </c>
      <c r="AT43" s="14" t="s">
        <v>76</v>
      </c>
      <c r="AU43" s="14" t="s">
        <v>76</v>
      </c>
      <c r="AV43" s="14" t="s">
        <v>76</v>
      </c>
      <c r="AW43" s="14" t="s">
        <v>76</v>
      </c>
      <c r="AX43" s="14" t="s">
        <v>77</v>
      </c>
      <c r="AY43" s="14" t="s">
        <v>77</v>
      </c>
      <c r="AZ43" s="14" t="s">
        <v>77</v>
      </c>
      <c r="BA43" s="15" t="s">
        <v>77</v>
      </c>
      <c r="BB43" s="23" t="s">
        <v>77</v>
      </c>
      <c r="BC43" s="23" t="s">
        <v>729</v>
      </c>
      <c r="BD43" s="23" t="s">
        <v>730</v>
      </c>
      <c r="BE43" s="23" t="s">
        <v>731</v>
      </c>
      <c r="BF43" s="14" t="s">
        <v>732</v>
      </c>
    </row>
    <row r="44" ht="24" customHeight="1" spans="1:58">
      <c r="A44" s="14" t="str">
        <f>_xlfn.DISPIMG("ID_B0EAB5126F5D4DB59C36AA39B2945732",1)</f>
        <v>=DISPIMG("ID_B0EAB5126F5D4DB59C36AA39B2945732",1)</v>
      </c>
      <c r="B44" s="15" t="s">
        <v>733</v>
      </c>
      <c r="C44" s="15" t="s">
        <v>734</v>
      </c>
      <c r="D44" s="15" t="s">
        <v>735</v>
      </c>
      <c r="E44" s="15" t="s">
        <v>86</v>
      </c>
      <c r="F44" s="15" t="s">
        <v>87</v>
      </c>
      <c r="G44" s="15" t="s">
        <v>736</v>
      </c>
      <c r="H44" s="15" t="s">
        <v>737</v>
      </c>
      <c r="I44" s="15" t="s">
        <v>738</v>
      </c>
      <c r="J44" s="15" t="s">
        <v>739</v>
      </c>
      <c r="K44" s="15" t="s">
        <v>65</v>
      </c>
      <c r="L44" s="15" t="s">
        <v>66</v>
      </c>
      <c r="M44" s="18">
        <v>18920</v>
      </c>
      <c r="N44" s="18">
        <v>11913</v>
      </c>
      <c r="O44" s="19">
        <v>0.3233</v>
      </c>
      <c r="P44" s="20" t="s">
        <v>108</v>
      </c>
      <c r="Q44" s="22" t="s">
        <v>740</v>
      </c>
      <c r="R44" s="18">
        <v>1301</v>
      </c>
      <c r="S44" s="19">
        <v>-0.2202</v>
      </c>
      <c r="T44" s="18">
        <v>31224</v>
      </c>
      <c r="U44" s="23" t="s">
        <v>175</v>
      </c>
      <c r="V44" s="18">
        <v>2400</v>
      </c>
      <c r="W44" s="24">
        <v>42</v>
      </c>
      <c r="X44" s="25">
        <v>24</v>
      </c>
      <c r="Z44" s="7"/>
      <c r="AB44" s="24">
        <v>22</v>
      </c>
      <c r="AC44" s="18">
        <v>8</v>
      </c>
      <c r="AD44" s="28">
        <v>4.6</v>
      </c>
      <c r="AE44" s="29">
        <v>0.0061</v>
      </c>
      <c r="AF44" s="25">
        <v>5.46</v>
      </c>
      <c r="AG44" s="19">
        <v>0.5725</v>
      </c>
      <c r="AI44" s="14" t="s">
        <v>741</v>
      </c>
      <c r="AJ44" s="24">
        <v>103</v>
      </c>
      <c r="AK44" s="14" t="s">
        <v>72</v>
      </c>
      <c r="AL44" s="24">
        <v>9.6</v>
      </c>
      <c r="AM44" s="24">
        <v>1</v>
      </c>
      <c r="AN44" s="15" t="s">
        <v>86</v>
      </c>
      <c r="AO44" s="14" t="s">
        <v>72</v>
      </c>
      <c r="AP44" s="14" t="s">
        <v>73</v>
      </c>
      <c r="AQ44" s="15" t="s">
        <v>96</v>
      </c>
      <c r="AR44" s="14" t="s">
        <v>97</v>
      </c>
      <c r="AS44" s="14" t="s">
        <v>77</v>
      </c>
      <c r="AT44" s="14" t="s">
        <v>77</v>
      </c>
      <c r="AU44" s="14" t="s">
        <v>76</v>
      </c>
      <c r="AV44" s="14" t="s">
        <v>76</v>
      </c>
      <c r="AW44" s="14" t="s">
        <v>77</v>
      </c>
      <c r="AX44" s="14" t="s">
        <v>77</v>
      </c>
      <c r="AY44" s="14" t="s">
        <v>76</v>
      </c>
      <c r="AZ44" s="14" t="s">
        <v>77</v>
      </c>
      <c r="BA44" s="15" t="s">
        <v>77</v>
      </c>
      <c r="BC44" s="23" t="s">
        <v>742</v>
      </c>
      <c r="BD44" s="23" t="s">
        <v>743</v>
      </c>
      <c r="BE44" s="23" t="s">
        <v>744</v>
      </c>
      <c r="BF44" s="14" t="s">
        <v>745</v>
      </c>
    </row>
    <row r="45" ht="24" customHeight="1" spans="1:58">
      <c r="A45" s="14" t="str">
        <f>_xlfn.DISPIMG("ID_12DD6E4DCFB6425BB627C87E96AA6410",1)</f>
        <v>=DISPIMG("ID_12DD6E4DCFB6425BB627C87E96AA6410",1)</v>
      </c>
      <c r="B45" s="15" t="s">
        <v>746</v>
      </c>
      <c r="C45" s="15" t="s">
        <v>747</v>
      </c>
      <c r="D45" s="15" t="s">
        <v>748</v>
      </c>
      <c r="E45" s="15" t="s">
        <v>749</v>
      </c>
      <c r="F45" s="15" t="s">
        <v>750</v>
      </c>
      <c r="G45" s="15" t="s">
        <v>751</v>
      </c>
      <c r="H45" s="15" t="s">
        <v>752</v>
      </c>
      <c r="I45" s="15" t="s">
        <v>753</v>
      </c>
      <c r="J45" s="15" t="s">
        <v>754</v>
      </c>
      <c r="K45" s="15" t="s">
        <v>65</v>
      </c>
      <c r="L45" s="15" t="s">
        <v>66</v>
      </c>
      <c r="M45" s="18">
        <v>26211</v>
      </c>
      <c r="N45" s="18">
        <v>9870</v>
      </c>
      <c r="O45" s="19">
        <v>0.273</v>
      </c>
      <c r="P45" s="20" t="s">
        <v>67</v>
      </c>
      <c r="Q45" s="22" t="s">
        <v>755</v>
      </c>
      <c r="R45" s="18">
        <v>1384</v>
      </c>
      <c r="S45" s="19">
        <v>-0.2895</v>
      </c>
      <c r="T45" s="18">
        <v>47042.164</v>
      </c>
      <c r="U45" s="23" t="s">
        <v>77</v>
      </c>
      <c r="V45" s="18" t="s">
        <v>77</v>
      </c>
      <c r="W45" s="24">
        <v>106</v>
      </c>
      <c r="X45" s="25">
        <v>33.99</v>
      </c>
      <c r="Z45" s="7"/>
      <c r="AA45" s="18">
        <v>37</v>
      </c>
      <c r="AB45" s="24">
        <v>6881</v>
      </c>
      <c r="AC45" s="18">
        <v>59</v>
      </c>
      <c r="AD45" s="28">
        <v>4.4</v>
      </c>
      <c r="AE45" s="29">
        <v>0.0426</v>
      </c>
      <c r="AF45" s="25">
        <v>6.14</v>
      </c>
      <c r="AG45" s="19">
        <v>0.6194</v>
      </c>
      <c r="AI45" s="14" t="s">
        <v>756</v>
      </c>
      <c r="AJ45" s="24">
        <v>2182</v>
      </c>
      <c r="AK45" s="14" t="s">
        <v>72</v>
      </c>
      <c r="AL45" s="24">
        <v>9.6</v>
      </c>
      <c r="AM45" s="24">
        <v>1</v>
      </c>
      <c r="AN45" s="15" t="s">
        <v>749</v>
      </c>
      <c r="AO45" s="14" t="s">
        <v>72</v>
      </c>
      <c r="AP45" s="14" t="s">
        <v>420</v>
      </c>
      <c r="AQ45" s="15" t="s">
        <v>757</v>
      </c>
      <c r="AR45" s="14" t="s">
        <v>758</v>
      </c>
      <c r="AS45" s="14" t="s">
        <v>77</v>
      </c>
      <c r="AT45" s="14" t="s">
        <v>76</v>
      </c>
      <c r="AU45" s="14" t="s">
        <v>77</v>
      </c>
      <c r="AV45" s="14" t="s">
        <v>76</v>
      </c>
      <c r="AW45" s="14" t="s">
        <v>76</v>
      </c>
      <c r="AX45" s="14" t="s">
        <v>77</v>
      </c>
      <c r="AY45" s="14" t="s">
        <v>76</v>
      </c>
      <c r="AZ45" s="14" t="s">
        <v>77</v>
      </c>
      <c r="BA45" s="15" t="s">
        <v>77</v>
      </c>
      <c r="BB45" s="23" t="s">
        <v>77</v>
      </c>
      <c r="BC45" s="23" t="s">
        <v>759</v>
      </c>
      <c r="BD45" s="23" t="s">
        <v>760</v>
      </c>
      <c r="BE45" s="23" t="s">
        <v>761</v>
      </c>
      <c r="BF45" s="14" t="s">
        <v>762</v>
      </c>
    </row>
    <row r="46" ht="24" customHeight="1" spans="1:58">
      <c r="A46" s="14" t="str">
        <f>_xlfn.DISPIMG("ID_2D15C6EC1CE04A91B8718B9511994602",1)</f>
        <v>=DISPIMG("ID_2D15C6EC1CE04A91B8718B9511994602",1)</v>
      </c>
      <c r="B46" s="15" t="s">
        <v>763</v>
      </c>
      <c r="C46" s="15" t="s">
        <v>84</v>
      </c>
      <c r="D46" s="15" t="s">
        <v>764</v>
      </c>
      <c r="E46" s="15" t="s">
        <v>765</v>
      </c>
      <c r="F46" s="15" t="s">
        <v>766</v>
      </c>
      <c r="G46" s="15" t="s">
        <v>767</v>
      </c>
      <c r="H46" s="15" t="s">
        <v>768</v>
      </c>
      <c r="I46" s="15" t="s">
        <v>769</v>
      </c>
      <c r="J46" s="15" t="s">
        <v>770</v>
      </c>
      <c r="K46" s="15" t="s">
        <v>65</v>
      </c>
      <c r="L46" s="15" t="s">
        <v>66</v>
      </c>
      <c r="M46" s="18">
        <v>13014</v>
      </c>
      <c r="N46" s="18">
        <v>57950</v>
      </c>
      <c r="O46" s="19">
        <v>0.8079</v>
      </c>
      <c r="P46" s="20" t="s">
        <v>137</v>
      </c>
      <c r="Q46" s="22" t="s">
        <v>771</v>
      </c>
      <c r="R46" s="18">
        <v>844</v>
      </c>
      <c r="S46" s="19">
        <v>-0.3009</v>
      </c>
      <c r="T46" s="18">
        <v>12651.56</v>
      </c>
      <c r="U46" s="23" t="s">
        <v>404</v>
      </c>
      <c r="V46" s="18">
        <v>749.5</v>
      </c>
      <c r="W46" s="24">
        <v>50</v>
      </c>
      <c r="X46" s="25">
        <v>14.99</v>
      </c>
      <c r="Z46" s="7"/>
      <c r="AB46" s="24">
        <v>274</v>
      </c>
      <c r="AC46" s="18">
        <v>19</v>
      </c>
      <c r="AD46" s="28">
        <v>4.6</v>
      </c>
      <c r="AE46" s="29">
        <v>0.0225</v>
      </c>
      <c r="AF46" s="25">
        <v>4.94</v>
      </c>
      <c r="AG46" s="19">
        <v>0.4704</v>
      </c>
      <c r="AI46" s="14" t="s">
        <v>772</v>
      </c>
      <c r="AJ46" s="24">
        <v>338</v>
      </c>
      <c r="AK46" s="14" t="s">
        <v>72</v>
      </c>
      <c r="AL46" s="24">
        <v>10</v>
      </c>
      <c r="AM46" s="24">
        <v>1</v>
      </c>
      <c r="AN46" s="15" t="s">
        <v>765</v>
      </c>
      <c r="AO46" s="14" t="s">
        <v>72</v>
      </c>
      <c r="AP46" s="14" t="s">
        <v>73</v>
      </c>
      <c r="AQ46" s="15" t="s">
        <v>773</v>
      </c>
      <c r="AR46" s="14" t="s">
        <v>774</v>
      </c>
      <c r="AS46" s="14" t="s">
        <v>77</v>
      </c>
      <c r="AT46" s="14" t="s">
        <v>76</v>
      </c>
      <c r="AU46" s="14" t="s">
        <v>77</v>
      </c>
      <c r="AV46" s="14" t="s">
        <v>76</v>
      </c>
      <c r="AW46" s="14" t="s">
        <v>76</v>
      </c>
      <c r="AX46" s="14" t="s">
        <v>77</v>
      </c>
      <c r="AY46" s="14" t="s">
        <v>76</v>
      </c>
      <c r="AZ46" s="14" t="s">
        <v>77</v>
      </c>
      <c r="BA46" s="15" t="s">
        <v>76</v>
      </c>
      <c r="BB46" s="23" t="s">
        <v>77</v>
      </c>
      <c r="BC46" s="23" t="s">
        <v>775</v>
      </c>
      <c r="BD46" s="23" t="s">
        <v>776</v>
      </c>
      <c r="BE46" s="23" t="s">
        <v>777</v>
      </c>
      <c r="BF46" s="14" t="s">
        <v>778</v>
      </c>
    </row>
    <row r="47" ht="24" customHeight="1" spans="1:58">
      <c r="A47" s="14" t="str">
        <f>_xlfn.DISPIMG("ID_DFD8A204B83949E08970C126BF073E23",1)</f>
        <v>=DISPIMG("ID_DFD8A204B83949E08970C126BF073E23",1)</v>
      </c>
      <c r="B47" s="15" t="s">
        <v>779</v>
      </c>
      <c r="C47" s="15" t="s">
        <v>780</v>
      </c>
      <c r="D47" s="15" t="s">
        <v>252</v>
      </c>
      <c r="E47" s="15" t="s">
        <v>253</v>
      </c>
      <c r="F47" s="15" t="s">
        <v>254</v>
      </c>
      <c r="G47" s="15" t="s">
        <v>781</v>
      </c>
      <c r="H47" s="15" t="s">
        <v>782</v>
      </c>
      <c r="I47" s="15" t="s">
        <v>783</v>
      </c>
      <c r="J47" s="15" t="s">
        <v>784</v>
      </c>
      <c r="K47" s="15" t="s">
        <v>65</v>
      </c>
      <c r="L47" s="15" t="s">
        <v>66</v>
      </c>
      <c r="M47" s="18">
        <v>22698</v>
      </c>
      <c r="N47" s="18">
        <v>34633</v>
      </c>
      <c r="O47" s="19">
        <v>0.6041</v>
      </c>
      <c r="P47" s="20" t="s">
        <v>67</v>
      </c>
      <c r="Q47" s="22" t="s">
        <v>785</v>
      </c>
      <c r="R47" s="18">
        <v>1203</v>
      </c>
      <c r="S47" s="19">
        <v>-0.035</v>
      </c>
      <c r="T47" s="18">
        <v>26935.17</v>
      </c>
      <c r="U47" s="23" t="s">
        <v>156</v>
      </c>
      <c r="V47" s="18">
        <v>4478</v>
      </c>
      <c r="W47" s="24">
        <v>8</v>
      </c>
      <c r="X47" s="25">
        <v>22.39</v>
      </c>
      <c r="Z47" s="7"/>
      <c r="AB47" s="24">
        <v>303</v>
      </c>
      <c r="AC47" s="18">
        <v>27</v>
      </c>
      <c r="AD47" s="28">
        <v>4</v>
      </c>
      <c r="AE47" s="29">
        <v>0.0224</v>
      </c>
      <c r="AF47" s="25">
        <v>5.82</v>
      </c>
      <c r="AG47" s="19">
        <v>0.5921</v>
      </c>
      <c r="AI47" s="14" t="s">
        <v>786</v>
      </c>
      <c r="AJ47" s="24">
        <v>343</v>
      </c>
      <c r="AK47" s="14" t="s">
        <v>72</v>
      </c>
      <c r="AL47" s="24">
        <v>9</v>
      </c>
      <c r="AM47" s="24">
        <v>1</v>
      </c>
      <c r="AN47" s="15" t="s">
        <v>261</v>
      </c>
      <c r="AO47" s="14" t="s">
        <v>72</v>
      </c>
      <c r="AP47" s="14" t="s">
        <v>73</v>
      </c>
      <c r="AQ47" s="15" t="s">
        <v>262</v>
      </c>
      <c r="AR47" s="14" t="s">
        <v>263</v>
      </c>
      <c r="AS47" s="14" t="s">
        <v>77</v>
      </c>
      <c r="AT47" s="14" t="s">
        <v>77</v>
      </c>
      <c r="AU47" s="14" t="s">
        <v>77</v>
      </c>
      <c r="AV47" s="14" t="s">
        <v>76</v>
      </c>
      <c r="AW47" s="14" t="s">
        <v>77</v>
      </c>
      <c r="AX47" s="14" t="s">
        <v>77</v>
      </c>
      <c r="AY47" s="14" t="s">
        <v>77</v>
      </c>
      <c r="AZ47" s="14" t="s">
        <v>77</v>
      </c>
      <c r="BA47" s="15" t="s">
        <v>76</v>
      </c>
      <c r="BC47" s="23" t="s">
        <v>787</v>
      </c>
      <c r="BD47" s="23" t="s">
        <v>788</v>
      </c>
      <c r="BE47" s="23" t="s">
        <v>789</v>
      </c>
      <c r="BF47" s="14" t="s">
        <v>790</v>
      </c>
    </row>
    <row r="48" ht="24" customHeight="1" spans="1:58">
      <c r="A48" s="14" t="str">
        <f>_xlfn.DISPIMG("ID_76C20201DC8A414685498FB96365A9DE",1)</f>
        <v>=DISPIMG("ID_76C20201DC8A414685498FB96365A9DE",1)</v>
      </c>
      <c r="B48" s="15" t="s">
        <v>791</v>
      </c>
      <c r="C48" s="15" t="s">
        <v>792</v>
      </c>
      <c r="D48" s="15" t="s">
        <v>793</v>
      </c>
      <c r="E48" s="15" t="s">
        <v>794</v>
      </c>
      <c r="F48" s="15" t="s">
        <v>795</v>
      </c>
      <c r="G48" s="15" t="s">
        <v>796</v>
      </c>
      <c r="H48" s="15" t="s">
        <v>797</v>
      </c>
      <c r="I48" s="15" t="s">
        <v>798</v>
      </c>
      <c r="J48" s="15" t="s">
        <v>799</v>
      </c>
      <c r="K48" s="15" t="s">
        <v>65</v>
      </c>
      <c r="L48" s="15" t="s">
        <v>66</v>
      </c>
      <c r="M48" s="18">
        <v>18041</v>
      </c>
      <c r="N48" s="18">
        <v>-1644</v>
      </c>
      <c r="O48" s="19">
        <v>-0.1297</v>
      </c>
      <c r="P48" s="20" t="s">
        <v>92</v>
      </c>
      <c r="Q48" s="22" t="s">
        <v>800</v>
      </c>
      <c r="R48" s="18">
        <v>1925</v>
      </c>
      <c r="S48" s="19">
        <v>0.711</v>
      </c>
      <c r="T48" s="18">
        <v>23003.75</v>
      </c>
      <c r="U48" s="23" t="s">
        <v>175</v>
      </c>
      <c r="V48" s="18">
        <v>1195</v>
      </c>
      <c r="W48" s="24">
        <v>178</v>
      </c>
      <c r="X48" s="25">
        <v>11.95</v>
      </c>
      <c r="Z48" s="7"/>
      <c r="AB48" s="24">
        <v>159</v>
      </c>
      <c r="AC48" s="18">
        <v>5</v>
      </c>
      <c r="AD48" s="28">
        <v>4</v>
      </c>
      <c r="AE48" s="29">
        <v>0.0026</v>
      </c>
      <c r="AG48" s="19">
        <v>0</v>
      </c>
      <c r="AI48" s="14" t="s">
        <v>801</v>
      </c>
      <c r="AJ48" s="24">
        <v>1309</v>
      </c>
      <c r="AK48" s="14" t="s">
        <v>72</v>
      </c>
      <c r="AL48" s="24">
        <v>7.9</v>
      </c>
      <c r="AM48" s="24">
        <v>2</v>
      </c>
      <c r="AN48" s="15" t="s">
        <v>794</v>
      </c>
      <c r="AO48" s="14" t="s">
        <v>72</v>
      </c>
      <c r="AP48" s="14" t="s">
        <v>420</v>
      </c>
      <c r="AQ48" s="15" t="s">
        <v>802</v>
      </c>
      <c r="AR48" s="14" t="s">
        <v>803</v>
      </c>
      <c r="AS48" s="14" t="s">
        <v>77</v>
      </c>
      <c r="AT48" s="14" t="s">
        <v>76</v>
      </c>
      <c r="AU48" s="14" t="s">
        <v>77</v>
      </c>
      <c r="AV48" s="14" t="s">
        <v>77</v>
      </c>
      <c r="AW48" s="14" t="s">
        <v>77</v>
      </c>
      <c r="AX48" s="14" t="s">
        <v>77</v>
      </c>
      <c r="AY48" s="14" t="s">
        <v>77</v>
      </c>
      <c r="AZ48" s="14" t="s">
        <v>77</v>
      </c>
      <c r="BA48" s="15" t="s">
        <v>77</v>
      </c>
      <c r="BB48" s="23" t="s">
        <v>77</v>
      </c>
      <c r="BC48" s="23" t="s">
        <v>804</v>
      </c>
      <c r="BD48" s="23" t="s">
        <v>805</v>
      </c>
      <c r="BE48" s="23" t="s">
        <v>806</v>
      </c>
      <c r="BF48" s="14" t="s">
        <v>807</v>
      </c>
    </row>
    <row r="49" ht="24" customHeight="1" spans="1:58">
      <c r="A49" s="14" t="str">
        <f>_xlfn.DISPIMG("ID_29B7CDF6C97147C1921A161B4F8838CD",1)</f>
        <v>=DISPIMG("ID_29B7CDF6C97147C1921A161B4F8838CD",1)</v>
      </c>
      <c r="B49" s="15" t="s">
        <v>808</v>
      </c>
      <c r="C49" s="15" t="s">
        <v>809</v>
      </c>
      <c r="D49" s="15" t="s">
        <v>810</v>
      </c>
      <c r="E49" s="15" t="s">
        <v>627</v>
      </c>
      <c r="F49" s="15" t="s">
        <v>628</v>
      </c>
      <c r="G49" s="15" t="s">
        <v>811</v>
      </c>
      <c r="H49" s="15" t="s">
        <v>812</v>
      </c>
      <c r="I49" s="15" t="s">
        <v>813</v>
      </c>
      <c r="J49" s="15" t="s">
        <v>814</v>
      </c>
      <c r="K49" s="15" t="s">
        <v>65</v>
      </c>
      <c r="L49" s="15" t="s">
        <v>633</v>
      </c>
      <c r="M49" s="18">
        <v>1899</v>
      </c>
      <c r="O49" s="19">
        <v>0</v>
      </c>
      <c r="P49" s="20" t="s">
        <v>92</v>
      </c>
      <c r="Q49" s="22" t="s">
        <v>815</v>
      </c>
      <c r="R49" s="18" t="s">
        <v>77</v>
      </c>
      <c r="S49" s="19" t="s">
        <v>77</v>
      </c>
      <c r="T49" s="18" t="s">
        <v>77</v>
      </c>
      <c r="U49" s="23" t="s">
        <v>404</v>
      </c>
      <c r="V49" s="18">
        <v>900</v>
      </c>
      <c r="W49" s="24">
        <v>162</v>
      </c>
      <c r="X49" s="25">
        <v>18</v>
      </c>
      <c r="Z49" s="7"/>
      <c r="AA49" s="18">
        <v>48</v>
      </c>
      <c r="AB49" s="24">
        <v>13665</v>
      </c>
      <c r="AD49" s="28">
        <v>4.3</v>
      </c>
      <c r="AE49" s="29">
        <v>0</v>
      </c>
      <c r="AG49" s="19">
        <v>0</v>
      </c>
      <c r="AI49" s="14" t="s">
        <v>816</v>
      </c>
      <c r="AJ49" s="24">
        <v>177</v>
      </c>
      <c r="AK49" s="14" t="s">
        <v>636</v>
      </c>
      <c r="AL49" s="24">
        <v>7.6</v>
      </c>
      <c r="AM49" s="24">
        <v>1</v>
      </c>
      <c r="AN49" s="15" t="s">
        <v>637</v>
      </c>
      <c r="AO49" s="14" t="s">
        <v>636</v>
      </c>
      <c r="AP49" s="14" t="s">
        <v>77</v>
      </c>
      <c r="AQ49" s="15" t="s">
        <v>77</v>
      </c>
      <c r="AR49" s="14" t="s">
        <v>77</v>
      </c>
      <c r="AS49" s="14" t="s">
        <v>77</v>
      </c>
      <c r="AT49" s="14" t="s">
        <v>76</v>
      </c>
      <c r="AU49" s="14" t="s">
        <v>77</v>
      </c>
      <c r="AV49" s="14" t="s">
        <v>77</v>
      </c>
      <c r="AW49" s="14" t="s">
        <v>76</v>
      </c>
      <c r="AX49" s="14" t="s">
        <v>77</v>
      </c>
      <c r="AY49" s="14" t="s">
        <v>76</v>
      </c>
      <c r="AZ49" s="14" t="s">
        <v>77</v>
      </c>
      <c r="BA49" s="15" t="s">
        <v>77</v>
      </c>
      <c r="BB49" s="23" t="s">
        <v>817</v>
      </c>
      <c r="BC49" s="23" t="s">
        <v>818</v>
      </c>
      <c r="BD49" s="23" t="s">
        <v>819</v>
      </c>
      <c r="BE49" s="23" t="s">
        <v>820</v>
      </c>
      <c r="BF49" s="14" t="s">
        <v>821</v>
      </c>
    </row>
    <row r="50" ht="24" customHeight="1" spans="1:58">
      <c r="A50" s="14" t="str">
        <f>_xlfn.DISPIMG("ID_98B3BDBA01FE4CDC8ABC8585446386D1",1)</f>
        <v>=DISPIMG("ID_98B3BDBA01FE4CDC8ABC8585446386D1",1)</v>
      </c>
      <c r="B50" s="15" t="s">
        <v>822</v>
      </c>
      <c r="C50" s="15" t="s">
        <v>823</v>
      </c>
      <c r="D50" s="15" t="s">
        <v>824</v>
      </c>
      <c r="E50" s="15" t="s">
        <v>825</v>
      </c>
      <c r="F50" s="15" t="s">
        <v>826</v>
      </c>
      <c r="G50" s="15" t="s">
        <v>827</v>
      </c>
      <c r="H50" s="15" t="s">
        <v>828</v>
      </c>
      <c r="I50" s="15" t="s">
        <v>829</v>
      </c>
      <c r="J50" s="15" t="s">
        <v>830</v>
      </c>
      <c r="K50" s="15" t="s">
        <v>65</v>
      </c>
      <c r="L50" s="15" t="s">
        <v>66</v>
      </c>
      <c r="M50" s="18">
        <v>25324</v>
      </c>
      <c r="N50" s="18">
        <v>7538</v>
      </c>
      <c r="O50" s="19">
        <v>0.2244</v>
      </c>
      <c r="P50" s="20" t="s">
        <v>92</v>
      </c>
      <c r="Q50" s="22" t="s">
        <v>831</v>
      </c>
      <c r="R50" s="18">
        <v>1262</v>
      </c>
      <c r="S50" s="19">
        <v>0.2215</v>
      </c>
      <c r="T50" s="18">
        <v>31537.379</v>
      </c>
      <c r="U50" s="23" t="s">
        <v>175</v>
      </c>
      <c r="V50" s="18">
        <v>2499</v>
      </c>
      <c r="W50" s="24">
        <v>33</v>
      </c>
      <c r="X50" s="25">
        <v>24.99</v>
      </c>
      <c r="Z50" s="23" t="s">
        <v>405</v>
      </c>
      <c r="AB50" s="24">
        <v>15</v>
      </c>
      <c r="AC50" s="18">
        <v>5</v>
      </c>
      <c r="AD50" s="28">
        <v>3.9</v>
      </c>
      <c r="AE50" s="29">
        <v>0.004</v>
      </c>
      <c r="AF50" s="25">
        <v>6.27</v>
      </c>
      <c r="AG50" s="19">
        <v>0.5491</v>
      </c>
      <c r="AI50" s="14" t="s">
        <v>832</v>
      </c>
      <c r="AJ50" s="24">
        <v>164</v>
      </c>
      <c r="AK50" s="14" t="s">
        <v>72</v>
      </c>
      <c r="AL50" s="24">
        <v>9.5</v>
      </c>
      <c r="AM50" s="24">
        <v>1</v>
      </c>
      <c r="AN50" s="15" t="s">
        <v>825</v>
      </c>
      <c r="AO50" s="14" t="s">
        <v>72</v>
      </c>
      <c r="AP50" s="14" t="s">
        <v>73</v>
      </c>
      <c r="AQ50" s="15" t="s">
        <v>833</v>
      </c>
      <c r="AR50" s="14" t="s">
        <v>834</v>
      </c>
      <c r="AS50" s="14" t="s">
        <v>77</v>
      </c>
      <c r="AT50" s="14" t="s">
        <v>77</v>
      </c>
      <c r="AU50" s="14" t="s">
        <v>77</v>
      </c>
      <c r="AV50" s="14" t="s">
        <v>76</v>
      </c>
      <c r="AW50" s="14" t="s">
        <v>76</v>
      </c>
      <c r="AX50" s="14" t="s">
        <v>77</v>
      </c>
      <c r="AY50" s="14" t="s">
        <v>77</v>
      </c>
      <c r="AZ50" s="14" t="s">
        <v>77</v>
      </c>
      <c r="BA50" s="15" t="s">
        <v>77</v>
      </c>
      <c r="BC50" s="23" t="s">
        <v>478</v>
      </c>
      <c r="BD50" s="23" t="s">
        <v>479</v>
      </c>
      <c r="BE50" s="23" t="s">
        <v>835</v>
      </c>
      <c r="BF50" s="14" t="s">
        <v>836</v>
      </c>
    </row>
    <row r="51" ht="24" customHeight="1" spans="1:58">
      <c r="A51" s="14" t="str">
        <f>_xlfn.DISPIMG("ID_A90EAF69812E4873895CD165DA1AE665",1)</f>
        <v>=DISPIMG("ID_A90EAF69812E4873895CD165DA1AE665",1)</v>
      </c>
      <c r="B51" s="15" t="s">
        <v>837</v>
      </c>
      <c r="C51" s="15" t="s">
        <v>838</v>
      </c>
      <c r="D51" s="15" t="s">
        <v>839</v>
      </c>
      <c r="E51" s="15" t="s">
        <v>840</v>
      </c>
      <c r="F51" s="15" t="s">
        <v>841</v>
      </c>
      <c r="G51" s="15" t="s">
        <v>842</v>
      </c>
      <c r="H51" s="15" t="s">
        <v>843</v>
      </c>
      <c r="I51" s="15" t="s">
        <v>844</v>
      </c>
      <c r="J51" s="15" t="s">
        <v>845</v>
      </c>
      <c r="K51" s="15" t="s">
        <v>65</v>
      </c>
      <c r="L51" s="15" t="s">
        <v>66</v>
      </c>
      <c r="M51" s="18">
        <v>33127</v>
      </c>
      <c r="N51" s="18">
        <v>8380</v>
      </c>
      <c r="O51" s="19">
        <v>0.1639</v>
      </c>
      <c r="P51" s="20" t="s">
        <v>92</v>
      </c>
      <c r="Q51" s="22" t="s">
        <v>846</v>
      </c>
      <c r="R51" s="18">
        <v>1287</v>
      </c>
      <c r="S51" s="19">
        <v>-0.1947</v>
      </c>
      <c r="T51" s="18">
        <v>33449.13</v>
      </c>
      <c r="U51" s="23" t="s">
        <v>77</v>
      </c>
      <c r="V51" s="18" t="s">
        <v>77</v>
      </c>
      <c r="W51" s="24">
        <v>40</v>
      </c>
      <c r="X51" s="25">
        <v>25.99</v>
      </c>
      <c r="Z51" s="23" t="s">
        <v>847</v>
      </c>
      <c r="AA51" s="18">
        <v>8</v>
      </c>
      <c r="AB51" s="24">
        <v>6019</v>
      </c>
      <c r="AC51" s="18">
        <v>42</v>
      </c>
      <c r="AD51" s="28">
        <v>4.4</v>
      </c>
      <c r="AE51" s="29">
        <v>0.0326</v>
      </c>
      <c r="AF51" s="25">
        <v>6.19</v>
      </c>
      <c r="AG51" s="19">
        <v>0.5618</v>
      </c>
      <c r="AI51" s="14" t="s">
        <v>848</v>
      </c>
      <c r="AJ51" s="24">
        <v>1261</v>
      </c>
      <c r="AK51" s="14" t="s">
        <v>72</v>
      </c>
      <c r="AL51" s="24">
        <v>9.9</v>
      </c>
      <c r="AM51" s="24">
        <v>1</v>
      </c>
      <c r="AN51" s="15" t="s">
        <v>840</v>
      </c>
      <c r="AO51" s="14" t="s">
        <v>72</v>
      </c>
      <c r="AP51" s="14" t="s">
        <v>73</v>
      </c>
      <c r="AQ51" s="15" t="s">
        <v>849</v>
      </c>
      <c r="AR51" s="14" t="s">
        <v>850</v>
      </c>
      <c r="AS51" s="14" t="s">
        <v>77</v>
      </c>
      <c r="AT51" s="14" t="s">
        <v>76</v>
      </c>
      <c r="AU51" s="14" t="s">
        <v>77</v>
      </c>
      <c r="AV51" s="14" t="s">
        <v>76</v>
      </c>
      <c r="AW51" s="14" t="s">
        <v>76</v>
      </c>
      <c r="AX51" s="14" t="s">
        <v>77</v>
      </c>
      <c r="AY51" s="14" t="s">
        <v>76</v>
      </c>
      <c r="AZ51" s="14" t="s">
        <v>77</v>
      </c>
      <c r="BA51" s="15" t="s">
        <v>77</v>
      </c>
      <c r="BB51" s="23" t="s">
        <v>77</v>
      </c>
      <c r="BC51" s="23" t="s">
        <v>851</v>
      </c>
      <c r="BD51" s="23" t="s">
        <v>852</v>
      </c>
      <c r="BE51" s="23" t="s">
        <v>853</v>
      </c>
      <c r="BF51" s="14" t="s">
        <v>854</v>
      </c>
    </row>
    <row r="52" ht="24" customHeight="1" spans="1:58">
      <c r="A52" s="14" t="str">
        <f>_xlfn.DISPIMG("ID_6955D18CF3D44028BA396666831D1AA0",1)</f>
        <v>=DISPIMG("ID_6955D18CF3D44028BA396666831D1AA0",1)</v>
      </c>
      <c r="B52" s="15" t="s">
        <v>855</v>
      </c>
      <c r="C52" s="15" t="s">
        <v>84</v>
      </c>
      <c r="D52" s="15" t="s">
        <v>58</v>
      </c>
      <c r="E52" s="15" t="s">
        <v>186</v>
      </c>
      <c r="F52" s="15" t="s">
        <v>187</v>
      </c>
      <c r="G52" s="15" t="s">
        <v>856</v>
      </c>
      <c r="H52" s="15" t="s">
        <v>857</v>
      </c>
      <c r="I52" s="15" t="s">
        <v>858</v>
      </c>
      <c r="J52" s="15" t="s">
        <v>859</v>
      </c>
      <c r="K52" s="15" t="s">
        <v>65</v>
      </c>
      <c r="L52" s="15" t="s">
        <v>66</v>
      </c>
      <c r="M52" s="18">
        <v>10923</v>
      </c>
      <c r="N52" s="18">
        <v>-1224</v>
      </c>
      <c r="O52" s="19">
        <v>-0.0738</v>
      </c>
      <c r="P52" s="20" t="s">
        <v>67</v>
      </c>
      <c r="Q52" s="22" t="s">
        <v>860</v>
      </c>
      <c r="R52" s="18">
        <v>3738</v>
      </c>
      <c r="S52" s="19">
        <v>-0.3892</v>
      </c>
      <c r="T52" s="18">
        <v>67209.24</v>
      </c>
      <c r="U52" s="23" t="s">
        <v>175</v>
      </c>
      <c r="V52" s="18">
        <v>1798</v>
      </c>
      <c r="W52" s="24">
        <v>80</v>
      </c>
      <c r="X52" s="25">
        <v>17.98</v>
      </c>
      <c r="Z52" s="23" t="s">
        <v>70</v>
      </c>
      <c r="AA52" s="18">
        <v>56</v>
      </c>
      <c r="AB52" s="24">
        <v>13831</v>
      </c>
      <c r="AC52" s="18">
        <v>52</v>
      </c>
      <c r="AD52" s="28">
        <v>4.4</v>
      </c>
      <c r="AE52" s="29">
        <v>0.0139</v>
      </c>
      <c r="AF52" s="25">
        <v>5.46</v>
      </c>
      <c r="AG52" s="19">
        <v>0.4963</v>
      </c>
      <c r="AI52" s="14" t="s">
        <v>861</v>
      </c>
      <c r="AJ52" s="24">
        <v>2398</v>
      </c>
      <c r="AK52" s="14" t="s">
        <v>72</v>
      </c>
      <c r="AL52" s="24">
        <v>9.9</v>
      </c>
      <c r="AM52" s="24">
        <v>1</v>
      </c>
      <c r="AN52" s="15" t="s">
        <v>194</v>
      </c>
      <c r="AO52" s="14" t="s">
        <v>72</v>
      </c>
      <c r="AP52" s="14" t="s">
        <v>73</v>
      </c>
      <c r="AQ52" s="15" t="s">
        <v>195</v>
      </c>
      <c r="AR52" s="14" t="s">
        <v>196</v>
      </c>
      <c r="AS52" s="14" t="s">
        <v>77</v>
      </c>
      <c r="AT52" s="14" t="s">
        <v>76</v>
      </c>
      <c r="AU52" s="14" t="s">
        <v>77</v>
      </c>
      <c r="AV52" s="14" t="s">
        <v>76</v>
      </c>
      <c r="AW52" s="14" t="s">
        <v>76</v>
      </c>
      <c r="AX52" s="14" t="s">
        <v>77</v>
      </c>
      <c r="AY52" s="14" t="s">
        <v>76</v>
      </c>
      <c r="AZ52" s="14" t="s">
        <v>77</v>
      </c>
      <c r="BA52" s="15" t="s">
        <v>77</v>
      </c>
      <c r="BB52" s="23" t="s">
        <v>77</v>
      </c>
      <c r="BC52" s="23" t="s">
        <v>197</v>
      </c>
      <c r="BD52" s="23" t="s">
        <v>198</v>
      </c>
      <c r="BE52" s="23" t="s">
        <v>199</v>
      </c>
      <c r="BF52" s="14" t="s">
        <v>200</v>
      </c>
    </row>
    <row r="53" ht="24" customHeight="1" spans="1:58">
      <c r="A53" s="14" t="str">
        <f>_xlfn.DISPIMG("ID_74D9A24E5FF54C9CA5A8664ECD1FFD95",1)</f>
        <v>=DISPIMG("ID_74D9A24E5FF54C9CA5A8664ECD1FFD95",1)</v>
      </c>
      <c r="B53" s="15" t="s">
        <v>862</v>
      </c>
      <c r="C53" s="15" t="s">
        <v>863</v>
      </c>
      <c r="D53" s="15" t="s">
        <v>864</v>
      </c>
      <c r="E53" s="15" t="s">
        <v>86</v>
      </c>
      <c r="F53" s="15" t="s">
        <v>87</v>
      </c>
      <c r="G53" s="15" t="s">
        <v>865</v>
      </c>
      <c r="H53" s="15" t="s">
        <v>866</v>
      </c>
      <c r="I53" s="15" t="s">
        <v>867</v>
      </c>
      <c r="J53" s="15" t="s">
        <v>868</v>
      </c>
      <c r="K53" s="15" t="s">
        <v>65</v>
      </c>
      <c r="L53" s="15" t="s">
        <v>66</v>
      </c>
      <c r="M53" s="18">
        <v>27486</v>
      </c>
      <c r="N53" s="18">
        <v>10880</v>
      </c>
      <c r="O53" s="19">
        <v>0.3425</v>
      </c>
      <c r="P53" s="20" t="s">
        <v>92</v>
      </c>
      <c r="Q53" s="22" t="s">
        <v>869</v>
      </c>
      <c r="R53" s="18">
        <v>1364</v>
      </c>
      <c r="S53" s="19">
        <v>0.3187</v>
      </c>
      <c r="T53" s="18">
        <v>43648</v>
      </c>
      <c r="U53" s="23" t="s">
        <v>404</v>
      </c>
      <c r="V53" s="18">
        <v>1600</v>
      </c>
      <c r="W53" s="24">
        <v>52</v>
      </c>
      <c r="X53" s="25">
        <v>32</v>
      </c>
      <c r="Z53" s="7"/>
      <c r="AB53" s="24">
        <v>83</v>
      </c>
      <c r="AC53" s="18">
        <v>13</v>
      </c>
      <c r="AD53" s="28">
        <v>4.6</v>
      </c>
      <c r="AE53" s="29">
        <v>0.0095</v>
      </c>
      <c r="AF53" s="25">
        <v>7.04</v>
      </c>
      <c r="AG53" s="19">
        <v>0.58</v>
      </c>
      <c r="AI53" s="14" t="s">
        <v>870</v>
      </c>
      <c r="AJ53" s="24">
        <v>205</v>
      </c>
      <c r="AK53" s="14" t="s">
        <v>72</v>
      </c>
      <c r="AL53" s="24">
        <v>9.6</v>
      </c>
      <c r="AM53" s="24">
        <v>1</v>
      </c>
      <c r="AN53" s="15" t="s">
        <v>86</v>
      </c>
      <c r="AO53" s="14" t="s">
        <v>72</v>
      </c>
      <c r="AP53" s="14" t="s">
        <v>73</v>
      </c>
      <c r="AQ53" s="15" t="s">
        <v>96</v>
      </c>
      <c r="AR53" s="14" t="s">
        <v>97</v>
      </c>
      <c r="AS53" s="14" t="s">
        <v>77</v>
      </c>
      <c r="AT53" s="14" t="s">
        <v>77</v>
      </c>
      <c r="AU53" s="14" t="s">
        <v>77</v>
      </c>
      <c r="AV53" s="14" t="s">
        <v>77</v>
      </c>
      <c r="AW53" s="14" t="s">
        <v>77</v>
      </c>
      <c r="AX53" s="14" t="s">
        <v>77</v>
      </c>
      <c r="AY53" s="14" t="s">
        <v>77</v>
      </c>
      <c r="AZ53" s="14" t="s">
        <v>77</v>
      </c>
      <c r="BA53" s="15" t="s">
        <v>77</v>
      </c>
      <c r="BC53" s="23" t="s">
        <v>871</v>
      </c>
      <c r="BD53" s="23" t="s">
        <v>872</v>
      </c>
      <c r="BE53" s="23" t="s">
        <v>873</v>
      </c>
      <c r="BF53" s="14" t="s">
        <v>874</v>
      </c>
    </row>
    <row r="54" ht="24" customHeight="1" spans="1:58">
      <c r="A54" s="14" t="str">
        <f>_xlfn.DISPIMG("ID_2A66E4CA6ECD48899AF92A9BFE37125E",1)</f>
        <v>=DISPIMG("ID_2A66E4CA6ECD48899AF92A9BFE37125E",1)</v>
      </c>
      <c r="B54" s="15" t="s">
        <v>875</v>
      </c>
      <c r="C54" s="15" t="s">
        <v>876</v>
      </c>
      <c r="D54" s="15" t="s">
        <v>748</v>
      </c>
      <c r="E54" s="15" t="s">
        <v>324</v>
      </c>
      <c r="F54" s="15" t="s">
        <v>325</v>
      </c>
      <c r="G54" s="15" t="s">
        <v>877</v>
      </c>
      <c r="H54" s="15" t="s">
        <v>878</v>
      </c>
      <c r="I54" s="15" t="s">
        <v>879</v>
      </c>
      <c r="J54" s="15" t="s">
        <v>880</v>
      </c>
      <c r="K54" s="15" t="s">
        <v>65</v>
      </c>
      <c r="L54" s="15" t="s">
        <v>66</v>
      </c>
      <c r="M54" s="18">
        <v>28983</v>
      </c>
      <c r="N54" s="18">
        <v>7140</v>
      </c>
      <c r="O54" s="19">
        <v>0.1822</v>
      </c>
      <c r="P54" s="20" t="s">
        <v>67</v>
      </c>
      <c r="Q54" s="22" t="s">
        <v>881</v>
      </c>
      <c r="R54" s="18">
        <v>2523</v>
      </c>
      <c r="S54" s="19">
        <v>-0.1632</v>
      </c>
      <c r="T54" s="18">
        <v>63049.77</v>
      </c>
      <c r="U54" s="23" t="s">
        <v>77</v>
      </c>
      <c r="V54" s="18" t="s">
        <v>77</v>
      </c>
      <c r="W54" s="24">
        <v>109</v>
      </c>
      <c r="X54" s="25">
        <v>24.99</v>
      </c>
      <c r="Z54" s="7"/>
      <c r="AA54" s="18">
        <v>125</v>
      </c>
      <c r="AB54" s="24">
        <v>13689</v>
      </c>
      <c r="AC54" s="18">
        <v>30</v>
      </c>
      <c r="AD54" s="28">
        <v>4.2</v>
      </c>
      <c r="AE54" s="29">
        <v>0.0119</v>
      </c>
      <c r="AF54" s="25">
        <v>6.1</v>
      </c>
      <c r="AG54" s="19">
        <v>0.5559</v>
      </c>
      <c r="AI54" s="14" t="s">
        <v>882</v>
      </c>
      <c r="AJ54" s="24">
        <v>2969</v>
      </c>
      <c r="AK54" s="14" t="s">
        <v>72</v>
      </c>
      <c r="AL54" s="24">
        <v>9.4</v>
      </c>
      <c r="AM54" s="24">
        <v>1</v>
      </c>
      <c r="AN54" s="15" t="s">
        <v>332</v>
      </c>
      <c r="AO54" s="14" t="s">
        <v>72</v>
      </c>
      <c r="AP54" s="14" t="s">
        <v>73</v>
      </c>
      <c r="AQ54" s="15" t="s">
        <v>333</v>
      </c>
      <c r="AR54" s="14" t="s">
        <v>334</v>
      </c>
      <c r="AS54" s="14" t="s">
        <v>77</v>
      </c>
      <c r="AT54" s="14" t="s">
        <v>77</v>
      </c>
      <c r="AU54" s="14" t="s">
        <v>77</v>
      </c>
      <c r="AV54" s="14" t="s">
        <v>76</v>
      </c>
      <c r="AW54" s="14" t="s">
        <v>76</v>
      </c>
      <c r="AX54" s="14" t="s">
        <v>77</v>
      </c>
      <c r="AY54" s="14" t="s">
        <v>76</v>
      </c>
      <c r="AZ54" s="14" t="s">
        <v>77</v>
      </c>
      <c r="BA54" s="15" t="s">
        <v>77</v>
      </c>
      <c r="BC54" s="23" t="s">
        <v>818</v>
      </c>
      <c r="BD54" s="23" t="s">
        <v>819</v>
      </c>
      <c r="BE54" s="23" t="s">
        <v>338</v>
      </c>
      <c r="BF54" s="14" t="s">
        <v>339</v>
      </c>
    </row>
    <row r="55" ht="24" customHeight="1" spans="1:58">
      <c r="A55" s="14" t="str">
        <f>_xlfn.DISPIMG("ID_114E935E1E0640C9AA06AAEE4AE2BD9C",1)</f>
        <v>=DISPIMG("ID_114E935E1E0640C9AA06AAEE4AE2BD9C",1)</v>
      </c>
      <c r="B55" s="15" t="s">
        <v>883</v>
      </c>
      <c r="C55" s="15" t="s">
        <v>84</v>
      </c>
      <c r="D55" s="15" t="s">
        <v>884</v>
      </c>
      <c r="E55" s="15" t="s">
        <v>885</v>
      </c>
      <c r="F55" s="15" t="s">
        <v>886</v>
      </c>
      <c r="G55" s="15" t="s">
        <v>887</v>
      </c>
      <c r="H55" s="15" t="s">
        <v>888</v>
      </c>
      <c r="I55" s="15" t="s">
        <v>889</v>
      </c>
      <c r="J55" s="15" t="s">
        <v>890</v>
      </c>
      <c r="K55" s="15" t="s">
        <v>65</v>
      </c>
      <c r="L55" s="15" t="s">
        <v>66</v>
      </c>
      <c r="M55" s="18">
        <v>31156</v>
      </c>
      <c r="N55" s="18">
        <v>12505</v>
      </c>
      <c r="O55" s="19">
        <v>0.3316</v>
      </c>
      <c r="P55" s="20" t="s">
        <v>108</v>
      </c>
      <c r="Q55" s="22" t="s">
        <v>891</v>
      </c>
      <c r="R55" s="18">
        <v>1916</v>
      </c>
      <c r="S55" s="19">
        <v>-0.1372</v>
      </c>
      <c r="T55" s="18">
        <v>34449.68</v>
      </c>
      <c r="U55" s="23" t="s">
        <v>404</v>
      </c>
      <c r="V55" s="18">
        <v>1798</v>
      </c>
      <c r="W55" s="24">
        <v>107</v>
      </c>
      <c r="X55" s="25">
        <v>17.98</v>
      </c>
      <c r="Z55" s="23" t="s">
        <v>349</v>
      </c>
      <c r="AA55" s="18">
        <v>12</v>
      </c>
      <c r="AB55" s="24">
        <v>3988</v>
      </c>
      <c r="AC55" s="18">
        <v>22</v>
      </c>
      <c r="AD55" s="28">
        <v>4.4</v>
      </c>
      <c r="AE55" s="29">
        <v>0.0115</v>
      </c>
      <c r="AF55" s="25">
        <v>3.6</v>
      </c>
      <c r="AG55" s="19">
        <v>0.5998</v>
      </c>
      <c r="AI55" s="14" t="s">
        <v>892</v>
      </c>
      <c r="AJ55" s="24">
        <v>2630</v>
      </c>
      <c r="AK55" s="14" t="s">
        <v>72</v>
      </c>
      <c r="AL55" s="24">
        <v>9</v>
      </c>
      <c r="AM55" s="24">
        <v>1</v>
      </c>
      <c r="AN55" s="15" t="s">
        <v>885</v>
      </c>
      <c r="AO55" s="14" t="s">
        <v>72</v>
      </c>
      <c r="AP55" s="14" t="s">
        <v>73</v>
      </c>
      <c r="AQ55" s="15" t="s">
        <v>893</v>
      </c>
      <c r="AR55" s="14" t="s">
        <v>894</v>
      </c>
      <c r="AS55" s="14" t="s">
        <v>77</v>
      </c>
      <c r="AT55" s="14" t="s">
        <v>76</v>
      </c>
      <c r="AU55" s="14" t="s">
        <v>77</v>
      </c>
      <c r="AV55" s="14" t="s">
        <v>76</v>
      </c>
      <c r="AW55" s="14" t="s">
        <v>76</v>
      </c>
      <c r="AX55" s="14" t="s">
        <v>77</v>
      </c>
      <c r="AY55" s="14" t="s">
        <v>76</v>
      </c>
      <c r="AZ55" s="14" t="s">
        <v>77</v>
      </c>
      <c r="BA55" s="15" t="s">
        <v>77</v>
      </c>
      <c r="BB55" s="23" t="s">
        <v>895</v>
      </c>
      <c r="BC55" s="23" t="s">
        <v>300</v>
      </c>
      <c r="BD55" s="23" t="s">
        <v>301</v>
      </c>
      <c r="BE55" s="23" t="s">
        <v>896</v>
      </c>
      <c r="BF55" s="14" t="s">
        <v>897</v>
      </c>
    </row>
    <row r="56" ht="24" customHeight="1" spans="1:58">
      <c r="A56" s="14" t="str">
        <f>_xlfn.DISPIMG("ID_2B64FE28BF9E41E39D337D08DA7C2AA0",1)</f>
        <v>=DISPIMG("ID_2B64FE28BF9E41E39D337D08DA7C2AA0",1)</v>
      </c>
      <c r="B56" s="15" t="s">
        <v>898</v>
      </c>
      <c r="C56" s="15" t="s">
        <v>899</v>
      </c>
      <c r="D56" s="15" t="s">
        <v>748</v>
      </c>
      <c r="E56" s="15" t="s">
        <v>749</v>
      </c>
      <c r="F56" s="15" t="s">
        <v>750</v>
      </c>
      <c r="G56" s="15" t="s">
        <v>900</v>
      </c>
      <c r="H56" s="15" t="s">
        <v>901</v>
      </c>
      <c r="I56" s="15" t="s">
        <v>902</v>
      </c>
      <c r="J56" s="15" t="s">
        <v>903</v>
      </c>
      <c r="K56" s="15" t="s">
        <v>65</v>
      </c>
      <c r="L56" s="15" t="s">
        <v>66</v>
      </c>
      <c r="M56" s="18">
        <v>31660</v>
      </c>
      <c r="N56" s="18">
        <v>1458</v>
      </c>
      <c r="O56" s="19">
        <v>0.044</v>
      </c>
      <c r="P56" s="20" t="s">
        <v>108</v>
      </c>
      <c r="Q56" s="22" t="s">
        <v>904</v>
      </c>
      <c r="R56" s="18">
        <v>1047</v>
      </c>
      <c r="S56" s="19">
        <v>-0.2802</v>
      </c>
      <c r="T56" s="18">
        <v>34540.53</v>
      </c>
      <c r="U56" s="23" t="s">
        <v>175</v>
      </c>
      <c r="V56" s="18">
        <v>3299</v>
      </c>
      <c r="W56" s="24">
        <v>80</v>
      </c>
      <c r="X56" s="25">
        <v>32.99</v>
      </c>
      <c r="Z56" s="7"/>
      <c r="AA56" s="18">
        <v>7</v>
      </c>
      <c r="AB56" s="24">
        <v>807</v>
      </c>
      <c r="AC56" s="18">
        <v>35</v>
      </c>
      <c r="AD56" s="28">
        <v>4.3</v>
      </c>
      <c r="AE56" s="29">
        <v>0.0334</v>
      </c>
      <c r="AF56" s="25">
        <v>6.27</v>
      </c>
      <c r="AG56" s="19">
        <v>0.6099</v>
      </c>
      <c r="AI56" s="14" t="s">
        <v>905</v>
      </c>
      <c r="AJ56" s="24">
        <v>543</v>
      </c>
      <c r="AK56" s="14" t="s">
        <v>72</v>
      </c>
      <c r="AL56" s="24">
        <v>9.8</v>
      </c>
      <c r="AM56" s="24">
        <v>1</v>
      </c>
      <c r="AN56" s="15" t="s">
        <v>749</v>
      </c>
      <c r="AO56" s="14" t="s">
        <v>72</v>
      </c>
      <c r="AP56" s="14" t="s">
        <v>420</v>
      </c>
      <c r="AQ56" s="15" t="s">
        <v>757</v>
      </c>
      <c r="AR56" s="14" t="s">
        <v>758</v>
      </c>
      <c r="AS56" s="14" t="s">
        <v>77</v>
      </c>
      <c r="AT56" s="14" t="s">
        <v>77</v>
      </c>
      <c r="AU56" s="14" t="s">
        <v>77</v>
      </c>
      <c r="AV56" s="14" t="s">
        <v>76</v>
      </c>
      <c r="AW56" s="14" t="s">
        <v>76</v>
      </c>
      <c r="AX56" s="14" t="s">
        <v>77</v>
      </c>
      <c r="AY56" s="14" t="s">
        <v>76</v>
      </c>
      <c r="AZ56" s="14" t="s">
        <v>77</v>
      </c>
      <c r="BA56" s="15" t="s">
        <v>77</v>
      </c>
      <c r="BC56" s="23" t="s">
        <v>906</v>
      </c>
      <c r="BD56" s="23" t="s">
        <v>907</v>
      </c>
      <c r="BE56" s="23" t="s">
        <v>908</v>
      </c>
      <c r="BF56" s="14" t="s">
        <v>909</v>
      </c>
    </row>
    <row r="57" ht="24" customHeight="1" spans="1:58">
      <c r="A57" s="14" t="str">
        <f>_xlfn.DISPIMG("ID_A361270D57BD4D3194FAABC14477E4B5",1)</f>
        <v>=DISPIMG("ID_A361270D57BD4D3194FAABC14477E4B5",1)</v>
      </c>
      <c r="B57" s="15" t="s">
        <v>910</v>
      </c>
      <c r="C57" s="15" t="s">
        <v>911</v>
      </c>
      <c r="D57" s="15" t="s">
        <v>912</v>
      </c>
      <c r="E57" s="15" t="s">
        <v>913</v>
      </c>
      <c r="F57" s="15" t="s">
        <v>914</v>
      </c>
      <c r="G57" s="15" t="s">
        <v>915</v>
      </c>
      <c r="H57" s="15" t="s">
        <v>916</v>
      </c>
      <c r="I57" s="15" t="s">
        <v>917</v>
      </c>
      <c r="J57" s="15" t="s">
        <v>918</v>
      </c>
      <c r="K57" s="15" t="s">
        <v>65</v>
      </c>
      <c r="L57" s="15" t="s">
        <v>66</v>
      </c>
      <c r="M57" s="18">
        <v>28649</v>
      </c>
      <c r="N57" s="18">
        <v>9688</v>
      </c>
      <c r="O57" s="19">
        <v>0.2501</v>
      </c>
      <c r="P57" s="20" t="s">
        <v>67</v>
      </c>
      <c r="Q57" s="22" t="s">
        <v>919</v>
      </c>
      <c r="R57" s="18">
        <v>1183</v>
      </c>
      <c r="S57" s="19">
        <v>0.0563</v>
      </c>
      <c r="T57" s="18">
        <v>30746.17</v>
      </c>
      <c r="U57" s="23" t="s">
        <v>404</v>
      </c>
      <c r="V57" s="18">
        <v>1299.5</v>
      </c>
      <c r="W57" s="24">
        <v>56</v>
      </c>
      <c r="X57" s="25">
        <v>25.99</v>
      </c>
      <c r="Z57" s="23" t="s">
        <v>847</v>
      </c>
      <c r="AA57" s="18">
        <v>25</v>
      </c>
      <c r="AB57" s="24">
        <v>8820</v>
      </c>
      <c r="AC57" s="18">
        <v>14</v>
      </c>
      <c r="AD57" s="28">
        <v>4.3</v>
      </c>
      <c r="AE57" s="29">
        <v>0.0118</v>
      </c>
      <c r="AF57" s="25">
        <v>6.19</v>
      </c>
      <c r="AG57" s="19">
        <v>0.5618</v>
      </c>
      <c r="AI57" s="14" t="s">
        <v>418</v>
      </c>
      <c r="AJ57" s="24">
        <v>1710</v>
      </c>
      <c r="AK57" s="14" t="s">
        <v>72</v>
      </c>
      <c r="AL57" s="24">
        <v>9.9</v>
      </c>
      <c r="AM57" s="24">
        <v>1</v>
      </c>
      <c r="AN57" s="15" t="s">
        <v>920</v>
      </c>
      <c r="AO57" s="14" t="s">
        <v>72</v>
      </c>
      <c r="AP57" s="14" t="s">
        <v>73</v>
      </c>
      <c r="AQ57" s="15" t="s">
        <v>921</v>
      </c>
      <c r="AR57" s="14" t="s">
        <v>922</v>
      </c>
      <c r="AS57" s="14" t="s">
        <v>77</v>
      </c>
      <c r="AT57" s="14" t="s">
        <v>76</v>
      </c>
      <c r="AU57" s="14" t="s">
        <v>77</v>
      </c>
      <c r="AV57" s="14" t="s">
        <v>76</v>
      </c>
      <c r="AW57" s="14" t="s">
        <v>76</v>
      </c>
      <c r="AX57" s="14" t="s">
        <v>77</v>
      </c>
      <c r="AY57" s="14" t="s">
        <v>76</v>
      </c>
      <c r="AZ57" s="14" t="s">
        <v>77</v>
      </c>
      <c r="BA57" s="15" t="s">
        <v>77</v>
      </c>
      <c r="BB57" s="23" t="s">
        <v>77</v>
      </c>
      <c r="BC57" s="23" t="s">
        <v>923</v>
      </c>
      <c r="BD57" s="23" t="s">
        <v>924</v>
      </c>
      <c r="BE57" s="23" t="s">
        <v>925</v>
      </c>
      <c r="BF57" s="14" t="s">
        <v>926</v>
      </c>
    </row>
    <row r="58" ht="24" customHeight="1" spans="1:58">
      <c r="A58" s="14" t="str">
        <f>_xlfn.DISPIMG("ID_D3C94C84644C477E80B4501FE685377A",1)</f>
        <v>=DISPIMG("ID_D3C94C84644C477E80B4501FE685377A",1)</v>
      </c>
      <c r="B58" s="15" t="s">
        <v>927</v>
      </c>
      <c r="C58" s="15" t="s">
        <v>928</v>
      </c>
      <c r="D58" s="15" t="s">
        <v>929</v>
      </c>
      <c r="E58" s="15" t="s">
        <v>324</v>
      </c>
      <c r="F58" s="15" t="s">
        <v>325</v>
      </c>
      <c r="G58" s="15" t="s">
        <v>930</v>
      </c>
      <c r="H58" s="15" t="s">
        <v>931</v>
      </c>
      <c r="I58" s="15" t="s">
        <v>932</v>
      </c>
      <c r="J58" s="15" t="s">
        <v>933</v>
      </c>
      <c r="K58" s="15" t="s">
        <v>65</v>
      </c>
      <c r="L58" s="15" t="s">
        <v>66</v>
      </c>
      <c r="M58" s="18">
        <v>31992</v>
      </c>
      <c r="N58" s="18">
        <v>20555</v>
      </c>
      <c r="O58" s="19">
        <v>0.4344</v>
      </c>
      <c r="P58" s="20" t="s">
        <v>92</v>
      </c>
      <c r="Q58" s="22" t="s">
        <v>934</v>
      </c>
      <c r="R58" s="18">
        <v>1203</v>
      </c>
      <c r="S58" s="19">
        <v>-0.3268</v>
      </c>
      <c r="T58" s="18">
        <v>28859.969</v>
      </c>
      <c r="U58" s="23" t="s">
        <v>404</v>
      </c>
      <c r="V58" s="18">
        <v>1199.5</v>
      </c>
      <c r="W58" s="24">
        <v>55</v>
      </c>
      <c r="X58" s="25">
        <v>23.99</v>
      </c>
      <c r="Z58" s="7"/>
      <c r="AA58" s="18">
        <v>31</v>
      </c>
      <c r="AB58" s="24">
        <v>5609</v>
      </c>
      <c r="AC58" s="18">
        <v>25</v>
      </c>
      <c r="AD58" s="28">
        <v>4.2</v>
      </c>
      <c r="AE58" s="29">
        <v>0.0208</v>
      </c>
      <c r="AF58" s="25">
        <v>6.19</v>
      </c>
      <c r="AG58" s="19">
        <v>0.542</v>
      </c>
      <c r="AI58" s="14" t="s">
        <v>935</v>
      </c>
      <c r="AJ58" s="24">
        <v>2327</v>
      </c>
      <c r="AK58" s="14" t="s">
        <v>72</v>
      </c>
      <c r="AL58" s="24">
        <v>10</v>
      </c>
      <c r="AM58" s="24">
        <v>1</v>
      </c>
      <c r="AN58" s="15" t="s">
        <v>332</v>
      </c>
      <c r="AO58" s="14" t="s">
        <v>72</v>
      </c>
      <c r="AP58" s="14" t="s">
        <v>73</v>
      </c>
      <c r="AQ58" s="15" t="s">
        <v>333</v>
      </c>
      <c r="AR58" s="14" t="s">
        <v>334</v>
      </c>
      <c r="AS58" s="14" t="s">
        <v>77</v>
      </c>
      <c r="AT58" s="14" t="s">
        <v>77</v>
      </c>
      <c r="AU58" s="14" t="s">
        <v>77</v>
      </c>
      <c r="AV58" s="14" t="s">
        <v>76</v>
      </c>
      <c r="AW58" s="14" t="s">
        <v>76</v>
      </c>
      <c r="AX58" s="14" t="s">
        <v>77</v>
      </c>
      <c r="AY58" s="14" t="s">
        <v>76</v>
      </c>
      <c r="AZ58" s="14" t="s">
        <v>77</v>
      </c>
      <c r="BA58" s="15" t="s">
        <v>77</v>
      </c>
      <c r="BC58" s="23" t="s">
        <v>936</v>
      </c>
      <c r="BD58" s="23" t="s">
        <v>937</v>
      </c>
      <c r="BE58" s="23" t="s">
        <v>699</v>
      </c>
      <c r="BF58" s="14" t="s">
        <v>700</v>
      </c>
    </row>
    <row r="59" ht="24" customHeight="1" spans="1:58">
      <c r="A59" s="14" t="str">
        <f>_xlfn.DISPIMG("ID_BD607D28220D4CF8924E7241B1379882",1)</f>
        <v>=DISPIMG("ID_BD607D28220D4CF8924E7241B1379882",1)</v>
      </c>
      <c r="B59" s="15" t="s">
        <v>938</v>
      </c>
      <c r="C59" s="15" t="s">
        <v>939</v>
      </c>
      <c r="D59" s="15" t="s">
        <v>940</v>
      </c>
      <c r="E59" s="15" t="s">
        <v>149</v>
      </c>
      <c r="F59" s="15" t="s">
        <v>150</v>
      </c>
      <c r="G59" s="15" t="s">
        <v>941</v>
      </c>
      <c r="H59" s="15" t="s">
        <v>942</v>
      </c>
      <c r="I59" s="15" t="s">
        <v>943</v>
      </c>
      <c r="J59" s="15" t="s">
        <v>944</v>
      </c>
      <c r="K59" s="15" t="s">
        <v>65</v>
      </c>
      <c r="L59" s="15" t="s">
        <v>66</v>
      </c>
      <c r="M59" s="18">
        <v>32680</v>
      </c>
      <c r="N59" s="18">
        <v>-1025</v>
      </c>
      <c r="O59" s="19">
        <v>-0.0324</v>
      </c>
      <c r="P59" s="20" t="s">
        <v>108</v>
      </c>
      <c r="Q59" s="22" t="s">
        <v>945</v>
      </c>
      <c r="R59" s="18">
        <v>1772</v>
      </c>
      <c r="S59" s="19">
        <v>-0.1283</v>
      </c>
      <c r="T59" s="18">
        <v>40543.36</v>
      </c>
      <c r="U59" s="23" t="s">
        <v>77</v>
      </c>
      <c r="V59" s="18" t="s">
        <v>77</v>
      </c>
      <c r="W59" s="24">
        <v>81</v>
      </c>
      <c r="X59" s="25">
        <v>22.88</v>
      </c>
      <c r="Y59" s="25">
        <v>19.91</v>
      </c>
      <c r="Z59" s="7"/>
      <c r="AA59" s="18">
        <v>7</v>
      </c>
      <c r="AB59" s="24">
        <v>535</v>
      </c>
      <c r="AC59" s="18">
        <v>15</v>
      </c>
      <c r="AD59" s="28">
        <v>4.3</v>
      </c>
      <c r="AE59" s="29">
        <v>0.0085</v>
      </c>
      <c r="AF59" s="25">
        <v>5</v>
      </c>
      <c r="AG59" s="19">
        <v>0.5815</v>
      </c>
      <c r="AI59" s="14" t="s">
        <v>946</v>
      </c>
      <c r="AJ59" s="24">
        <v>974</v>
      </c>
      <c r="AK59" s="14" t="s">
        <v>72</v>
      </c>
      <c r="AL59" s="24">
        <v>9.6</v>
      </c>
      <c r="AM59" s="24">
        <v>1</v>
      </c>
      <c r="AN59" s="15" t="s">
        <v>158</v>
      </c>
      <c r="AO59" s="14" t="s">
        <v>72</v>
      </c>
      <c r="AP59" s="14" t="s">
        <v>73</v>
      </c>
      <c r="AQ59" s="15" t="s">
        <v>159</v>
      </c>
      <c r="AR59" s="14" t="s">
        <v>160</v>
      </c>
      <c r="AS59" s="14" t="s">
        <v>77</v>
      </c>
      <c r="AT59" s="14" t="s">
        <v>77</v>
      </c>
      <c r="AU59" s="14" t="s">
        <v>77</v>
      </c>
      <c r="AV59" s="14" t="s">
        <v>76</v>
      </c>
      <c r="AW59" s="14" t="s">
        <v>77</v>
      </c>
      <c r="AX59" s="14" t="s">
        <v>77</v>
      </c>
      <c r="AY59" s="14" t="s">
        <v>76</v>
      </c>
      <c r="AZ59" s="14" t="s">
        <v>77</v>
      </c>
      <c r="BA59" s="15" t="s">
        <v>77</v>
      </c>
      <c r="BD59" s="23" t="s">
        <v>77</v>
      </c>
      <c r="BF59" s="14" t="s">
        <v>77</v>
      </c>
    </row>
    <row r="60" ht="24" customHeight="1" spans="1:58">
      <c r="A60" s="14" t="str">
        <f>_xlfn.DISPIMG("ID_B57407B1FFB1448A9F193090A7D94183",1)</f>
        <v>=DISPIMG("ID_B57407B1FFB1448A9F193090A7D94183",1)</v>
      </c>
      <c r="B60" s="15" t="s">
        <v>947</v>
      </c>
      <c r="C60" s="15" t="s">
        <v>948</v>
      </c>
      <c r="D60" s="15" t="s">
        <v>949</v>
      </c>
      <c r="E60" s="15" t="s">
        <v>704</v>
      </c>
      <c r="F60" s="15" t="s">
        <v>705</v>
      </c>
      <c r="G60" s="15" t="s">
        <v>950</v>
      </c>
      <c r="H60" s="15" t="s">
        <v>951</v>
      </c>
      <c r="I60" s="15" t="s">
        <v>952</v>
      </c>
      <c r="J60" s="15" t="s">
        <v>953</v>
      </c>
      <c r="K60" s="15" t="s">
        <v>65</v>
      </c>
      <c r="L60" s="15" t="s">
        <v>66</v>
      </c>
      <c r="M60" s="18">
        <v>31512</v>
      </c>
      <c r="N60" s="18">
        <v>25586</v>
      </c>
      <c r="O60" s="19">
        <v>0.4005</v>
      </c>
      <c r="P60" s="20" t="s">
        <v>92</v>
      </c>
      <c r="Q60" s="22" t="s">
        <v>954</v>
      </c>
      <c r="R60" s="18">
        <v>1075</v>
      </c>
      <c r="S60" s="19">
        <v>-0.0505</v>
      </c>
      <c r="T60" s="18">
        <v>21274.252</v>
      </c>
      <c r="U60" s="23" t="s">
        <v>77</v>
      </c>
      <c r="V60" s="18" t="s">
        <v>77</v>
      </c>
      <c r="W60" s="24">
        <v>45</v>
      </c>
      <c r="X60" s="25">
        <v>19.8</v>
      </c>
      <c r="Z60" s="7"/>
      <c r="AB60" s="24">
        <v>115</v>
      </c>
      <c r="AC60" s="18">
        <v>13</v>
      </c>
      <c r="AD60" s="28">
        <v>4.6</v>
      </c>
      <c r="AE60" s="29">
        <v>0.0121</v>
      </c>
      <c r="AF60" s="25">
        <v>6.27</v>
      </c>
      <c r="AG60" s="19">
        <v>0.4832</v>
      </c>
      <c r="AI60" s="14" t="s">
        <v>955</v>
      </c>
      <c r="AJ60" s="24">
        <v>297</v>
      </c>
      <c r="AK60" s="14" t="s">
        <v>636</v>
      </c>
      <c r="AL60" s="24">
        <v>6.1</v>
      </c>
      <c r="AM60" s="24">
        <v>2</v>
      </c>
      <c r="AN60" s="15" t="s">
        <v>637</v>
      </c>
      <c r="AO60" s="14" t="s">
        <v>636</v>
      </c>
      <c r="AP60" s="14" t="s">
        <v>77</v>
      </c>
      <c r="AQ60" s="15" t="s">
        <v>77</v>
      </c>
      <c r="AR60" s="14" t="s">
        <v>77</v>
      </c>
      <c r="AS60" s="14" t="s">
        <v>77</v>
      </c>
      <c r="AT60" s="14" t="s">
        <v>77</v>
      </c>
      <c r="AU60" s="14" t="s">
        <v>77</v>
      </c>
      <c r="AV60" s="14" t="s">
        <v>76</v>
      </c>
      <c r="AW60" s="14" t="s">
        <v>77</v>
      </c>
      <c r="AX60" s="14" t="s">
        <v>77</v>
      </c>
      <c r="AY60" s="14" t="s">
        <v>77</v>
      </c>
      <c r="AZ60" s="14" t="s">
        <v>77</v>
      </c>
      <c r="BA60" s="15" t="s">
        <v>77</v>
      </c>
      <c r="BC60" s="23" t="s">
        <v>111</v>
      </c>
      <c r="BD60" s="23" t="s">
        <v>112</v>
      </c>
      <c r="BE60" s="23" t="s">
        <v>956</v>
      </c>
      <c r="BF60" s="14" t="s">
        <v>957</v>
      </c>
    </row>
    <row r="61" ht="24" customHeight="1" spans="1:58">
      <c r="A61" s="14" t="str">
        <f>_xlfn.DISPIMG("ID_ADF03360FCB54C9B8CFB360EEFDD0F7C",1)</f>
        <v>=DISPIMG("ID_ADF03360FCB54C9B8CFB360EEFDD0F7C",1)</v>
      </c>
      <c r="B61" s="15" t="s">
        <v>958</v>
      </c>
      <c r="C61" s="15" t="s">
        <v>959</v>
      </c>
      <c r="D61" s="15" t="s">
        <v>960</v>
      </c>
      <c r="E61" s="15" t="s">
        <v>235</v>
      </c>
      <c r="F61" s="15" t="s">
        <v>236</v>
      </c>
      <c r="G61" s="15" t="s">
        <v>961</v>
      </c>
      <c r="H61" s="15" t="s">
        <v>962</v>
      </c>
      <c r="I61" s="15" t="s">
        <v>963</v>
      </c>
      <c r="J61" s="15" t="s">
        <v>964</v>
      </c>
      <c r="K61" s="15" t="s">
        <v>65</v>
      </c>
      <c r="L61" s="15" t="s">
        <v>66</v>
      </c>
      <c r="M61" s="18">
        <v>15968</v>
      </c>
      <c r="N61" s="18">
        <v>2350</v>
      </c>
      <c r="O61" s="19">
        <v>0.1262</v>
      </c>
      <c r="P61" s="20" t="s">
        <v>92</v>
      </c>
      <c r="Q61" s="22" t="s">
        <v>965</v>
      </c>
      <c r="R61" s="18">
        <v>3437</v>
      </c>
      <c r="S61" s="19">
        <v>-0.1597</v>
      </c>
      <c r="T61" s="18">
        <v>85890.63</v>
      </c>
      <c r="U61" s="23" t="s">
        <v>175</v>
      </c>
      <c r="V61" s="18">
        <v>2499</v>
      </c>
      <c r="W61" s="24">
        <v>83</v>
      </c>
      <c r="X61" s="25">
        <v>24.99</v>
      </c>
      <c r="Z61" s="23" t="s">
        <v>966</v>
      </c>
      <c r="AA61" s="18">
        <v>13</v>
      </c>
      <c r="AB61" s="24">
        <v>1570</v>
      </c>
      <c r="AC61" s="18">
        <v>34</v>
      </c>
      <c r="AD61" s="28">
        <v>4.6</v>
      </c>
      <c r="AE61" s="29">
        <v>0.0099</v>
      </c>
      <c r="AF61" s="25">
        <v>5.46</v>
      </c>
      <c r="AG61" s="19">
        <v>0.5815</v>
      </c>
      <c r="AI61" s="14" t="s">
        <v>967</v>
      </c>
      <c r="AJ61" s="24">
        <v>932</v>
      </c>
      <c r="AK61" s="14" t="s">
        <v>72</v>
      </c>
      <c r="AL61" s="24">
        <v>8.4</v>
      </c>
      <c r="AM61" s="24">
        <v>1</v>
      </c>
      <c r="AN61" s="15" t="s">
        <v>235</v>
      </c>
      <c r="AO61" s="14" t="s">
        <v>72</v>
      </c>
      <c r="AP61" s="14" t="s">
        <v>73</v>
      </c>
      <c r="AQ61" s="15" t="s">
        <v>243</v>
      </c>
      <c r="AR61" s="14" t="s">
        <v>244</v>
      </c>
      <c r="AS61" s="14" t="s">
        <v>77</v>
      </c>
      <c r="AT61" s="14" t="s">
        <v>76</v>
      </c>
      <c r="AU61" s="14" t="s">
        <v>77</v>
      </c>
      <c r="AV61" s="14" t="s">
        <v>76</v>
      </c>
      <c r="AW61" s="14" t="s">
        <v>76</v>
      </c>
      <c r="AX61" s="14" t="s">
        <v>77</v>
      </c>
      <c r="AY61" s="14" t="s">
        <v>76</v>
      </c>
      <c r="AZ61" s="14" t="s">
        <v>77</v>
      </c>
      <c r="BA61" s="15" t="s">
        <v>77</v>
      </c>
      <c r="BB61" s="23" t="s">
        <v>77</v>
      </c>
      <c r="BC61" s="23" t="s">
        <v>968</v>
      </c>
      <c r="BD61" s="23" t="s">
        <v>969</v>
      </c>
      <c r="BE61" s="23" t="s">
        <v>970</v>
      </c>
      <c r="BF61" s="14" t="s">
        <v>971</v>
      </c>
    </row>
    <row r="62" ht="24" customHeight="1" spans="1:58">
      <c r="A62" s="14" t="str">
        <f>_xlfn.DISPIMG("ID_C56A77D29ADA4B7FB56B55DD9AE196A3",1)</f>
        <v>=DISPIMG("ID_C56A77D29ADA4B7FB56B55DD9AE196A3",1)</v>
      </c>
      <c r="B62" s="15" t="s">
        <v>972</v>
      </c>
      <c r="C62" s="15" t="s">
        <v>973</v>
      </c>
      <c r="D62" s="15" t="s">
        <v>974</v>
      </c>
      <c r="E62" s="15" t="s">
        <v>581</v>
      </c>
      <c r="F62" s="15" t="s">
        <v>582</v>
      </c>
      <c r="G62" s="15" t="s">
        <v>975</v>
      </c>
      <c r="H62" s="15" t="s">
        <v>976</v>
      </c>
      <c r="I62" s="15" t="s">
        <v>977</v>
      </c>
      <c r="J62" s="15" t="s">
        <v>978</v>
      </c>
      <c r="K62" s="15" t="s">
        <v>65</v>
      </c>
      <c r="L62" s="15" t="s">
        <v>66</v>
      </c>
      <c r="M62" s="18">
        <v>31603</v>
      </c>
      <c r="N62" s="18">
        <v>-3999</v>
      </c>
      <c r="O62" s="19">
        <v>-0.1144</v>
      </c>
      <c r="P62" s="20" t="s">
        <v>108</v>
      </c>
      <c r="Q62" s="22" t="s">
        <v>979</v>
      </c>
      <c r="R62" s="18">
        <v>1939</v>
      </c>
      <c r="S62" s="19">
        <v>-0.0785</v>
      </c>
      <c r="T62" s="18">
        <v>34863.22</v>
      </c>
      <c r="U62" s="23" t="s">
        <v>404</v>
      </c>
      <c r="V62" s="18">
        <v>899</v>
      </c>
      <c r="W62" s="24">
        <v>55</v>
      </c>
      <c r="X62" s="25">
        <v>17.98</v>
      </c>
      <c r="Y62" s="25">
        <v>14.99</v>
      </c>
      <c r="Z62" s="7"/>
      <c r="AA62" s="18">
        <v>4</v>
      </c>
      <c r="AB62" s="24">
        <v>547</v>
      </c>
      <c r="AC62" s="18">
        <v>18</v>
      </c>
      <c r="AD62" s="28">
        <v>4.5</v>
      </c>
      <c r="AE62" s="29">
        <v>0.0093</v>
      </c>
      <c r="AF62" s="25">
        <v>3.5</v>
      </c>
      <c r="AG62" s="19">
        <v>0.6053</v>
      </c>
      <c r="AI62" s="14" t="s">
        <v>980</v>
      </c>
      <c r="AJ62" s="24">
        <v>621</v>
      </c>
      <c r="AK62" s="14" t="s">
        <v>72</v>
      </c>
      <c r="AL62" s="24">
        <v>9.8</v>
      </c>
      <c r="AM62" s="24">
        <v>1</v>
      </c>
      <c r="AN62" s="15" t="s">
        <v>589</v>
      </c>
      <c r="AO62" s="14" t="s">
        <v>72</v>
      </c>
      <c r="AP62" s="14" t="s">
        <v>73</v>
      </c>
      <c r="AQ62" s="15" t="s">
        <v>590</v>
      </c>
      <c r="AR62" s="14" t="s">
        <v>591</v>
      </c>
      <c r="AS62" s="14" t="s">
        <v>76</v>
      </c>
      <c r="AT62" s="14" t="s">
        <v>77</v>
      </c>
      <c r="AU62" s="14" t="s">
        <v>77</v>
      </c>
      <c r="AV62" s="14" t="s">
        <v>76</v>
      </c>
      <c r="AW62" s="14" t="s">
        <v>76</v>
      </c>
      <c r="AX62" s="14" t="s">
        <v>77</v>
      </c>
      <c r="AY62" s="14" t="s">
        <v>76</v>
      </c>
      <c r="AZ62" s="14" t="s">
        <v>77</v>
      </c>
      <c r="BA62" s="15" t="s">
        <v>77</v>
      </c>
      <c r="BC62" s="23" t="s">
        <v>981</v>
      </c>
      <c r="BD62" s="23" t="s">
        <v>497</v>
      </c>
      <c r="BE62" s="23" t="s">
        <v>982</v>
      </c>
      <c r="BF62" s="14" t="s">
        <v>983</v>
      </c>
    </row>
    <row r="63" ht="24" customHeight="1" spans="1:58">
      <c r="A63" s="14" t="str">
        <f>_xlfn.DISPIMG("ID_4A1615F9F6544F7D80011C665A2EB4E2",1)</f>
        <v>=DISPIMG("ID_4A1615F9F6544F7D80011C665A2EB4E2",1)</v>
      </c>
      <c r="B63" s="15" t="s">
        <v>984</v>
      </c>
      <c r="C63" s="15" t="s">
        <v>84</v>
      </c>
      <c r="D63" s="15" t="s">
        <v>985</v>
      </c>
      <c r="E63" s="15" t="s">
        <v>986</v>
      </c>
      <c r="F63" s="15" t="s">
        <v>987</v>
      </c>
      <c r="G63" s="15" t="s">
        <v>988</v>
      </c>
      <c r="H63" s="15" t="s">
        <v>989</v>
      </c>
      <c r="I63" s="15" t="s">
        <v>990</v>
      </c>
      <c r="J63" s="15" t="s">
        <v>991</v>
      </c>
      <c r="K63" s="15" t="s">
        <v>65</v>
      </c>
      <c r="L63" s="15" t="s">
        <v>66</v>
      </c>
      <c r="M63" s="18">
        <v>40337</v>
      </c>
      <c r="N63" s="18">
        <v>1815</v>
      </c>
      <c r="O63" s="19">
        <v>0.0415</v>
      </c>
      <c r="P63" s="20" t="s">
        <v>92</v>
      </c>
      <c r="Q63" s="22" t="s">
        <v>992</v>
      </c>
      <c r="R63" s="18">
        <v>810</v>
      </c>
      <c r="S63" s="19">
        <v>1.3401</v>
      </c>
      <c r="T63" s="18">
        <v>12141.899</v>
      </c>
      <c r="U63" s="23" t="s">
        <v>404</v>
      </c>
      <c r="V63" s="18">
        <v>749.5</v>
      </c>
      <c r="W63" s="24">
        <v>24</v>
      </c>
      <c r="X63" s="25">
        <v>14.99</v>
      </c>
      <c r="Z63" s="7"/>
      <c r="AB63" s="24">
        <v>8</v>
      </c>
      <c r="AC63" s="18">
        <v>3</v>
      </c>
      <c r="AD63" s="28">
        <v>4.5</v>
      </c>
      <c r="AE63" s="29">
        <v>0.0037</v>
      </c>
      <c r="AF63" s="25">
        <v>5</v>
      </c>
      <c r="AG63" s="19">
        <v>0.4664</v>
      </c>
      <c r="AI63" s="14" t="s">
        <v>993</v>
      </c>
      <c r="AJ63" s="24">
        <v>92</v>
      </c>
      <c r="AK63" s="14" t="s">
        <v>72</v>
      </c>
      <c r="AL63" s="24">
        <v>8.6</v>
      </c>
      <c r="AM63" s="24">
        <v>1</v>
      </c>
      <c r="AN63" s="15" t="s">
        <v>986</v>
      </c>
      <c r="AO63" s="14" t="s">
        <v>72</v>
      </c>
      <c r="AP63" s="14" t="s">
        <v>73</v>
      </c>
      <c r="AQ63" s="15" t="s">
        <v>994</v>
      </c>
      <c r="AR63" s="14" t="s">
        <v>995</v>
      </c>
      <c r="AS63" s="14" t="s">
        <v>77</v>
      </c>
      <c r="AT63" s="14" t="s">
        <v>77</v>
      </c>
      <c r="AU63" s="14" t="s">
        <v>76</v>
      </c>
      <c r="AV63" s="14" t="s">
        <v>76</v>
      </c>
      <c r="AW63" s="14" t="s">
        <v>77</v>
      </c>
      <c r="AX63" s="14" t="s">
        <v>77</v>
      </c>
      <c r="AY63" s="14" t="s">
        <v>76</v>
      </c>
      <c r="AZ63" s="14" t="s">
        <v>77</v>
      </c>
      <c r="BA63" s="15" t="s">
        <v>77</v>
      </c>
      <c r="BC63" s="23" t="s">
        <v>657</v>
      </c>
      <c r="BD63" s="23" t="s">
        <v>658</v>
      </c>
      <c r="BE63" s="23" t="s">
        <v>996</v>
      </c>
      <c r="BF63" s="14" t="s">
        <v>997</v>
      </c>
    </row>
    <row r="64" ht="24" customHeight="1" spans="1:58">
      <c r="A64" s="14" t="str">
        <f>_xlfn.DISPIMG("ID_94C966EDDDD34880A8840895C5A78696",1)</f>
        <v>=DISPIMG("ID_94C966EDDDD34880A8840895C5A78696",1)</v>
      </c>
      <c r="B64" s="15" t="s">
        <v>998</v>
      </c>
      <c r="C64" s="15" t="s">
        <v>734</v>
      </c>
      <c r="D64" s="15" t="s">
        <v>148</v>
      </c>
      <c r="E64" s="15" t="s">
        <v>149</v>
      </c>
      <c r="F64" s="15" t="s">
        <v>150</v>
      </c>
      <c r="G64" s="15" t="s">
        <v>999</v>
      </c>
      <c r="H64" s="15" t="s">
        <v>1000</v>
      </c>
      <c r="I64" s="15" t="s">
        <v>1001</v>
      </c>
      <c r="J64" s="15" t="s">
        <v>1002</v>
      </c>
      <c r="K64" s="15" t="s">
        <v>65</v>
      </c>
      <c r="L64" s="15" t="s">
        <v>66</v>
      </c>
      <c r="M64" s="18">
        <v>39173</v>
      </c>
      <c r="N64" s="18">
        <v>912</v>
      </c>
      <c r="O64" s="19">
        <v>0.0228</v>
      </c>
      <c r="P64" s="20" t="s">
        <v>67</v>
      </c>
      <c r="Q64" s="22" t="s">
        <v>1003</v>
      </c>
      <c r="R64" s="18">
        <v>1244</v>
      </c>
      <c r="S64" s="19">
        <v>-0.0857</v>
      </c>
      <c r="T64" s="18">
        <v>28599.56</v>
      </c>
      <c r="U64" s="23" t="s">
        <v>77</v>
      </c>
      <c r="V64" s="18" t="s">
        <v>77</v>
      </c>
      <c r="W64" s="24">
        <v>70</v>
      </c>
      <c r="X64" s="25">
        <v>22.99</v>
      </c>
      <c r="Z64" s="7"/>
      <c r="AA64" s="18">
        <v>10</v>
      </c>
      <c r="AB64" s="24">
        <v>211</v>
      </c>
      <c r="AC64" s="18">
        <v>14</v>
      </c>
      <c r="AD64" s="28">
        <v>4.3</v>
      </c>
      <c r="AE64" s="29">
        <v>0.0113</v>
      </c>
      <c r="AF64" s="25">
        <v>3.99</v>
      </c>
      <c r="AG64" s="19">
        <v>0.6264</v>
      </c>
      <c r="AI64" s="14" t="s">
        <v>1004</v>
      </c>
      <c r="AJ64" s="24">
        <v>636</v>
      </c>
      <c r="AK64" s="14" t="s">
        <v>72</v>
      </c>
      <c r="AL64" s="24">
        <v>9.8</v>
      </c>
      <c r="AM64" s="24">
        <v>1</v>
      </c>
      <c r="AN64" s="15" t="s">
        <v>158</v>
      </c>
      <c r="AO64" s="14" t="s">
        <v>72</v>
      </c>
      <c r="AP64" s="14" t="s">
        <v>73</v>
      </c>
      <c r="AQ64" s="15" t="s">
        <v>159</v>
      </c>
      <c r="AR64" s="14" t="s">
        <v>160</v>
      </c>
      <c r="AS64" s="14" t="s">
        <v>77</v>
      </c>
      <c r="AT64" s="14" t="s">
        <v>77</v>
      </c>
      <c r="AU64" s="14" t="s">
        <v>77</v>
      </c>
      <c r="AV64" s="14" t="s">
        <v>76</v>
      </c>
      <c r="AW64" s="14" t="s">
        <v>76</v>
      </c>
      <c r="AX64" s="14" t="s">
        <v>77</v>
      </c>
      <c r="AY64" s="14" t="s">
        <v>76</v>
      </c>
      <c r="AZ64" s="14" t="s">
        <v>77</v>
      </c>
      <c r="BA64" s="15" t="s">
        <v>77</v>
      </c>
      <c r="BC64" s="23" t="s">
        <v>143</v>
      </c>
      <c r="BD64" s="23" t="s">
        <v>144</v>
      </c>
      <c r="BE64" s="23" t="s">
        <v>1005</v>
      </c>
      <c r="BF64" s="14" t="s">
        <v>1006</v>
      </c>
    </row>
    <row r="65" ht="24" customHeight="1" spans="1:58">
      <c r="A65" s="14" t="str">
        <f>_xlfn.DISPIMG("ID_874A0E0AF56643D49071006D9CD2E55B",1)</f>
        <v>=DISPIMG("ID_874A0E0AF56643D49071006D9CD2E55B",1)</v>
      </c>
      <c r="B65" s="15" t="s">
        <v>1007</v>
      </c>
      <c r="C65" s="15" t="s">
        <v>1008</v>
      </c>
      <c r="D65" s="15" t="s">
        <v>598</v>
      </c>
      <c r="E65" s="15" t="s">
        <v>599</v>
      </c>
      <c r="F65" s="15" t="s">
        <v>600</v>
      </c>
      <c r="G65" s="15" t="s">
        <v>1009</v>
      </c>
      <c r="H65" s="15" t="s">
        <v>1010</v>
      </c>
      <c r="I65" s="15" t="s">
        <v>1011</v>
      </c>
      <c r="J65" s="15" t="s">
        <v>1012</v>
      </c>
      <c r="K65" s="15" t="s">
        <v>65</v>
      </c>
      <c r="L65" s="15" t="s">
        <v>66</v>
      </c>
      <c r="M65" s="18">
        <v>19909</v>
      </c>
      <c r="N65" s="18">
        <v>8034</v>
      </c>
      <c r="O65" s="19">
        <v>0.2875</v>
      </c>
      <c r="P65" s="20" t="s">
        <v>67</v>
      </c>
      <c r="Q65" s="22" t="s">
        <v>1013</v>
      </c>
      <c r="R65" s="18">
        <v>3581</v>
      </c>
      <c r="S65" s="19">
        <v>0.13</v>
      </c>
      <c r="T65" s="18">
        <v>82327.19</v>
      </c>
      <c r="U65" s="23" t="s">
        <v>175</v>
      </c>
      <c r="V65" s="18">
        <v>2299</v>
      </c>
      <c r="W65" s="24">
        <v>69</v>
      </c>
      <c r="X65" s="25">
        <v>22.99</v>
      </c>
      <c r="Z65" s="23" t="s">
        <v>1014</v>
      </c>
      <c r="AA65" s="18">
        <v>12</v>
      </c>
      <c r="AB65" s="24">
        <v>1212</v>
      </c>
      <c r="AC65" s="18">
        <v>18</v>
      </c>
      <c r="AD65" s="28">
        <v>4.6</v>
      </c>
      <c r="AE65" s="29">
        <v>0.005</v>
      </c>
      <c r="AF65" s="25">
        <v>6.27</v>
      </c>
      <c r="AG65" s="19">
        <v>0.5273</v>
      </c>
      <c r="AI65" s="14" t="s">
        <v>1015</v>
      </c>
      <c r="AJ65" s="24">
        <v>1031</v>
      </c>
      <c r="AK65" s="14" t="s">
        <v>72</v>
      </c>
      <c r="AL65" s="24">
        <v>9.4</v>
      </c>
      <c r="AM65" s="24">
        <v>1</v>
      </c>
      <c r="AN65" s="15" t="s">
        <v>599</v>
      </c>
      <c r="AO65" s="14" t="s">
        <v>72</v>
      </c>
      <c r="AP65" s="14" t="s">
        <v>73</v>
      </c>
      <c r="AQ65" s="15" t="s">
        <v>609</v>
      </c>
      <c r="AR65" s="14" t="s">
        <v>610</v>
      </c>
      <c r="AS65" s="14" t="s">
        <v>77</v>
      </c>
      <c r="AT65" s="14" t="s">
        <v>76</v>
      </c>
      <c r="AU65" s="14" t="s">
        <v>77</v>
      </c>
      <c r="AV65" s="14" t="s">
        <v>76</v>
      </c>
      <c r="AW65" s="14" t="s">
        <v>76</v>
      </c>
      <c r="AX65" s="14" t="s">
        <v>77</v>
      </c>
      <c r="AY65" s="14" t="s">
        <v>76</v>
      </c>
      <c r="AZ65" s="14" t="s">
        <v>77</v>
      </c>
      <c r="BA65" s="15" t="s">
        <v>77</v>
      </c>
      <c r="BB65" s="23" t="s">
        <v>1016</v>
      </c>
      <c r="BC65" s="23" t="s">
        <v>562</v>
      </c>
      <c r="BD65" s="23" t="s">
        <v>563</v>
      </c>
      <c r="BE65" s="23" t="s">
        <v>1017</v>
      </c>
      <c r="BF65" s="14" t="s">
        <v>1018</v>
      </c>
    </row>
    <row r="66" ht="24" customHeight="1" spans="1:58">
      <c r="A66" s="14" t="str">
        <f>_xlfn.DISPIMG("ID_CDD54305094A4393923DC0EC9385387D",1)</f>
        <v>=DISPIMG("ID_CDD54305094A4393923DC0EC9385387D",1)</v>
      </c>
      <c r="B66" s="15" t="s">
        <v>1019</v>
      </c>
      <c r="C66" s="15" t="s">
        <v>823</v>
      </c>
      <c r="D66" s="15" t="s">
        <v>1020</v>
      </c>
      <c r="E66" s="15" t="s">
        <v>1021</v>
      </c>
      <c r="F66" s="15" t="s">
        <v>1022</v>
      </c>
      <c r="G66" s="15" t="s">
        <v>1023</v>
      </c>
      <c r="H66" s="15" t="s">
        <v>1024</v>
      </c>
      <c r="I66" s="15" t="s">
        <v>1025</v>
      </c>
      <c r="J66" s="15" t="s">
        <v>1026</v>
      </c>
      <c r="K66" s="15" t="s">
        <v>65</v>
      </c>
      <c r="L66" s="15" t="s">
        <v>66</v>
      </c>
      <c r="M66" s="18">
        <v>21450</v>
      </c>
      <c r="N66" s="18">
        <v>12176</v>
      </c>
      <c r="O66" s="19">
        <v>0.3696</v>
      </c>
      <c r="P66" s="20" t="s">
        <v>1027</v>
      </c>
      <c r="Q66" s="22" t="s">
        <v>1028</v>
      </c>
      <c r="R66" s="18">
        <v>1830</v>
      </c>
      <c r="S66" s="19">
        <v>-0.346</v>
      </c>
      <c r="T66" s="18">
        <v>31091.7</v>
      </c>
      <c r="U66" s="23" t="s">
        <v>175</v>
      </c>
      <c r="V66" s="18">
        <v>1699</v>
      </c>
      <c r="W66" s="24">
        <v>61</v>
      </c>
      <c r="X66" s="25">
        <v>16.99</v>
      </c>
      <c r="Z66" s="7"/>
      <c r="AB66" s="24">
        <v>79</v>
      </c>
      <c r="AC66" s="18">
        <v>16</v>
      </c>
      <c r="AD66" s="28">
        <v>3.8</v>
      </c>
      <c r="AE66" s="29">
        <v>0.0087</v>
      </c>
      <c r="AF66" s="25">
        <v>5.46</v>
      </c>
      <c r="AG66" s="19">
        <v>0.4786</v>
      </c>
      <c r="AI66" s="14" t="s">
        <v>1029</v>
      </c>
      <c r="AJ66" s="24">
        <v>149</v>
      </c>
      <c r="AK66" s="14" t="s">
        <v>72</v>
      </c>
      <c r="AL66" s="24">
        <v>9</v>
      </c>
      <c r="AM66" s="24">
        <v>1</v>
      </c>
      <c r="AN66" s="15" t="s">
        <v>1030</v>
      </c>
      <c r="AO66" s="14" t="s">
        <v>72</v>
      </c>
      <c r="AP66" s="14" t="s">
        <v>73</v>
      </c>
      <c r="AQ66" s="15" t="s">
        <v>1031</v>
      </c>
      <c r="AR66" s="14" t="s">
        <v>1032</v>
      </c>
      <c r="AS66" s="14" t="s">
        <v>77</v>
      </c>
      <c r="AT66" s="14" t="s">
        <v>77</v>
      </c>
      <c r="AU66" s="14" t="s">
        <v>76</v>
      </c>
      <c r="AV66" s="14" t="s">
        <v>76</v>
      </c>
      <c r="AW66" s="14" t="s">
        <v>77</v>
      </c>
      <c r="AX66" s="14" t="s">
        <v>77</v>
      </c>
      <c r="AY66" s="14" t="s">
        <v>77</v>
      </c>
      <c r="AZ66" s="14" t="s">
        <v>77</v>
      </c>
      <c r="BA66" s="15" t="s">
        <v>77</v>
      </c>
      <c r="BC66" s="23" t="s">
        <v>496</v>
      </c>
      <c r="BD66" s="23" t="s">
        <v>497</v>
      </c>
      <c r="BE66" s="23" t="s">
        <v>1033</v>
      </c>
      <c r="BF66" s="14" t="s">
        <v>1034</v>
      </c>
    </row>
    <row r="67" ht="24" customHeight="1" spans="1:58">
      <c r="A67" s="14" t="str">
        <f>_xlfn.DISPIMG("ID_61B4CC728A6E4D318DC749CD055D5E1A",1)</f>
        <v>=DISPIMG("ID_61B4CC728A6E4D318DC749CD055D5E1A",1)</v>
      </c>
      <c r="B67" s="15" t="s">
        <v>1035</v>
      </c>
      <c r="C67" s="15" t="s">
        <v>1036</v>
      </c>
      <c r="D67" s="15" t="s">
        <v>1037</v>
      </c>
      <c r="E67" s="15" t="s">
        <v>1038</v>
      </c>
      <c r="F67" s="15" t="s">
        <v>1039</v>
      </c>
      <c r="G67" s="15" t="s">
        <v>1040</v>
      </c>
      <c r="H67" s="15" t="s">
        <v>1041</v>
      </c>
      <c r="I67" s="15" t="s">
        <v>1042</v>
      </c>
      <c r="J67" s="15" t="s">
        <v>1043</v>
      </c>
      <c r="K67" s="15" t="s">
        <v>65</v>
      </c>
      <c r="L67" s="15" t="s">
        <v>66</v>
      </c>
      <c r="M67" s="18">
        <v>39240</v>
      </c>
      <c r="N67" s="18">
        <v>3874</v>
      </c>
      <c r="O67" s="19">
        <v>0.0985</v>
      </c>
      <c r="P67" s="20" t="s">
        <v>108</v>
      </c>
      <c r="Q67" s="22" t="s">
        <v>1044</v>
      </c>
      <c r="R67" s="18">
        <v>1402</v>
      </c>
      <c r="S67" s="19">
        <v>-0.5266</v>
      </c>
      <c r="T67" s="18">
        <v>14005.9795</v>
      </c>
      <c r="U67" s="23" t="s">
        <v>404</v>
      </c>
      <c r="V67" s="18">
        <v>499.5</v>
      </c>
      <c r="W67" s="24">
        <v>53</v>
      </c>
      <c r="X67" s="25">
        <v>9.99</v>
      </c>
      <c r="Z67" s="7"/>
      <c r="AB67" s="24">
        <v>229</v>
      </c>
      <c r="AC67" s="18">
        <v>33</v>
      </c>
      <c r="AD67" s="28">
        <v>4.1</v>
      </c>
      <c r="AE67" s="29">
        <v>0.0235</v>
      </c>
      <c r="AF67" s="25">
        <v>6.27</v>
      </c>
      <c r="AG67" s="19">
        <v>0.1724</v>
      </c>
      <c r="AI67" s="14" t="s">
        <v>1045</v>
      </c>
      <c r="AJ67" s="24">
        <v>281</v>
      </c>
      <c r="AK67" s="14" t="s">
        <v>72</v>
      </c>
      <c r="AL67" s="24">
        <v>9.8</v>
      </c>
      <c r="AM67" s="24">
        <v>1</v>
      </c>
      <c r="AN67" s="15" t="s">
        <v>1038</v>
      </c>
      <c r="AO67" s="14" t="s">
        <v>72</v>
      </c>
      <c r="AP67" s="14" t="s">
        <v>73</v>
      </c>
      <c r="AQ67" s="15" t="s">
        <v>1046</v>
      </c>
      <c r="AR67" s="14" t="s">
        <v>1047</v>
      </c>
      <c r="AS67" s="14" t="s">
        <v>77</v>
      </c>
      <c r="AT67" s="14" t="s">
        <v>77</v>
      </c>
      <c r="AU67" s="14" t="s">
        <v>77</v>
      </c>
      <c r="AV67" s="14" t="s">
        <v>76</v>
      </c>
      <c r="AW67" s="14" t="s">
        <v>76</v>
      </c>
      <c r="AX67" s="14" t="s">
        <v>77</v>
      </c>
      <c r="AY67" s="14" t="s">
        <v>76</v>
      </c>
      <c r="AZ67" s="14" t="s">
        <v>77</v>
      </c>
      <c r="BA67" s="15" t="s">
        <v>77</v>
      </c>
      <c r="BC67" s="23" t="s">
        <v>657</v>
      </c>
      <c r="BD67" s="23" t="s">
        <v>658</v>
      </c>
      <c r="BE67" s="23" t="s">
        <v>1048</v>
      </c>
      <c r="BF67" s="14" t="s">
        <v>1049</v>
      </c>
    </row>
    <row r="68" ht="24" customHeight="1" spans="1:58">
      <c r="A68" s="14" t="str">
        <f>_xlfn.DISPIMG("ID_DFA8D54B56964A748811C40D488CE769",1)</f>
        <v>=DISPIMG("ID_DFA8D54B56964A748811C40D488CE769",1)</v>
      </c>
      <c r="B68" s="15" t="s">
        <v>1050</v>
      </c>
      <c r="C68" s="15" t="s">
        <v>1036</v>
      </c>
      <c r="D68" s="15" t="s">
        <v>341</v>
      </c>
      <c r="E68" s="15" t="s">
        <v>885</v>
      </c>
      <c r="F68" s="15" t="s">
        <v>886</v>
      </c>
      <c r="G68" s="15" t="s">
        <v>1051</v>
      </c>
      <c r="H68" s="15" t="s">
        <v>1052</v>
      </c>
      <c r="I68" s="15" t="s">
        <v>1053</v>
      </c>
      <c r="J68" s="15" t="s">
        <v>1054</v>
      </c>
      <c r="K68" s="15" t="s">
        <v>65</v>
      </c>
      <c r="L68" s="15" t="s">
        <v>66</v>
      </c>
      <c r="M68" s="18">
        <v>36257</v>
      </c>
      <c r="N68" s="18">
        <v>17253</v>
      </c>
      <c r="O68" s="19">
        <v>0.3271</v>
      </c>
      <c r="P68" s="20" t="s">
        <v>92</v>
      </c>
      <c r="Q68" s="22" t="s">
        <v>1055</v>
      </c>
      <c r="R68" s="18">
        <v>1251</v>
      </c>
      <c r="S68" s="19">
        <v>-0.3298</v>
      </c>
      <c r="T68" s="18">
        <v>22492.979</v>
      </c>
      <c r="U68" s="23" t="s">
        <v>404</v>
      </c>
      <c r="V68" s="18">
        <v>899</v>
      </c>
      <c r="W68" s="24">
        <v>90</v>
      </c>
      <c r="X68" s="25">
        <v>17.98</v>
      </c>
      <c r="Z68" s="23" t="s">
        <v>349</v>
      </c>
      <c r="AA68" s="18">
        <v>5</v>
      </c>
      <c r="AB68" s="24">
        <v>2995</v>
      </c>
      <c r="AC68" s="18">
        <v>16</v>
      </c>
      <c r="AD68" s="28">
        <v>4.3</v>
      </c>
      <c r="AE68" s="29">
        <v>0.0128</v>
      </c>
      <c r="AF68" s="25">
        <v>4.94</v>
      </c>
      <c r="AG68" s="19">
        <v>0.5253</v>
      </c>
      <c r="AI68" s="14" t="s">
        <v>1056</v>
      </c>
      <c r="AJ68" s="24">
        <v>2637</v>
      </c>
      <c r="AK68" s="14" t="s">
        <v>72</v>
      </c>
      <c r="AL68" s="24">
        <v>10</v>
      </c>
      <c r="AM68" s="24">
        <v>1</v>
      </c>
      <c r="AN68" s="15" t="s">
        <v>885</v>
      </c>
      <c r="AO68" s="14" t="s">
        <v>72</v>
      </c>
      <c r="AP68" s="14" t="s">
        <v>73</v>
      </c>
      <c r="AQ68" s="15" t="s">
        <v>893</v>
      </c>
      <c r="AR68" s="14" t="s">
        <v>894</v>
      </c>
      <c r="AS68" s="14" t="s">
        <v>77</v>
      </c>
      <c r="AT68" s="14" t="s">
        <v>76</v>
      </c>
      <c r="AU68" s="14" t="s">
        <v>77</v>
      </c>
      <c r="AV68" s="14" t="s">
        <v>76</v>
      </c>
      <c r="AW68" s="14" t="s">
        <v>76</v>
      </c>
      <c r="AX68" s="14" t="s">
        <v>77</v>
      </c>
      <c r="AY68" s="14" t="s">
        <v>76</v>
      </c>
      <c r="AZ68" s="14" t="s">
        <v>77</v>
      </c>
      <c r="BA68" s="15" t="s">
        <v>77</v>
      </c>
      <c r="BB68" s="23" t="s">
        <v>76</v>
      </c>
      <c r="BC68" s="23" t="s">
        <v>562</v>
      </c>
      <c r="BD68" s="23" t="s">
        <v>563</v>
      </c>
      <c r="BE68" s="23" t="s">
        <v>1057</v>
      </c>
      <c r="BF68" s="14" t="s">
        <v>1058</v>
      </c>
    </row>
    <row r="69" ht="24" customHeight="1" spans="1:58">
      <c r="A69" s="14" t="str">
        <f>_xlfn.DISPIMG("ID_DD2F0A672E5049CF897D133BD159BF7D",1)</f>
        <v>=DISPIMG("ID_DD2F0A672E5049CF897D133BD159BF7D",1)</v>
      </c>
      <c r="B69" s="15" t="s">
        <v>1059</v>
      </c>
      <c r="C69" s="15" t="s">
        <v>84</v>
      </c>
      <c r="D69" s="15" t="s">
        <v>1060</v>
      </c>
      <c r="E69" s="15" t="s">
        <v>1061</v>
      </c>
      <c r="F69" s="15" t="s">
        <v>1062</v>
      </c>
      <c r="G69" s="15" t="s">
        <v>1063</v>
      </c>
      <c r="H69" s="15" t="s">
        <v>1064</v>
      </c>
      <c r="I69" s="15" t="s">
        <v>1065</v>
      </c>
      <c r="J69" s="15" t="s">
        <v>1066</v>
      </c>
      <c r="K69" s="15" t="s">
        <v>65</v>
      </c>
      <c r="L69" s="15" t="s">
        <v>66</v>
      </c>
      <c r="M69" s="18">
        <v>23134</v>
      </c>
      <c r="N69" s="18">
        <v>3503</v>
      </c>
      <c r="O69" s="19">
        <v>0.1315</v>
      </c>
      <c r="P69" s="20" t="s">
        <v>67</v>
      </c>
      <c r="Q69" s="22" t="s">
        <v>1067</v>
      </c>
      <c r="R69" s="18">
        <v>1845</v>
      </c>
      <c r="S69" s="19">
        <v>0.0387</v>
      </c>
      <c r="T69" s="18">
        <v>36881.55</v>
      </c>
      <c r="U69" s="23" t="s">
        <v>175</v>
      </c>
      <c r="V69" s="18">
        <v>1999</v>
      </c>
      <c r="W69" s="24">
        <v>59</v>
      </c>
      <c r="X69" s="25">
        <v>19.99</v>
      </c>
      <c r="Y69" s="25">
        <v>17.99</v>
      </c>
      <c r="Z69" s="7"/>
      <c r="AA69" s="18">
        <v>13</v>
      </c>
      <c r="AB69" s="24">
        <v>385</v>
      </c>
      <c r="AC69" s="18">
        <v>16</v>
      </c>
      <c r="AD69" s="28">
        <v>4.6</v>
      </c>
      <c r="AE69" s="29">
        <v>0.0087</v>
      </c>
      <c r="AF69" s="25">
        <v>3.6</v>
      </c>
      <c r="AG69" s="19">
        <v>0.6199</v>
      </c>
      <c r="AI69" s="14" t="s">
        <v>980</v>
      </c>
      <c r="AJ69" s="24">
        <v>621</v>
      </c>
      <c r="AK69" s="14" t="s">
        <v>72</v>
      </c>
      <c r="AL69" s="24">
        <v>9.8</v>
      </c>
      <c r="AM69" s="24">
        <v>1</v>
      </c>
      <c r="AN69" s="15" t="s">
        <v>1061</v>
      </c>
      <c r="AO69" s="14" t="s">
        <v>72</v>
      </c>
      <c r="AP69" s="14" t="s">
        <v>73</v>
      </c>
      <c r="AQ69" s="15" t="s">
        <v>1068</v>
      </c>
      <c r="AR69" s="14" t="s">
        <v>1069</v>
      </c>
      <c r="AS69" s="14" t="s">
        <v>77</v>
      </c>
      <c r="AT69" s="14" t="s">
        <v>76</v>
      </c>
      <c r="AU69" s="14" t="s">
        <v>77</v>
      </c>
      <c r="AV69" s="14" t="s">
        <v>76</v>
      </c>
      <c r="AW69" s="14" t="s">
        <v>76</v>
      </c>
      <c r="AX69" s="14" t="s">
        <v>77</v>
      </c>
      <c r="AY69" s="14" t="s">
        <v>76</v>
      </c>
      <c r="AZ69" s="14" t="s">
        <v>77</v>
      </c>
      <c r="BA69" s="15" t="s">
        <v>77</v>
      </c>
      <c r="BB69" s="23" t="s">
        <v>1070</v>
      </c>
      <c r="BC69" s="23" t="s">
        <v>775</v>
      </c>
      <c r="BD69" s="23" t="s">
        <v>776</v>
      </c>
      <c r="BE69" s="23" t="s">
        <v>1071</v>
      </c>
      <c r="BF69" s="14" t="s">
        <v>1072</v>
      </c>
    </row>
    <row r="70" ht="24" customHeight="1" spans="1:58">
      <c r="A70" s="14" t="str">
        <f>_xlfn.DISPIMG("ID_B0E7A7C47A1E4E02A10E53B284D13092",1)</f>
        <v>=DISPIMG("ID_B0E7A7C47A1E4E02A10E53B284D13092",1)</v>
      </c>
      <c r="B70" s="15" t="s">
        <v>1073</v>
      </c>
      <c r="C70" s="15" t="s">
        <v>1074</v>
      </c>
      <c r="D70" s="15" t="s">
        <v>1075</v>
      </c>
      <c r="E70" s="15" t="s">
        <v>131</v>
      </c>
      <c r="F70" s="15" t="s">
        <v>132</v>
      </c>
      <c r="G70" s="15" t="s">
        <v>1076</v>
      </c>
      <c r="H70" s="15" t="s">
        <v>1077</v>
      </c>
      <c r="I70" s="15" t="s">
        <v>1078</v>
      </c>
      <c r="J70" s="15" t="s">
        <v>1079</v>
      </c>
      <c r="K70" s="15" t="s">
        <v>65</v>
      </c>
      <c r="L70" s="15" t="s">
        <v>66</v>
      </c>
      <c r="M70" s="18">
        <v>34182</v>
      </c>
      <c r="N70" s="18">
        <v>643</v>
      </c>
      <c r="O70" s="19">
        <v>0.0209</v>
      </c>
      <c r="P70" s="20" t="s">
        <v>137</v>
      </c>
      <c r="Q70" s="22" t="s">
        <v>1080</v>
      </c>
      <c r="R70" s="18">
        <v>2114</v>
      </c>
      <c r="S70" s="19">
        <v>0.0388</v>
      </c>
      <c r="T70" s="18">
        <v>65512.86</v>
      </c>
      <c r="U70" s="23" t="s">
        <v>175</v>
      </c>
      <c r="V70" s="18">
        <v>3099</v>
      </c>
      <c r="W70" s="24">
        <v>65</v>
      </c>
      <c r="X70" s="25">
        <v>30.99</v>
      </c>
      <c r="Z70" s="7"/>
      <c r="AB70" s="24">
        <v>628</v>
      </c>
      <c r="AC70" s="18">
        <v>54</v>
      </c>
      <c r="AD70" s="28">
        <v>4.3</v>
      </c>
      <c r="AE70" s="29">
        <v>0.0255</v>
      </c>
      <c r="AF70" s="25">
        <v>6.19</v>
      </c>
      <c r="AG70" s="19">
        <v>0.6003</v>
      </c>
      <c r="AI70" s="14" t="s">
        <v>772</v>
      </c>
      <c r="AJ70" s="24">
        <v>338</v>
      </c>
      <c r="AK70" s="14" t="s">
        <v>72</v>
      </c>
      <c r="AL70" s="24">
        <v>9.8</v>
      </c>
      <c r="AM70" s="24">
        <v>1</v>
      </c>
      <c r="AN70" s="15" t="s">
        <v>131</v>
      </c>
      <c r="AO70" s="14" t="s">
        <v>72</v>
      </c>
      <c r="AP70" s="14" t="s">
        <v>73</v>
      </c>
      <c r="AQ70" s="15" t="s">
        <v>141</v>
      </c>
      <c r="AR70" s="14" t="s">
        <v>142</v>
      </c>
      <c r="AS70" s="14" t="s">
        <v>77</v>
      </c>
      <c r="AT70" s="14" t="s">
        <v>77</v>
      </c>
      <c r="AU70" s="14" t="s">
        <v>77</v>
      </c>
      <c r="AV70" s="14" t="s">
        <v>76</v>
      </c>
      <c r="AW70" s="14" t="s">
        <v>77</v>
      </c>
      <c r="AX70" s="14" t="s">
        <v>77</v>
      </c>
      <c r="AY70" s="14" t="s">
        <v>76</v>
      </c>
      <c r="AZ70" s="14" t="s">
        <v>77</v>
      </c>
      <c r="BA70" s="15" t="s">
        <v>77</v>
      </c>
      <c r="BC70" s="23" t="s">
        <v>1081</v>
      </c>
      <c r="BD70" s="23" t="s">
        <v>1082</v>
      </c>
      <c r="BE70" s="23" t="s">
        <v>1083</v>
      </c>
      <c r="BF70" s="14" t="s">
        <v>1084</v>
      </c>
    </row>
    <row r="71" ht="24" customHeight="1" spans="1:58">
      <c r="A71" s="14" t="str">
        <f>_xlfn.DISPIMG("ID_4F3F5D60C7574079992AC8CAD3ACB9A0",1)</f>
        <v>=DISPIMG("ID_4F3F5D60C7574079992AC8CAD3ACB9A0",1)</v>
      </c>
      <c r="B71" s="15" t="s">
        <v>1085</v>
      </c>
      <c r="C71" s="15" t="s">
        <v>1086</v>
      </c>
      <c r="D71" s="15" t="s">
        <v>1087</v>
      </c>
      <c r="E71" s="15" t="s">
        <v>1088</v>
      </c>
      <c r="F71" s="15" t="s">
        <v>1089</v>
      </c>
      <c r="G71" s="15" t="s">
        <v>1090</v>
      </c>
      <c r="H71" s="15" t="s">
        <v>1091</v>
      </c>
      <c r="I71" s="15" t="s">
        <v>1092</v>
      </c>
      <c r="J71" s="15" t="s">
        <v>1093</v>
      </c>
      <c r="K71" s="15" t="s">
        <v>65</v>
      </c>
      <c r="L71" s="15" t="s">
        <v>66</v>
      </c>
      <c r="M71" s="18">
        <v>41714</v>
      </c>
      <c r="N71" s="18">
        <v>46315</v>
      </c>
      <c r="O71" s="19">
        <v>0.4975</v>
      </c>
      <c r="P71" s="20" t="s">
        <v>67</v>
      </c>
      <c r="Q71" s="22" t="s">
        <v>1094</v>
      </c>
      <c r="R71" s="18">
        <v>595</v>
      </c>
      <c r="S71" s="19">
        <v>0.1069</v>
      </c>
      <c r="T71" s="18">
        <v>17844.05</v>
      </c>
      <c r="U71" s="23" t="s">
        <v>77</v>
      </c>
      <c r="V71" s="18" t="s">
        <v>77</v>
      </c>
      <c r="W71" s="24">
        <v>30</v>
      </c>
      <c r="X71" s="25">
        <v>29.99</v>
      </c>
      <c r="Z71" s="7"/>
      <c r="AA71" s="18">
        <v>5</v>
      </c>
      <c r="AB71" s="24">
        <v>245</v>
      </c>
      <c r="AC71" s="18">
        <v>9</v>
      </c>
      <c r="AD71" s="28">
        <v>4.3</v>
      </c>
      <c r="AE71" s="29">
        <v>0.0151</v>
      </c>
      <c r="AF71" s="25">
        <v>6.27</v>
      </c>
      <c r="AG71" s="19">
        <v>0.5909</v>
      </c>
      <c r="AI71" s="14" t="s">
        <v>1095</v>
      </c>
      <c r="AJ71" s="24">
        <v>549</v>
      </c>
      <c r="AK71" s="14" t="s">
        <v>72</v>
      </c>
      <c r="AL71" s="24" t="s">
        <v>77</v>
      </c>
      <c r="AM71" s="24">
        <v>1</v>
      </c>
      <c r="AN71" s="15" t="s">
        <v>1096</v>
      </c>
      <c r="AO71" s="14" t="s">
        <v>72</v>
      </c>
      <c r="AP71" s="14" t="s">
        <v>420</v>
      </c>
      <c r="AQ71" s="15" t="s">
        <v>1097</v>
      </c>
      <c r="AR71" s="14" t="s">
        <v>1098</v>
      </c>
      <c r="AS71" s="14" t="s">
        <v>77</v>
      </c>
      <c r="AT71" s="14" t="s">
        <v>77</v>
      </c>
      <c r="AU71" s="14" t="s">
        <v>77</v>
      </c>
      <c r="AV71" s="14" t="s">
        <v>76</v>
      </c>
      <c r="AW71" s="14" t="s">
        <v>76</v>
      </c>
      <c r="AX71" s="14" t="s">
        <v>77</v>
      </c>
      <c r="AY71" s="14" t="s">
        <v>76</v>
      </c>
      <c r="AZ71" s="14" t="s">
        <v>77</v>
      </c>
      <c r="BA71" s="15" t="s">
        <v>77</v>
      </c>
      <c r="BC71" s="23" t="s">
        <v>1099</v>
      </c>
      <c r="BD71" s="23" t="s">
        <v>1100</v>
      </c>
      <c r="BE71" s="23" t="s">
        <v>1101</v>
      </c>
      <c r="BF71" s="14" t="s">
        <v>1102</v>
      </c>
    </row>
    <row r="72" ht="24" customHeight="1" spans="1:58">
      <c r="A72" s="14" t="str">
        <f>_xlfn.DISPIMG("ID_AEB61A732A91438FBA7157BFBB33A3E6",1)</f>
        <v>=DISPIMG("ID_AEB61A732A91438FBA7157BFBB33A3E6",1)</v>
      </c>
      <c r="B72" s="15" t="s">
        <v>1103</v>
      </c>
      <c r="C72" s="15" t="s">
        <v>1104</v>
      </c>
      <c r="D72" s="15" t="s">
        <v>1105</v>
      </c>
      <c r="E72" s="15" t="s">
        <v>1106</v>
      </c>
      <c r="F72" s="15" t="s">
        <v>1107</v>
      </c>
      <c r="G72" s="15" t="s">
        <v>1108</v>
      </c>
      <c r="H72" s="15" t="s">
        <v>1109</v>
      </c>
      <c r="I72" s="15" t="s">
        <v>1110</v>
      </c>
      <c r="J72" s="15" t="s">
        <v>1111</v>
      </c>
      <c r="K72" s="15" t="s">
        <v>65</v>
      </c>
      <c r="L72" s="15" t="s">
        <v>66</v>
      </c>
      <c r="M72" s="18">
        <v>23905</v>
      </c>
      <c r="N72" s="18">
        <v>2709</v>
      </c>
      <c r="O72" s="19">
        <v>0.0905</v>
      </c>
      <c r="P72" s="20" t="s">
        <v>108</v>
      </c>
      <c r="Q72" s="22" t="s">
        <v>1112</v>
      </c>
      <c r="R72" s="18">
        <v>1834</v>
      </c>
      <c r="S72" s="19">
        <v>-0.0489</v>
      </c>
      <c r="T72" s="18">
        <v>43997.66</v>
      </c>
      <c r="U72" s="23" t="s">
        <v>404</v>
      </c>
      <c r="V72" s="18">
        <v>1199.5</v>
      </c>
      <c r="W72" s="24">
        <v>80</v>
      </c>
      <c r="X72" s="25">
        <v>23.99</v>
      </c>
      <c r="Z72" s="7"/>
      <c r="AA72" s="18">
        <v>36</v>
      </c>
      <c r="AB72" s="24">
        <v>4385</v>
      </c>
      <c r="AC72" s="18">
        <v>12</v>
      </c>
      <c r="AD72" s="28">
        <v>4.3</v>
      </c>
      <c r="AE72" s="29">
        <v>0.0065</v>
      </c>
      <c r="AF72" s="25">
        <v>5.46</v>
      </c>
      <c r="AG72" s="19">
        <v>0.5724</v>
      </c>
      <c r="AI72" s="14" t="s">
        <v>1113</v>
      </c>
      <c r="AJ72" s="24">
        <v>2033</v>
      </c>
      <c r="AK72" s="14" t="s">
        <v>72</v>
      </c>
      <c r="AL72" s="24">
        <v>10</v>
      </c>
      <c r="AM72" s="24">
        <v>1</v>
      </c>
      <c r="AN72" s="15" t="s">
        <v>1106</v>
      </c>
      <c r="AO72" s="14" t="s">
        <v>72</v>
      </c>
      <c r="AP72" s="14" t="s">
        <v>73</v>
      </c>
      <c r="AQ72" s="15" t="s">
        <v>1114</v>
      </c>
      <c r="AR72" s="14" t="s">
        <v>1115</v>
      </c>
      <c r="AS72" s="14" t="s">
        <v>77</v>
      </c>
      <c r="AT72" s="14" t="s">
        <v>76</v>
      </c>
      <c r="AU72" s="14" t="s">
        <v>77</v>
      </c>
      <c r="AV72" s="14" t="s">
        <v>76</v>
      </c>
      <c r="AW72" s="14" t="s">
        <v>77</v>
      </c>
      <c r="AX72" s="14" t="s">
        <v>77</v>
      </c>
      <c r="AY72" s="14" t="s">
        <v>76</v>
      </c>
      <c r="AZ72" s="14" t="s">
        <v>77</v>
      </c>
      <c r="BA72" s="15" t="s">
        <v>77</v>
      </c>
      <c r="BB72" s="23" t="s">
        <v>1116</v>
      </c>
      <c r="BC72" s="23" t="s">
        <v>496</v>
      </c>
      <c r="BD72" s="23" t="s">
        <v>497</v>
      </c>
      <c r="BE72" s="23" t="s">
        <v>1117</v>
      </c>
      <c r="BF72" s="14" t="s">
        <v>1118</v>
      </c>
    </row>
    <row r="73" ht="24" customHeight="1" spans="1:58">
      <c r="A73" s="14" t="str">
        <f>_xlfn.DISPIMG("ID_4C38737BB77D472E9215D54628542A1A",1)</f>
        <v>=DISPIMG("ID_4C38737BB77D472E9215D54628542A1A",1)</v>
      </c>
      <c r="B73" s="15" t="s">
        <v>1119</v>
      </c>
      <c r="C73" s="15" t="s">
        <v>1120</v>
      </c>
      <c r="D73" s="15" t="s">
        <v>1121</v>
      </c>
      <c r="E73" s="15" t="s">
        <v>1122</v>
      </c>
      <c r="F73" s="15" t="s">
        <v>1123</v>
      </c>
      <c r="G73" s="15" t="s">
        <v>1124</v>
      </c>
      <c r="H73" s="15" t="s">
        <v>1125</v>
      </c>
      <c r="I73" s="15" t="s">
        <v>1126</v>
      </c>
      <c r="J73" s="15" t="s">
        <v>1127</v>
      </c>
      <c r="K73" s="15" t="s">
        <v>65</v>
      </c>
      <c r="L73" s="15" t="s">
        <v>66</v>
      </c>
      <c r="M73" s="18">
        <v>35901</v>
      </c>
      <c r="N73" s="18">
        <v>18056</v>
      </c>
      <c r="O73" s="19">
        <v>0.3039</v>
      </c>
      <c r="P73" s="20" t="s">
        <v>67</v>
      </c>
      <c r="Q73" s="22" t="s">
        <v>1128</v>
      </c>
      <c r="R73" s="18">
        <v>761</v>
      </c>
      <c r="S73" s="19">
        <v>-0.2109</v>
      </c>
      <c r="T73" s="18">
        <v>22822.39</v>
      </c>
      <c r="U73" s="23" t="s">
        <v>404</v>
      </c>
      <c r="V73" s="18">
        <v>1499.5</v>
      </c>
      <c r="W73" s="24">
        <v>30</v>
      </c>
      <c r="X73" s="25">
        <v>29.99</v>
      </c>
      <c r="Z73" s="7"/>
      <c r="AA73" s="18">
        <v>22</v>
      </c>
      <c r="AB73" s="24">
        <v>1009</v>
      </c>
      <c r="AC73" s="18">
        <v>17</v>
      </c>
      <c r="AD73" s="28">
        <v>4.4</v>
      </c>
      <c r="AE73" s="29">
        <v>0.0223</v>
      </c>
      <c r="AF73" s="25">
        <v>7.13</v>
      </c>
      <c r="AG73" s="19">
        <v>0.5623</v>
      </c>
      <c r="AI73" s="14" t="s">
        <v>1129</v>
      </c>
      <c r="AJ73" s="24">
        <v>1609</v>
      </c>
      <c r="AK73" s="14" t="s">
        <v>72</v>
      </c>
      <c r="AL73" s="24">
        <v>10</v>
      </c>
      <c r="AM73" s="24">
        <v>1</v>
      </c>
      <c r="AN73" s="15" t="s">
        <v>1096</v>
      </c>
      <c r="AO73" s="14" t="s">
        <v>72</v>
      </c>
      <c r="AP73" s="14" t="s">
        <v>420</v>
      </c>
      <c r="AQ73" s="15" t="s">
        <v>1097</v>
      </c>
      <c r="AR73" s="14" t="s">
        <v>1098</v>
      </c>
      <c r="AS73" s="14" t="s">
        <v>77</v>
      </c>
      <c r="AT73" s="14" t="s">
        <v>77</v>
      </c>
      <c r="AU73" s="14" t="s">
        <v>77</v>
      </c>
      <c r="AV73" s="14" t="s">
        <v>76</v>
      </c>
      <c r="AW73" s="14" t="s">
        <v>76</v>
      </c>
      <c r="AX73" s="14" t="s">
        <v>77</v>
      </c>
      <c r="AY73" s="14" t="s">
        <v>76</v>
      </c>
      <c r="AZ73" s="14" t="s">
        <v>77</v>
      </c>
      <c r="BA73" s="15" t="s">
        <v>77</v>
      </c>
      <c r="BC73" s="23" t="s">
        <v>1130</v>
      </c>
      <c r="BD73" s="23" t="s">
        <v>1131</v>
      </c>
      <c r="BE73" s="23" t="s">
        <v>1101</v>
      </c>
      <c r="BF73" s="14" t="s">
        <v>1102</v>
      </c>
    </row>
    <row r="74" ht="24" customHeight="1" spans="1:58">
      <c r="A74" s="14" t="str">
        <f>_xlfn.DISPIMG("ID_F6BF61BAE9624EA5B7E1A08E3BD1C4B2",1)</f>
        <v>=DISPIMG("ID_F6BF61BAE9624EA5B7E1A08E3BD1C4B2",1)</v>
      </c>
      <c r="B74" s="15" t="s">
        <v>1132</v>
      </c>
      <c r="C74" s="15" t="s">
        <v>1133</v>
      </c>
      <c r="D74" s="15" t="s">
        <v>1134</v>
      </c>
      <c r="E74" s="15" t="s">
        <v>411</v>
      </c>
      <c r="F74" s="15" t="s">
        <v>412</v>
      </c>
      <c r="G74" s="15" t="s">
        <v>1135</v>
      </c>
      <c r="H74" s="15" t="s">
        <v>1136</v>
      </c>
      <c r="I74" s="15" t="s">
        <v>1137</v>
      </c>
      <c r="J74" s="15" t="s">
        <v>1138</v>
      </c>
      <c r="K74" s="15" t="s">
        <v>65</v>
      </c>
      <c r="L74" s="15" t="s">
        <v>66</v>
      </c>
      <c r="M74" s="18">
        <v>42132</v>
      </c>
      <c r="N74" s="18">
        <v>12370</v>
      </c>
      <c r="O74" s="19">
        <v>0.227</v>
      </c>
      <c r="P74" s="20" t="s">
        <v>67</v>
      </c>
      <c r="Q74" s="22" t="s">
        <v>1139</v>
      </c>
      <c r="R74" s="18">
        <v>1291</v>
      </c>
      <c r="S74" s="19">
        <v>-0.5123</v>
      </c>
      <c r="T74" s="18">
        <v>25807.09</v>
      </c>
      <c r="U74" s="23" t="s">
        <v>404</v>
      </c>
      <c r="V74" s="18">
        <v>999.5</v>
      </c>
      <c r="W74" s="24">
        <v>51</v>
      </c>
      <c r="X74" s="25">
        <v>19.99</v>
      </c>
      <c r="Z74" s="7"/>
      <c r="AB74" s="24">
        <v>494</v>
      </c>
      <c r="AC74" s="18">
        <v>35</v>
      </c>
      <c r="AD74" s="28">
        <v>4.4</v>
      </c>
      <c r="AE74" s="29">
        <v>0.0271</v>
      </c>
      <c r="AF74" s="25">
        <v>4.77</v>
      </c>
      <c r="AG74" s="19">
        <v>0.5614</v>
      </c>
      <c r="AI74" s="14" t="s">
        <v>1140</v>
      </c>
      <c r="AJ74" s="24">
        <v>380</v>
      </c>
      <c r="AK74" s="14" t="s">
        <v>72</v>
      </c>
      <c r="AL74" s="24">
        <v>10</v>
      </c>
      <c r="AM74" s="24">
        <v>1</v>
      </c>
      <c r="AN74" s="15" t="s">
        <v>419</v>
      </c>
      <c r="AO74" s="14" t="s">
        <v>72</v>
      </c>
      <c r="AP74" s="14" t="s">
        <v>420</v>
      </c>
      <c r="AQ74" s="15" t="s">
        <v>421</v>
      </c>
      <c r="AR74" s="14" t="s">
        <v>422</v>
      </c>
      <c r="AS74" s="14" t="s">
        <v>77</v>
      </c>
      <c r="AT74" s="14" t="s">
        <v>76</v>
      </c>
      <c r="AU74" s="14" t="s">
        <v>77</v>
      </c>
      <c r="AV74" s="14" t="s">
        <v>76</v>
      </c>
      <c r="AW74" s="14" t="s">
        <v>76</v>
      </c>
      <c r="AX74" s="14" t="s">
        <v>77</v>
      </c>
      <c r="AY74" s="14" t="s">
        <v>76</v>
      </c>
      <c r="AZ74" s="14" t="s">
        <v>77</v>
      </c>
      <c r="BA74" s="15" t="s">
        <v>77</v>
      </c>
      <c r="BB74" s="23" t="s">
        <v>76</v>
      </c>
      <c r="BC74" s="23" t="s">
        <v>562</v>
      </c>
      <c r="BD74" s="23" t="s">
        <v>563</v>
      </c>
      <c r="BE74" s="23" t="s">
        <v>1141</v>
      </c>
      <c r="BF74" s="14" t="s">
        <v>1142</v>
      </c>
    </row>
    <row r="75" ht="24" customHeight="1" spans="1:58">
      <c r="A75" s="14" t="str">
        <f>_xlfn.DISPIMG("ID_00C949BB46E644F4A67CE3CBC8951144",1)</f>
        <v>=DISPIMG("ID_00C949BB46E644F4A67CE3CBC8951144",1)</v>
      </c>
      <c r="B75" s="15" t="s">
        <v>1143</v>
      </c>
      <c r="C75" s="15" t="s">
        <v>84</v>
      </c>
      <c r="D75" s="15" t="s">
        <v>202</v>
      </c>
      <c r="E75" s="15" t="s">
        <v>86</v>
      </c>
      <c r="F75" s="15" t="s">
        <v>87</v>
      </c>
      <c r="G75" s="15" t="s">
        <v>1144</v>
      </c>
      <c r="H75" s="15" t="s">
        <v>1145</v>
      </c>
      <c r="I75" s="15" t="s">
        <v>1146</v>
      </c>
      <c r="J75" s="15" t="s">
        <v>1147</v>
      </c>
      <c r="K75" s="15" t="s">
        <v>65</v>
      </c>
      <c r="L75" s="15" t="s">
        <v>66</v>
      </c>
      <c r="M75" s="18">
        <v>36320</v>
      </c>
      <c r="N75" s="18">
        <v>1392</v>
      </c>
      <c r="O75" s="19">
        <v>0.0357</v>
      </c>
      <c r="P75" s="20" t="s">
        <v>92</v>
      </c>
      <c r="Q75" s="22" t="s">
        <v>1148</v>
      </c>
      <c r="R75" s="18">
        <v>1101</v>
      </c>
      <c r="S75" s="19">
        <v>-0.3287</v>
      </c>
      <c r="T75" s="18">
        <v>28626</v>
      </c>
      <c r="U75" s="23" t="s">
        <v>175</v>
      </c>
      <c r="V75" s="18">
        <v>2600</v>
      </c>
      <c r="W75" s="24">
        <v>56</v>
      </c>
      <c r="X75" s="25">
        <v>26</v>
      </c>
      <c r="Z75" s="7"/>
      <c r="AA75" s="18">
        <v>4</v>
      </c>
      <c r="AB75" s="24">
        <v>224</v>
      </c>
      <c r="AC75" s="18">
        <v>8</v>
      </c>
      <c r="AD75" s="28">
        <v>4.6</v>
      </c>
      <c r="AE75" s="29">
        <v>0.0073</v>
      </c>
      <c r="AF75" s="25">
        <v>5.39</v>
      </c>
      <c r="AG75" s="19">
        <v>0.5927</v>
      </c>
      <c r="AI75" s="14" t="s">
        <v>1149</v>
      </c>
      <c r="AJ75" s="24">
        <v>639</v>
      </c>
      <c r="AK75" s="14" t="s">
        <v>72</v>
      </c>
      <c r="AL75" s="24">
        <v>10</v>
      </c>
      <c r="AM75" s="24">
        <v>1</v>
      </c>
      <c r="AN75" s="15" t="s">
        <v>86</v>
      </c>
      <c r="AO75" s="14" t="s">
        <v>72</v>
      </c>
      <c r="AP75" s="14" t="s">
        <v>73</v>
      </c>
      <c r="AQ75" s="15" t="s">
        <v>96</v>
      </c>
      <c r="AR75" s="14" t="s">
        <v>97</v>
      </c>
      <c r="AS75" s="14" t="s">
        <v>77</v>
      </c>
      <c r="AT75" s="14" t="s">
        <v>76</v>
      </c>
      <c r="AU75" s="14" t="s">
        <v>76</v>
      </c>
      <c r="AV75" s="14" t="s">
        <v>76</v>
      </c>
      <c r="AW75" s="14" t="s">
        <v>77</v>
      </c>
      <c r="AX75" s="14" t="s">
        <v>77</v>
      </c>
      <c r="AY75" s="14" t="s">
        <v>76</v>
      </c>
      <c r="AZ75" s="14" t="s">
        <v>77</v>
      </c>
      <c r="BA75" s="15" t="s">
        <v>77</v>
      </c>
      <c r="BB75" s="23" t="s">
        <v>76</v>
      </c>
      <c r="BC75" s="23" t="s">
        <v>1150</v>
      </c>
      <c r="BD75" s="23" t="s">
        <v>730</v>
      </c>
      <c r="BE75" s="23" t="s">
        <v>1151</v>
      </c>
      <c r="BF75" s="14" t="s">
        <v>1152</v>
      </c>
    </row>
    <row r="76" ht="24" customHeight="1" spans="1:58">
      <c r="A76" s="14" t="str">
        <f>_xlfn.DISPIMG("ID_34A9F8B1A98B47BBA7F316EC43E6455F",1)</f>
        <v>=DISPIMG("ID_34A9F8B1A98B47BBA7F316EC43E6455F",1)</v>
      </c>
      <c r="B76" s="15" t="s">
        <v>1153</v>
      </c>
      <c r="C76" s="15" t="s">
        <v>1154</v>
      </c>
      <c r="D76" s="15" t="s">
        <v>1155</v>
      </c>
      <c r="E76" s="15" t="s">
        <v>447</v>
      </c>
      <c r="F76" s="15" t="s">
        <v>448</v>
      </c>
      <c r="G76" s="15" t="s">
        <v>1156</v>
      </c>
      <c r="H76" s="15" t="s">
        <v>1157</v>
      </c>
      <c r="I76" s="15" t="s">
        <v>1158</v>
      </c>
      <c r="J76" s="15" t="s">
        <v>1159</v>
      </c>
      <c r="K76" s="15" t="s">
        <v>65</v>
      </c>
      <c r="L76" s="15" t="s">
        <v>66</v>
      </c>
      <c r="M76" s="18">
        <v>48204</v>
      </c>
      <c r="N76" s="18">
        <v>23296</v>
      </c>
      <c r="O76" s="19">
        <v>0.3361</v>
      </c>
      <c r="P76" s="20" t="s">
        <v>108</v>
      </c>
      <c r="Q76" s="22" t="s">
        <v>1160</v>
      </c>
      <c r="R76" s="18">
        <v>848</v>
      </c>
      <c r="S76" s="19">
        <v>-0.2494</v>
      </c>
      <c r="T76" s="18">
        <v>15255.52</v>
      </c>
      <c r="U76" s="23" t="s">
        <v>77</v>
      </c>
      <c r="V76" s="18" t="s">
        <v>77</v>
      </c>
      <c r="W76" s="24">
        <v>70</v>
      </c>
      <c r="X76" s="25">
        <v>17.99</v>
      </c>
      <c r="Z76" s="7"/>
      <c r="AB76" s="24">
        <v>78</v>
      </c>
      <c r="AC76" s="18">
        <v>8</v>
      </c>
      <c r="AD76" s="28">
        <v>4.4</v>
      </c>
      <c r="AE76" s="29">
        <v>0.0094</v>
      </c>
      <c r="AF76" s="25">
        <v>4.71</v>
      </c>
      <c r="AG76" s="19">
        <v>0.5382</v>
      </c>
      <c r="AI76" s="14" t="s">
        <v>1161</v>
      </c>
      <c r="AJ76" s="24">
        <v>259</v>
      </c>
      <c r="AK76" s="14" t="s">
        <v>72</v>
      </c>
      <c r="AL76" s="24">
        <v>9.7</v>
      </c>
      <c r="AM76" s="24">
        <v>1</v>
      </c>
      <c r="AN76" s="15" t="s">
        <v>456</v>
      </c>
      <c r="AO76" s="14" t="s">
        <v>72</v>
      </c>
      <c r="AP76" s="14" t="s">
        <v>73</v>
      </c>
      <c r="AQ76" s="15" t="s">
        <v>457</v>
      </c>
      <c r="AR76" s="14" t="s">
        <v>458</v>
      </c>
      <c r="AS76" s="14" t="s">
        <v>77</v>
      </c>
      <c r="AT76" s="14" t="s">
        <v>77</v>
      </c>
      <c r="AU76" s="14" t="s">
        <v>77</v>
      </c>
      <c r="AV76" s="14" t="s">
        <v>76</v>
      </c>
      <c r="AW76" s="14" t="s">
        <v>77</v>
      </c>
      <c r="AX76" s="14" t="s">
        <v>77</v>
      </c>
      <c r="AY76" s="14" t="s">
        <v>77</v>
      </c>
      <c r="AZ76" s="14" t="s">
        <v>77</v>
      </c>
      <c r="BA76" s="15" t="s">
        <v>77</v>
      </c>
      <c r="BD76" s="23" t="s">
        <v>77</v>
      </c>
      <c r="BF76" s="14" t="s">
        <v>77</v>
      </c>
    </row>
    <row r="77" ht="24" customHeight="1" spans="1:58">
      <c r="A77" s="14" t="str">
        <f>_xlfn.DISPIMG("ID_1F524CE7422945E89473875F905223BF",1)</f>
        <v>=DISPIMG("ID_1F524CE7422945E89473875F905223BF",1)</v>
      </c>
      <c r="B77" s="15" t="s">
        <v>1162</v>
      </c>
      <c r="C77" s="15" t="s">
        <v>1163</v>
      </c>
      <c r="D77" s="15" t="s">
        <v>1164</v>
      </c>
      <c r="E77" s="15" t="s">
        <v>717</v>
      </c>
      <c r="F77" s="15" t="s">
        <v>718</v>
      </c>
      <c r="G77" s="15" t="s">
        <v>1165</v>
      </c>
      <c r="H77" s="15" t="s">
        <v>1166</v>
      </c>
      <c r="I77" s="15" t="s">
        <v>1167</v>
      </c>
      <c r="J77" s="15" t="s">
        <v>1168</v>
      </c>
      <c r="K77" s="15" t="s">
        <v>65</v>
      </c>
      <c r="L77" s="15" t="s">
        <v>66</v>
      </c>
      <c r="M77" s="18">
        <v>1832</v>
      </c>
      <c r="N77" s="18">
        <v>1365</v>
      </c>
      <c r="O77" s="19">
        <v>0.427</v>
      </c>
      <c r="P77" s="20" t="s">
        <v>92</v>
      </c>
      <c r="Q77" s="22" t="s">
        <v>1169</v>
      </c>
      <c r="R77" s="18">
        <v>12959</v>
      </c>
      <c r="S77" s="19">
        <v>2.0066</v>
      </c>
      <c r="T77" s="18">
        <v>181296.4</v>
      </c>
      <c r="U77" s="23" t="s">
        <v>175</v>
      </c>
      <c r="V77" s="18">
        <v>1399</v>
      </c>
      <c r="W77" s="24">
        <v>87</v>
      </c>
      <c r="X77" s="25">
        <v>13.99</v>
      </c>
      <c r="Z77" s="7"/>
      <c r="AB77" s="24">
        <v>378</v>
      </c>
      <c r="AC77" s="18">
        <v>37</v>
      </c>
      <c r="AD77" s="28">
        <v>4.4</v>
      </c>
      <c r="AE77" s="29">
        <v>0.0029</v>
      </c>
      <c r="AF77" s="25">
        <v>4.94</v>
      </c>
      <c r="AG77" s="19">
        <v>0.4469</v>
      </c>
      <c r="AI77" s="14" t="s">
        <v>1170</v>
      </c>
      <c r="AJ77" s="24">
        <v>260</v>
      </c>
      <c r="AK77" s="14" t="s">
        <v>72</v>
      </c>
      <c r="AL77" s="24">
        <v>8.7</v>
      </c>
      <c r="AM77" s="24">
        <v>2</v>
      </c>
      <c r="AN77" s="15" t="s">
        <v>726</v>
      </c>
      <c r="AO77" s="14" t="s">
        <v>72</v>
      </c>
      <c r="AP77" s="14" t="s">
        <v>73</v>
      </c>
      <c r="AQ77" s="15" t="s">
        <v>727</v>
      </c>
      <c r="AR77" s="14" t="s">
        <v>728</v>
      </c>
      <c r="AS77" s="14" t="s">
        <v>77</v>
      </c>
      <c r="AT77" s="14" t="s">
        <v>76</v>
      </c>
      <c r="AU77" s="14" t="s">
        <v>77</v>
      </c>
      <c r="AV77" s="14" t="s">
        <v>76</v>
      </c>
      <c r="AW77" s="14" t="s">
        <v>76</v>
      </c>
      <c r="AX77" s="14" t="s">
        <v>77</v>
      </c>
      <c r="AY77" s="14" t="s">
        <v>77</v>
      </c>
      <c r="AZ77" s="14" t="s">
        <v>77</v>
      </c>
      <c r="BA77" s="15" t="s">
        <v>77</v>
      </c>
      <c r="BB77" s="23" t="s">
        <v>76</v>
      </c>
      <c r="BC77" s="23" t="s">
        <v>496</v>
      </c>
      <c r="BD77" s="23" t="s">
        <v>497</v>
      </c>
      <c r="BE77" s="23" t="s">
        <v>1171</v>
      </c>
      <c r="BF77" s="14" t="s">
        <v>1172</v>
      </c>
    </row>
    <row r="78" ht="24" customHeight="1" spans="1:58">
      <c r="A78" s="14" t="str">
        <f>_xlfn.DISPIMG("ID_27C1310AF4F94ADE91F1B483ACF0C564",1)</f>
        <v>=DISPIMG("ID_27C1310AF4F94ADE91F1B483ACF0C564",1)</v>
      </c>
      <c r="B78" s="15" t="s">
        <v>1173</v>
      </c>
      <c r="C78" s="15" t="s">
        <v>185</v>
      </c>
      <c r="D78" s="15" t="s">
        <v>1174</v>
      </c>
      <c r="E78" s="15" t="s">
        <v>289</v>
      </c>
      <c r="F78" s="15" t="s">
        <v>290</v>
      </c>
      <c r="G78" s="15" t="s">
        <v>1175</v>
      </c>
      <c r="H78" s="15" t="s">
        <v>1176</v>
      </c>
      <c r="I78" s="15" t="s">
        <v>1177</v>
      </c>
      <c r="J78" s="15" t="s">
        <v>1178</v>
      </c>
      <c r="K78" s="15" t="s">
        <v>65</v>
      </c>
      <c r="L78" s="15" t="s">
        <v>66</v>
      </c>
      <c r="M78" s="18">
        <v>51062</v>
      </c>
      <c r="N78" s="18">
        <v>-7666</v>
      </c>
      <c r="O78" s="19">
        <v>-0.1442</v>
      </c>
      <c r="P78" s="20" t="s">
        <v>92</v>
      </c>
      <c r="Q78" s="22" t="s">
        <v>1179</v>
      </c>
      <c r="R78" s="18">
        <v>1335</v>
      </c>
      <c r="S78" s="19">
        <v>-0.1707</v>
      </c>
      <c r="T78" s="18">
        <v>24016.65</v>
      </c>
      <c r="U78" s="23" t="s">
        <v>404</v>
      </c>
      <c r="V78" s="18">
        <v>899.5</v>
      </c>
      <c r="W78" s="24">
        <v>31</v>
      </c>
      <c r="X78" s="25">
        <v>17.99</v>
      </c>
      <c r="Z78" s="7"/>
      <c r="AB78" s="24">
        <v>110</v>
      </c>
      <c r="AC78" s="18">
        <v>19</v>
      </c>
      <c r="AD78" s="28">
        <v>4.1</v>
      </c>
      <c r="AE78" s="29">
        <v>0.0142</v>
      </c>
      <c r="AF78" s="25">
        <v>3.6</v>
      </c>
      <c r="AG78" s="19">
        <v>0.5999</v>
      </c>
      <c r="AI78" s="14" t="s">
        <v>1180</v>
      </c>
      <c r="AJ78" s="24">
        <v>228</v>
      </c>
      <c r="AK78" s="14" t="s">
        <v>72</v>
      </c>
      <c r="AL78" s="24">
        <v>10</v>
      </c>
      <c r="AM78" s="24">
        <v>1</v>
      </c>
      <c r="AN78" s="15" t="s">
        <v>289</v>
      </c>
      <c r="AO78" s="14" t="s">
        <v>72</v>
      </c>
      <c r="AP78" s="14" t="s">
        <v>73</v>
      </c>
      <c r="AQ78" s="15" t="s">
        <v>297</v>
      </c>
      <c r="AR78" s="14" t="s">
        <v>298</v>
      </c>
      <c r="AS78" s="14" t="s">
        <v>77</v>
      </c>
      <c r="AT78" s="14" t="s">
        <v>77</v>
      </c>
      <c r="AU78" s="14" t="s">
        <v>77</v>
      </c>
      <c r="AV78" s="14" t="s">
        <v>76</v>
      </c>
      <c r="AW78" s="14" t="s">
        <v>77</v>
      </c>
      <c r="AX78" s="14" t="s">
        <v>77</v>
      </c>
      <c r="AY78" s="14" t="s">
        <v>76</v>
      </c>
      <c r="AZ78" s="14" t="s">
        <v>77</v>
      </c>
      <c r="BA78" s="15" t="s">
        <v>77</v>
      </c>
      <c r="BD78" s="23" t="s">
        <v>77</v>
      </c>
      <c r="BF78" s="14" t="s">
        <v>77</v>
      </c>
    </row>
    <row r="79" ht="24" customHeight="1" spans="1:58">
      <c r="A79" s="14" t="str">
        <f>_xlfn.DISPIMG("ID_A1DF363BFA104250BA58ADFE8B1E8FEC",1)</f>
        <v>=DISPIMG("ID_A1DF363BFA104250BA58ADFE8B1E8FEC",1)</v>
      </c>
      <c r="B79" s="15" t="s">
        <v>1181</v>
      </c>
      <c r="C79" s="15" t="s">
        <v>84</v>
      </c>
      <c r="D79" s="15" t="s">
        <v>1182</v>
      </c>
      <c r="E79" s="15" t="s">
        <v>1183</v>
      </c>
      <c r="F79" s="15" t="s">
        <v>1184</v>
      </c>
      <c r="G79" s="15" t="s">
        <v>1185</v>
      </c>
      <c r="H79" s="15" t="s">
        <v>1186</v>
      </c>
      <c r="I79" s="15" t="s">
        <v>1187</v>
      </c>
      <c r="J79" s="15" t="s">
        <v>1188</v>
      </c>
      <c r="K79" s="15" t="s">
        <v>65</v>
      </c>
      <c r="L79" s="15" t="s">
        <v>66</v>
      </c>
      <c r="M79" s="18">
        <v>44303</v>
      </c>
      <c r="N79" s="18">
        <v>8560</v>
      </c>
      <c r="O79" s="19">
        <v>0.171</v>
      </c>
      <c r="P79" s="20" t="s">
        <v>92</v>
      </c>
      <c r="Q79" s="22" t="s">
        <v>1189</v>
      </c>
      <c r="R79" s="18">
        <v>857</v>
      </c>
      <c r="S79" s="19">
        <v>0.1047</v>
      </c>
      <c r="T79" s="18">
        <v>37965.098</v>
      </c>
      <c r="U79" s="23" t="s">
        <v>404</v>
      </c>
      <c r="V79" s="18">
        <v>2215</v>
      </c>
      <c r="W79" s="24">
        <v>15</v>
      </c>
      <c r="X79" s="25">
        <v>0</v>
      </c>
      <c r="Z79" s="7"/>
      <c r="AA79" s="18">
        <v>29</v>
      </c>
      <c r="AB79" s="24">
        <v>1194</v>
      </c>
      <c r="AC79" s="18">
        <v>4</v>
      </c>
      <c r="AD79" s="28">
        <v>4.1</v>
      </c>
      <c r="AE79" s="29">
        <v>0.0047</v>
      </c>
      <c r="AF79" s="25">
        <v>5</v>
      </c>
      <c r="AG79" s="19">
        <v>0.6871</v>
      </c>
      <c r="AI79" s="14" t="s">
        <v>1190</v>
      </c>
      <c r="AJ79" s="24">
        <v>1499</v>
      </c>
      <c r="AK79" s="14" t="s">
        <v>72</v>
      </c>
      <c r="AL79" s="24">
        <v>9.9</v>
      </c>
      <c r="AM79" s="24">
        <v>5</v>
      </c>
      <c r="AN79" s="15" t="s">
        <v>1191</v>
      </c>
      <c r="AO79" s="14" t="s">
        <v>72</v>
      </c>
      <c r="AP79" s="14" t="s">
        <v>420</v>
      </c>
      <c r="AQ79" s="15" t="s">
        <v>1192</v>
      </c>
      <c r="AR79" s="14" t="s">
        <v>1193</v>
      </c>
      <c r="AS79" s="14" t="s">
        <v>77</v>
      </c>
      <c r="AT79" s="14" t="s">
        <v>77</v>
      </c>
      <c r="AU79" s="14" t="s">
        <v>77</v>
      </c>
      <c r="AV79" s="14" t="s">
        <v>76</v>
      </c>
      <c r="AW79" s="14" t="s">
        <v>76</v>
      </c>
      <c r="AX79" s="14" t="s">
        <v>77</v>
      </c>
      <c r="AY79" s="14" t="s">
        <v>77</v>
      </c>
      <c r="AZ79" s="14" t="s">
        <v>77</v>
      </c>
      <c r="BA79" s="15" t="s">
        <v>77</v>
      </c>
      <c r="BC79" s="23" t="s">
        <v>1194</v>
      </c>
      <c r="BD79" s="23" t="s">
        <v>144</v>
      </c>
      <c r="BE79" s="23" t="s">
        <v>1195</v>
      </c>
      <c r="BF79" s="14" t="s">
        <v>1196</v>
      </c>
    </row>
    <row r="80" ht="24" customHeight="1" spans="1:58">
      <c r="A80" s="14" t="str">
        <f>_xlfn.DISPIMG("ID_B293C16E02AB4EEBBC2B93AE022CF2C0",1)</f>
        <v>=DISPIMG("ID_B293C16E02AB4EEBBC2B93AE022CF2C0",1)</v>
      </c>
      <c r="B80" s="15" t="s">
        <v>1197</v>
      </c>
      <c r="C80" s="15" t="s">
        <v>84</v>
      </c>
      <c r="D80" s="15" t="s">
        <v>1198</v>
      </c>
      <c r="E80" s="15" t="s">
        <v>186</v>
      </c>
      <c r="F80" s="15" t="s">
        <v>187</v>
      </c>
      <c r="G80" s="15" t="s">
        <v>1199</v>
      </c>
      <c r="H80" s="15" t="s">
        <v>1200</v>
      </c>
      <c r="I80" s="15" t="s">
        <v>1201</v>
      </c>
      <c r="J80" s="15" t="s">
        <v>1202</v>
      </c>
      <c r="K80" s="15" t="s">
        <v>65</v>
      </c>
      <c r="L80" s="15" t="s">
        <v>66</v>
      </c>
      <c r="M80" s="18">
        <v>44318</v>
      </c>
      <c r="N80" s="18">
        <v>21122</v>
      </c>
      <c r="O80" s="19">
        <v>0.3456</v>
      </c>
      <c r="P80" s="20" t="s">
        <v>67</v>
      </c>
      <c r="Q80" s="22" t="s">
        <v>1203</v>
      </c>
      <c r="R80" s="18">
        <v>1310</v>
      </c>
      <c r="S80" s="19">
        <v>-0.043</v>
      </c>
      <c r="T80" s="18">
        <v>23553.799</v>
      </c>
      <c r="U80" s="23" t="s">
        <v>404</v>
      </c>
      <c r="V80" s="18">
        <v>899</v>
      </c>
      <c r="W80" s="24">
        <v>80</v>
      </c>
      <c r="X80" s="25">
        <v>17.98</v>
      </c>
      <c r="Z80" s="23" t="s">
        <v>70</v>
      </c>
      <c r="AA80" s="18">
        <v>17</v>
      </c>
      <c r="AB80" s="24">
        <v>6751</v>
      </c>
      <c r="AC80" s="18">
        <v>32</v>
      </c>
      <c r="AD80" s="28">
        <v>4.4</v>
      </c>
      <c r="AE80" s="29">
        <v>0.0244</v>
      </c>
      <c r="AF80" s="25">
        <v>5.46</v>
      </c>
      <c r="AG80" s="19">
        <v>0.4963</v>
      </c>
      <c r="AI80" s="14" t="s">
        <v>1204</v>
      </c>
      <c r="AJ80" s="24">
        <v>2622</v>
      </c>
      <c r="AK80" s="14" t="s">
        <v>72</v>
      </c>
      <c r="AL80" s="24">
        <v>8.5</v>
      </c>
      <c r="AM80" s="24">
        <v>1</v>
      </c>
      <c r="AN80" s="15" t="s">
        <v>194</v>
      </c>
      <c r="AO80" s="14" t="s">
        <v>72</v>
      </c>
      <c r="AP80" s="14" t="s">
        <v>73</v>
      </c>
      <c r="AQ80" s="15" t="s">
        <v>195</v>
      </c>
      <c r="AR80" s="14" t="s">
        <v>196</v>
      </c>
      <c r="AS80" s="14" t="s">
        <v>76</v>
      </c>
      <c r="AT80" s="14" t="s">
        <v>76</v>
      </c>
      <c r="AU80" s="14" t="s">
        <v>77</v>
      </c>
      <c r="AV80" s="14" t="s">
        <v>76</v>
      </c>
      <c r="AW80" s="14" t="s">
        <v>76</v>
      </c>
      <c r="AX80" s="14" t="s">
        <v>77</v>
      </c>
      <c r="AY80" s="14" t="s">
        <v>76</v>
      </c>
      <c r="AZ80" s="14" t="s">
        <v>77</v>
      </c>
      <c r="BA80" s="15" t="s">
        <v>77</v>
      </c>
      <c r="BB80" s="23" t="s">
        <v>77</v>
      </c>
      <c r="BC80" s="23" t="s">
        <v>197</v>
      </c>
      <c r="BD80" s="23" t="s">
        <v>198</v>
      </c>
      <c r="BE80" s="23" t="s">
        <v>199</v>
      </c>
      <c r="BF80" s="14" t="s">
        <v>200</v>
      </c>
    </row>
    <row r="81" ht="24" customHeight="1" spans="1:58">
      <c r="A81" s="14" t="str">
        <f>_xlfn.DISPIMG("ID_48EED63F2EFD4DB0820E2A2718AC0DE0",1)</f>
        <v>=DISPIMG("ID_48EED63F2EFD4DB0820E2A2718AC0DE0",1)</v>
      </c>
      <c r="B81" s="15" t="s">
        <v>1205</v>
      </c>
      <c r="C81" s="15" t="s">
        <v>1206</v>
      </c>
      <c r="D81" s="15" t="s">
        <v>1207</v>
      </c>
      <c r="E81" s="15" t="s">
        <v>1208</v>
      </c>
      <c r="F81" s="15" t="s">
        <v>1209</v>
      </c>
      <c r="G81" s="15" t="s">
        <v>1210</v>
      </c>
      <c r="H81" s="15" t="s">
        <v>1211</v>
      </c>
      <c r="I81" s="15" t="s">
        <v>1212</v>
      </c>
      <c r="J81" s="15" t="s">
        <v>1213</v>
      </c>
      <c r="K81" s="15" t="s">
        <v>65</v>
      </c>
      <c r="L81" s="15" t="s">
        <v>66</v>
      </c>
      <c r="M81" s="18">
        <v>44038</v>
      </c>
      <c r="N81" s="18">
        <v>-3130</v>
      </c>
      <c r="O81" s="19">
        <v>-0.0699</v>
      </c>
      <c r="P81" s="20" t="s">
        <v>92</v>
      </c>
      <c r="Q81" s="22" t="s">
        <v>1214</v>
      </c>
      <c r="R81" s="18">
        <v>990</v>
      </c>
      <c r="S81" s="19">
        <v>-0.3946</v>
      </c>
      <c r="T81" s="18">
        <v>26720.1</v>
      </c>
      <c r="U81" s="23" t="s">
        <v>77</v>
      </c>
      <c r="V81" s="18" t="s">
        <v>77</v>
      </c>
      <c r="W81" s="24">
        <v>94</v>
      </c>
      <c r="X81" s="25">
        <v>26.99</v>
      </c>
      <c r="Y81" s="25">
        <v>22.94</v>
      </c>
      <c r="Z81" s="7"/>
      <c r="AA81" s="18">
        <v>27</v>
      </c>
      <c r="AB81" s="24">
        <v>5251</v>
      </c>
      <c r="AC81" s="18">
        <v>26</v>
      </c>
      <c r="AD81" s="28">
        <v>4</v>
      </c>
      <c r="AE81" s="29">
        <v>0.0263</v>
      </c>
      <c r="AF81" s="25">
        <v>7.04</v>
      </c>
      <c r="AG81" s="19">
        <v>0.5392</v>
      </c>
      <c r="AI81" s="14" t="s">
        <v>1215</v>
      </c>
      <c r="AJ81" s="24">
        <v>1417</v>
      </c>
      <c r="AK81" s="14" t="s">
        <v>72</v>
      </c>
      <c r="AL81" s="24">
        <v>9.3</v>
      </c>
      <c r="AM81" s="24">
        <v>1</v>
      </c>
      <c r="AN81" s="15" t="s">
        <v>1208</v>
      </c>
      <c r="AO81" s="14" t="s">
        <v>72</v>
      </c>
      <c r="AP81" s="14" t="s">
        <v>73</v>
      </c>
      <c r="AQ81" s="15" t="s">
        <v>1216</v>
      </c>
      <c r="AR81" s="14" t="s">
        <v>1217</v>
      </c>
      <c r="AS81" s="14" t="s">
        <v>77</v>
      </c>
      <c r="AT81" s="14" t="s">
        <v>77</v>
      </c>
      <c r="AU81" s="14" t="s">
        <v>77</v>
      </c>
      <c r="AV81" s="14" t="s">
        <v>76</v>
      </c>
      <c r="AW81" s="14" t="s">
        <v>76</v>
      </c>
      <c r="AX81" s="14" t="s">
        <v>77</v>
      </c>
      <c r="AY81" s="14" t="s">
        <v>76</v>
      </c>
      <c r="AZ81" s="14" t="s">
        <v>77</v>
      </c>
      <c r="BA81" s="15" t="s">
        <v>77</v>
      </c>
      <c r="BC81" s="23" t="s">
        <v>143</v>
      </c>
      <c r="BD81" s="23" t="s">
        <v>144</v>
      </c>
      <c r="BE81" s="23" t="s">
        <v>1218</v>
      </c>
      <c r="BF81" s="14" t="s">
        <v>1219</v>
      </c>
    </row>
    <row r="82" ht="24" customHeight="1" spans="1:58">
      <c r="A82" s="14" t="str">
        <f>_xlfn.DISPIMG("ID_CC0772E056D749B49186F05746C01F80",1)</f>
        <v>=DISPIMG("ID_CC0772E056D749B49186F05746C01F80",1)</v>
      </c>
      <c r="B82" s="15" t="s">
        <v>1220</v>
      </c>
      <c r="C82" s="15" t="s">
        <v>1221</v>
      </c>
      <c r="D82" s="15" t="s">
        <v>1222</v>
      </c>
      <c r="E82" s="15" t="s">
        <v>1223</v>
      </c>
      <c r="F82" s="15" t="s">
        <v>1224</v>
      </c>
      <c r="G82" s="15" t="s">
        <v>1225</v>
      </c>
      <c r="H82" s="15" t="s">
        <v>1226</v>
      </c>
      <c r="I82" s="15" t="s">
        <v>1227</v>
      </c>
      <c r="J82" s="15" t="s">
        <v>1228</v>
      </c>
      <c r="K82" s="15" t="s">
        <v>65</v>
      </c>
      <c r="L82" s="15" t="s">
        <v>66</v>
      </c>
      <c r="M82" s="18">
        <v>39220</v>
      </c>
      <c r="N82" s="18">
        <v>13473</v>
      </c>
      <c r="O82" s="19">
        <v>0.2302</v>
      </c>
      <c r="P82" s="20" t="s">
        <v>67</v>
      </c>
      <c r="Q82" s="22" t="s">
        <v>1229</v>
      </c>
      <c r="R82" s="18">
        <v>974</v>
      </c>
      <c r="S82" s="19">
        <v>-0.2475</v>
      </c>
      <c r="T82" s="18">
        <v>38950.26</v>
      </c>
      <c r="U82" s="23" t="s">
        <v>77</v>
      </c>
      <c r="V82" s="18" t="s">
        <v>77</v>
      </c>
      <c r="W82" s="24">
        <v>55</v>
      </c>
      <c r="X82" s="25">
        <v>39.99</v>
      </c>
      <c r="Y82" s="25">
        <v>35.99</v>
      </c>
      <c r="Z82" s="7"/>
      <c r="AB82" s="24">
        <v>169</v>
      </c>
      <c r="AC82" s="18">
        <v>16</v>
      </c>
      <c r="AD82" s="28">
        <v>4.6</v>
      </c>
      <c r="AE82" s="29">
        <v>0.0164</v>
      </c>
      <c r="AF82" s="25">
        <v>7.27</v>
      </c>
      <c r="AG82" s="19">
        <v>0.6182</v>
      </c>
      <c r="AI82" s="14" t="s">
        <v>1230</v>
      </c>
      <c r="AJ82" s="24">
        <v>379</v>
      </c>
      <c r="AK82" s="14" t="s">
        <v>72</v>
      </c>
      <c r="AL82" s="24">
        <v>10</v>
      </c>
      <c r="AM82" s="24">
        <v>1</v>
      </c>
      <c r="AN82" s="15" t="s">
        <v>1231</v>
      </c>
      <c r="AO82" s="14" t="s">
        <v>72</v>
      </c>
      <c r="AP82" s="14" t="s">
        <v>73</v>
      </c>
      <c r="AQ82" s="15" t="s">
        <v>1232</v>
      </c>
      <c r="AR82" s="14" t="s">
        <v>1233</v>
      </c>
      <c r="AS82" s="14" t="s">
        <v>77</v>
      </c>
      <c r="AT82" s="14" t="s">
        <v>76</v>
      </c>
      <c r="AU82" s="14" t="s">
        <v>77</v>
      </c>
      <c r="AV82" s="14" t="s">
        <v>76</v>
      </c>
      <c r="AW82" s="14" t="s">
        <v>76</v>
      </c>
      <c r="AX82" s="14" t="s">
        <v>77</v>
      </c>
      <c r="AY82" s="14" t="s">
        <v>76</v>
      </c>
      <c r="AZ82" s="14" t="s">
        <v>77</v>
      </c>
      <c r="BA82" s="15" t="s">
        <v>77</v>
      </c>
      <c r="BB82" s="23" t="s">
        <v>77</v>
      </c>
      <c r="BD82" s="23" t="s">
        <v>77</v>
      </c>
      <c r="BF82" s="14" t="s">
        <v>77</v>
      </c>
    </row>
    <row r="83" ht="24" customHeight="1" spans="1:58">
      <c r="A83" s="14" t="str">
        <f>_xlfn.DISPIMG("ID_12D24B6EA6D14BB49177D18E3C833E8D",1)</f>
        <v>=DISPIMG("ID_12D24B6EA6D14BB49177D18E3C833E8D",1)</v>
      </c>
      <c r="B83" s="15" t="s">
        <v>1234</v>
      </c>
      <c r="C83" s="15" t="s">
        <v>84</v>
      </c>
      <c r="D83" s="15" t="s">
        <v>1235</v>
      </c>
      <c r="E83" s="15" t="s">
        <v>86</v>
      </c>
      <c r="F83" s="15" t="s">
        <v>87</v>
      </c>
      <c r="G83" s="15" t="s">
        <v>1236</v>
      </c>
      <c r="H83" s="15" t="s">
        <v>1237</v>
      </c>
      <c r="I83" s="15" t="s">
        <v>1238</v>
      </c>
      <c r="J83" s="15" t="s">
        <v>1239</v>
      </c>
      <c r="K83" s="15" t="s">
        <v>65</v>
      </c>
      <c r="L83" s="15" t="s">
        <v>66</v>
      </c>
      <c r="M83" s="18">
        <v>52843</v>
      </c>
      <c r="N83" s="18">
        <v>19472</v>
      </c>
      <c r="O83" s="19">
        <v>0.2617</v>
      </c>
      <c r="P83" s="20" t="s">
        <v>92</v>
      </c>
      <c r="Q83" s="22" t="s">
        <v>1240</v>
      </c>
      <c r="R83" s="18">
        <v>413</v>
      </c>
      <c r="S83" s="19" t="s">
        <v>77</v>
      </c>
      <c r="T83" s="18">
        <v>8260</v>
      </c>
      <c r="U83" s="23" t="s">
        <v>77</v>
      </c>
      <c r="V83" s="18" t="s">
        <v>77</v>
      </c>
      <c r="W83" s="24">
        <v>29</v>
      </c>
      <c r="X83" s="25">
        <v>20</v>
      </c>
      <c r="Z83" s="7"/>
      <c r="AE83" s="29">
        <v>0</v>
      </c>
      <c r="AF83" s="25">
        <v>5</v>
      </c>
      <c r="AG83" s="19">
        <v>0.55</v>
      </c>
      <c r="AI83" s="14" t="s">
        <v>1241</v>
      </c>
      <c r="AJ83" s="24">
        <v>25</v>
      </c>
      <c r="AK83" s="14" t="s">
        <v>72</v>
      </c>
      <c r="AL83" s="24">
        <v>6.4</v>
      </c>
      <c r="AM83" s="24">
        <v>1</v>
      </c>
      <c r="AN83" s="15" t="s">
        <v>86</v>
      </c>
      <c r="AO83" s="14" t="s">
        <v>72</v>
      </c>
      <c r="AP83" s="14" t="s">
        <v>73</v>
      </c>
      <c r="AQ83" s="15" t="s">
        <v>96</v>
      </c>
      <c r="AR83" s="14" t="s">
        <v>97</v>
      </c>
      <c r="AS83" s="14" t="s">
        <v>77</v>
      </c>
      <c r="AT83" s="14" t="s">
        <v>77</v>
      </c>
      <c r="AU83" s="14" t="s">
        <v>76</v>
      </c>
      <c r="AV83" s="14" t="s">
        <v>77</v>
      </c>
      <c r="AW83" s="14" t="s">
        <v>77</v>
      </c>
      <c r="AX83" s="14" t="s">
        <v>77</v>
      </c>
      <c r="AY83" s="14" t="s">
        <v>76</v>
      </c>
      <c r="AZ83" s="14" t="s">
        <v>77</v>
      </c>
      <c r="BA83" s="15" t="s">
        <v>77</v>
      </c>
      <c r="BC83" s="23" t="s">
        <v>1242</v>
      </c>
      <c r="BD83" s="23" t="s">
        <v>1243</v>
      </c>
      <c r="BF83" s="14" t="s">
        <v>77</v>
      </c>
    </row>
    <row r="84" ht="24" customHeight="1" spans="1:58">
      <c r="A84" s="14" t="str">
        <f>_xlfn.DISPIMG("ID_5C42C9F44D81420180619C40933B6AD3",1)</f>
        <v>=DISPIMG("ID_5C42C9F44D81420180619C40933B6AD3",1)</v>
      </c>
      <c r="B84" s="15" t="s">
        <v>1244</v>
      </c>
      <c r="C84" s="15" t="s">
        <v>1245</v>
      </c>
      <c r="D84" s="15" t="s">
        <v>1246</v>
      </c>
      <c r="E84" s="15" t="s">
        <v>1247</v>
      </c>
      <c r="F84" s="15" t="s">
        <v>1248</v>
      </c>
      <c r="G84" s="15" t="s">
        <v>1249</v>
      </c>
      <c r="H84" s="15" t="s">
        <v>1250</v>
      </c>
      <c r="I84" s="15" t="s">
        <v>1251</v>
      </c>
      <c r="J84" s="15" t="s">
        <v>1252</v>
      </c>
      <c r="K84" s="15" t="s">
        <v>65</v>
      </c>
      <c r="L84" s="15" t="s">
        <v>66</v>
      </c>
      <c r="M84" s="18">
        <v>38406</v>
      </c>
      <c r="N84" s="18">
        <v>6299</v>
      </c>
      <c r="O84" s="19">
        <v>0.1682</v>
      </c>
      <c r="P84" s="20" t="s">
        <v>92</v>
      </c>
      <c r="Q84" s="22" t="s">
        <v>1253</v>
      </c>
      <c r="R84" s="18">
        <v>1212</v>
      </c>
      <c r="S84" s="19">
        <v>0.1667</v>
      </c>
      <c r="T84" s="18">
        <v>38759.758</v>
      </c>
      <c r="U84" s="23" t="s">
        <v>77</v>
      </c>
      <c r="V84" s="18" t="s">
        <v>77</v>
      </c>
      <c r="W84" s="24">
        <v>56</v>
      </c>
      <c r="X84" s="25">
        <v>31.98</v>
      </c>
      <c r="Y84" s="25">
        <v>25.58</v>
      </c>
      <c r="Z84" s="7"/>
      <c r="AA84" s="18">
        <v>7</v>
      </c>
      <c r="AB84" s="24">
        <v>397</v>
      </c>
      <c r="AC84" s="18">
        <v>14</v>
      </c>
      <c r="AD84" s="28">
        <v>4.4</v>
      </c>
      <c r="AE84" s="29">
        <v>0.0116</v>
      </c>
      <c r="AF84" s="25">
        <v>6.19</v>
      </c>
      <c r="AG84" s="19">
        <v>0.6064</v>
      </c>
      <c r="AI84" s="14" t="s">
        <v>1254</v>
      </c>
      <c r="AJ84" s="24">
        <v>100</v>
      </c>
      <c r="AK84" s="14" t="s">
        <v>72</v>
      </c>
      <c r="AL84" s="24">
        <v>9.4</v>
      </c>
      <c r="AM84" s="24">
        <v>1</v>
      </c>
      <c r="AN84" s="15" t="s">
        <v>1247</v>
      </c>
      <c r="AO84" s="14" t="s">
        <v>72</v>
      </c>
      <c r="AP84" s="14" t="s">
        <v>1255</v>
      </c>
      <c r="AQ84" s="15" t="s">
        <v>1256</v>
      </c>
      <c r="AR84" s="14" t="s">
        <v>1257</v>
      </c>
      <c r="AS84" s="14" t="s">
        <v>77</v>
      </c>
      <c r="AT84" s="14" t="s">
        <v>77</v>
      </c>
      <c r="AU84" s="14" t="s">
        <v>77</v>
      </c>
      <c r="AV84" s="14" t="s">
        <v>76</v>
      </c>
      <c r="AW84" s="14" t="s">
        <v>77</v>
      </c>
      <c r="AX84" s="14" t="s">
        <v>77</v>
      </c>
      <c r="AY84" s="14" t="s">
        <v>76</v>
      </c>
      <c r="AZ84" s="14" t="s">
        <v>77</v>
      </c>
      <c r="BA84" s="15" t="s">
        <v>77</v>
      </c>
      <c r="BC84" s="23" t="s">
        <v>440</v>
      </c>
      <c r="BD84" s="23" t="s">
        <v>441</v>
      </c>
      <c r="BE84" s="23" t="s">
        <v>1258</v>
      </c>
      <c r="BF84" s="14" t="s">
        <v>1259</v>
      </c>
    </row>
    <row r="85" ht="24" customHeight="1" spans="1:58">
      <c r="A85" s="14" t="str">
        <f>_xlfn.DISPIMG("ID_AE8598FF2B1644528760BC934EF8BDE2",1)</f>
        <v>=DISPIMG("ID_AE8598FF2B1644528760BC934EF8BDE2",1)</v>
      </c>
      <c r="B85" s="15" t="s">
        <v>1260</v>
      </c>
      <c r="C85" s="15" t="s">
        <v>973</v>
      </c>
      <c r="D85" s="15" t="s">
        <v>341</v>
      </c>
      <c r="E85" s="15" t="s">
        <v>342</v>
      </c>
      <c r="F85" s="15" t="s">
        <v>343</v>
      </c>
      <c r="G85" s="15" t="s">
        <v>1261</v>
      </c>
      <c r="H85" s="15" t="s">
        <v>1262</v>
      </c>
      <c r="I85" s="15" t="s">
        <v>1263</v>
      </c>
      <c r="J85" s="15" t="s">
        <v>1264</v>
      </c>
      <c r="K85" s="15" t="s">
        <v>65</v>
      </c>
      <c r="L85" s="15" t="s">
        <v>66</v>
      </c>
      <c r="M85" s="18">
        <v>44627</v>
      </c>
      <c r="N85" s="18">
        <v>-12577</v>
      </c>
      <c r="O85" s="19">
        <v>-0.1848</v>
      </c>
      <c r="P85" s="20" t="s">
        <v>108</v>
      </c>
      <c r="Q85" s="22" t="s">
        <v>1265</v>
      </c>
      <c r="R85" s="18">
        <v>617</v>
      </c>
      <c r="S85" s="19">
        <v>-0.2396</v>
      </c>
      <c r="T85" s="18">
        <v>11716.83</v>
      </c>
      <c r="U85" s="23" t="s">
        <v>77</v>
      </c>
      <c r="V85" s="18" t="s">
        <v>77</v>
      </c>
      <c r="W85" s="24">
        <v>85</v>
      </c>
      <c r="X85" s="25">
        <v>18.99</v>
      </c>
      <c r="Z85" s="7"/>
      <c r="AA85" s="18">
        <v>9</v>
      </c>
      <c r="AB85" s="24">
        <v>6297</v>
      </c>
      <c r="AC85" s="18">
        <v>12</v>
      </c>
      <c r="AD85" s="28">
        <v>4.2</v>
      </c>
      <c r="AE85" s="29">
        <v>0.0194</v>
      </c>
      <c r="AF85" s="25">
        <v>3.6</v>
      </c>
      <c r="AG85" s="19">
        <v>0.6104</v>
      </c>
      <c r="AI85" s="14" t="s">
        <v>1266</v>
      </c>
      <c r="AJ85" s="24">
        <v>2307</v>
      </c>
      <c r="AK85" s="14" t="s">
        <v>72</v>
      </c>
      <c r="AL85" s="24">
        <v>9.9</v>
      </c>
      <c r="AM85" s="24">
        <v>1</v>
      </c>
      <c r="AN85" s="15" t="s">
        <v>342</v>
      </c>
      <c r="AO85" s="14" t="s">
        <v>72</v>
      </c>
      <c r="AP85" s="14" t="s">
        <v>73</v>
      </c>
      <c r="AQ85" s="15" t="s">
        <v>351</v>
      </c>
      <c r="AR85" s="14" t="s">
        <v>352</v>
      </c>
      <c r="AS85" s="14" t="s">
        <v>76</v>
      </c>
      <c r="AT85" s="14" t="s">
        <v>76</v>
      </c>
      <c r="AU85" s="14" t="s">
        <v>77</v>
      </c>
      <c r="AV85" s="14" t="s">
        <v>76</v>
      </c>
      <c r="AW85" s="14" t="s">
        <v>76</v>
      </c>
      <c r="AX85" s="14" t="s">
        <v>77</v>
      </c>
      <c r="AY85" s="14" t="s">
        <v>76</v>
      </c>
      <c r="AZ85" s="14" t="s">
        <v>77</v>
      </c>
      <c r="BA85" s="15" t="s">
        <v>77</v>
      </c>
      <c r="BB85" s="23" t="s">
        <v>1267</v>
      </c>
      <c r="BC85" s="23" t="s">
        <v>1268</v>
      </c>
      <c r="BD85" s="23" t="s">
        <v>1269</v>
      </c>
      <c r="BE85" s="23" t="s">
        <v>1270</v>
      </c>
      <c r="BF85" s="14" t="s">
        <v>1271</v>
      </c>
    </row>
    <row r="86" ht="24" customHeight="1" spans="1:58">
      <c r="A86" s="14" t="str">
        <f>_xlfn.DISPIMG("ID_9961A3C54C094754818E324C7380BE68",1)</f>
        <v>=DISPIMG("ID_9961A3C54C094754818E324C7380BE68",1)</v>
      </c>
      <c r="B86" s="15" t="s">
        <v>1272</v>
      </c>
      <c r="C86" s="15" t="s">
        <v>734</v>
      </c>
      <c r="D86" s="15" t="s">
        <v>1273</v>
      </c>
      <c r="E86" s="15" t="s">
        <v>885</v>
      </c>
      <c r="F86" s="15" t="s">
        <v>886</v>
      </c>
      <c r="G86" s="15" t="s">
        <v>1274</v>
      </c>
      <c r="H86" s="15" t="s">
        <v>1275</v>
      </c>
      <c r="I86" s="15" t="s">
        <v>1276</v>
      </c>
      <c r="J86" s="15" t="s">
        <v>1277</v>
      </c>
      <c r="K86" s="15" t="s">
        <v>65</v>
      </c>
      <c r="L86" s="15" t="s">
        <v>66</v>
      </c>
      <c r="M86" s="18">
        <v>53809</v>
      </c>
      <c r="N86" s="18">
        <v>-3015</v>
      </c>
      <c r="O86" s="19">
        <v>-0.0807</v>
      </c>
      <c r="P86" s="20" t="s">
        <v>67</v>
      </c>
      <c r="Q86" s="22" t="s">
        <v>1278</v>
      </c>
      <c r="R86" s="18">
        <v>1422</v>
      </c>
      <c r="S86" s="19">
        <v>-0.1738</v>
      </c>
      <c r="T86" s="18">
        <v>25567.559</v>
      </c>
      <c r="U86" s="23" t="s">
        <v>404</v>
      </c>
      <c r="V86" s="18">
        <v>899</v>
      </c>
      <c r="W86" s="24">
        <v>60</v>
      </c>
      <c r="X86" s="25">
        <v>17.98</v>
      </c>
      <c r="Z86" s="23" t="s">
        <v>349</v>
      </c>
      <c r="AA86" s="18">
        <v>6</v>
      </c>
      <c r="AB86" s="24">
        <v>495</v>
      </c>
      <c r="AC86" s="18">
        <v>13</v>
      </c>
      <c r="AD86" s="28">
        <v>4.2</v>
      </c>
      <c r="AE86" s="29">
        <v>0.0091</v>
      </c>
      <c r="AF86" s="25">
        <v>5.46</v>
      </c>
      <c r="AG86" s="19">
        <v>0.4963</v>
      </c>
      <c r="AI86" s="14" t="s">
        <v>1279</v>
      </c>
      <c r="AJ86" s="24">
        <v>2068</v>
      </c>
      <c r="AK86" s="14" t="s">
        <v>72</v>
      </c>
      <c r="AL86" s="24">
        <v>8.3</v>
      </c>
      <c r="AM86" s="24">
        <v>1</v>
      </c>
      <c r="AN86" s="15" t="s">
        <v>885</v>
      </c>
      <c r="AO86" s="14" t="s">
        <v>72</v>
      </c>
      <c r="AP86" s="14" t="s">
        <v>73</v>
      </c>
      <c r="AQ86" s="15" t="s">
        <v>893</v>
      </c>
      <c r="AR86" s="14" t="s">
        <v>894</v>
      </c>
      <c r="AS86" s="14" t="s">
        <v>77</v>
      </c>
      <c r="AT86" s="14" t="s">
        <v>76</v>
      </c>
      <c r="AU86" s="14" t="s">
        <v>77</v>
      </c>
      <c r="AV86" s="14" t="s">
        <v>76</v>
      </c>
      <c r="AW86" s="14" t="s">
        <v>77</v>
      </c>
      <c r="AX86" s="14" t="s">
        <v>77</v>
      </c>
      <c r="AY86" s="14" t="s">
        <v>76</v>
      </c>
      <c r="AZ86" s="14" t="s">
        <v>77</v>
      </c>
      <c r="BA86" s="15" t="s">
        <v>77</v>
      </c>
      <c r="BB86" s="23" t="s">
        <v>1280</v>
      </c>
      <c r="BC86" s="23" t="s">
        <v>300</v>
      </c>
      <c r="BD86" s="23" t="s">
        <v>301</v>
      </c>
      <c r="BE86" s="23" t="s">
        <v>896</v>
      </c>
      <c r="BF86" s="14" t="s">
        <v>897</v>
      </c>
    </row>
    <row r="87" ht="24" customHeight="1" spans="1:58">
      <c r="A87" s="14" t="str">
        <f>_xlfn.DISPIMG("ID_E933B4D8A50E4CC3998D32C7D5CD4079",1)</f>
        <v>=DISPIMG("ID_E933B4D8A50E4CC3998D32C7D5CD4079",1)</v>
      </c>
      <c r="B87" s="15" t="s">
        <v>1281</v>
      </c>
      <c r="C87" s="15" t="s">
        <v>84</v>
      </c>
      <c r="D87" s="15" t="s">
        <v>202</v>
      </c>
      <c r="E87" s="15" t="s">
        <v>86</v>
      </c>
      <c r="F87" s="15" t="s">
        <v>87</v>
      </c>
      <c r="G87" s="15" t="s">
        <v>1282</v>
      </c>
      <c r="H87" s="15" t="s">
        <v>1283</v>
      </c>
      <c r="I87" s="15" t="s">
        <v>1284</v>
      </c>
      <c r="J87" s="15" t="s">
        <v>1285</v>
      </c>
      <c r="K87" s="15" t="s">
        <v>65</v>
      </c>
      <c r="L87" s="15" t="s">
        <v>66</v>
      </c>
      <c r="M87" s="18">
        <v>72907</v>
      </c>
      <c r="N87" s="18">
        <v>17692</v>
      </c>
      <c r="O87" s="19">
        <v>0.2238</v>
      </c>
      <c r="P87" s="20" t="s">
        <v>92</v>
      </c>
      <c r="Q87" s="22" t="s">
        <v>1286</v>
      </c>
      <c r="R87" s="18">
        <v>748</v>
      </c>
      <c r="S87" s="19">
        <v>-0.133</v>
      </c>
      <c r="T87" s="18">
        <v>19448</v>
      </c>
      <c r="U87" s="23" t="s">
        <v>404</v>
      </c>
      <c r="V87" s="18">
        <v>1300</v>
      </c>
      <c r="W87" s="24">
        <v>72</v>
      </c>
      <c r="X87" s="25">
        <v>26</v>
      </c>
      <c r="Z87" s="7"/>
      <c r="AA87" s="18">
        <v>16</v>
      </c>
      <c r="AB87" s="24">
        <v>292</v>
      </c>
      <c r="AC87" s="18">
        <v>8</v>
      </c>
      <c r="AD87" s="28">
        <v>4.6</v>
      </c>
      <c r="AE87" s="29">
        <v>0.0107</v>
      </c>
      <c r="AF87" s="25">
        <v>6.19</v>
      </c>
      <c r="AG87" s="19">
        <v>0.5619</v>
      </c>
      <c r="AI87" s="14" t="s">
        <v>1287</v>
      </c>
      <c r="AJ87" s="24">
        <v>789</v>
      </c>
      <c r="AK87" s="14" t="s">
        <v>72</v>
      </c>
      <c r="AL87" s="24">
        <v>9</v>
      </c>
      <c r="AM87" s="24">
        <v>1</v>
      </c>
      <c r="AN87" s="15" t="s">
        <v>86</v>
      </c>
      <c r="AO87" s="14" t="s">
        <v>72</v>
      </c>
      <c r="AP87" s="14" t="s">
        <v>73</v>
      </c>
      <c r="AQ87" s="15" t="s">
        <v>96</v>
      </c>
      <c r="AR87" s="14" t="s">
        <v>97</v>
      </c>
      <c r="AS87" s="14" t="s">
        <v>77</v>
      </c>
      <c r="AT87" s="14" t="s">
        <v>76</v>
      </c>
      <c r="AU87" s="14" t="s">
        <v>77</v>
      </c>
      <c r="AV87" s="14" t="s">
        <v>76</v>
      </c>
      <c r="AW87" s="14" t="s">
        <v>77</v>
      </c>
      <c r="AX87" s="14" t="s">
        <v>77</v>
      </c>
      <c r="AY87" s="14" t="s">
        <v>76</v>
      </c>
      <c r="AZ87" s="14" t="s">
        <v>77</v>
      </c>
      <c r="BA87" s="15" t="s">
        <v>77</v>
      </c>
      <c r="BB87" s="23" t="s">
        <v>77</v>
      </c>
      <c r="BC87" s="23" t="s">
        <v>496</v>
      </c>
      <c r="BD87" s="23" t="s">
        <v>497</v>
      </c>
      <c r="BE87" s="23" t="s">
        <v>1288</v>
      </c>
      <c r="BF87" s="14" t="s">
        <v>1289</v>
      </c>
    </row>
    <row r="88" ht="24" customHeight="1" spans="1:58">
      <c r="A88" s="14" t="str">
        <f>_xlfn.DISPIMG("ID_AA653E45A32A422CAAF06EE9A16CFF26",1)</f>
        <v>=DISPIMG("ID_AA653E45A32A422CAAF06EE9A16CFF26",1)</v>
      </c>
      <c r="B88" s="15" t="s">
        <v>1290</v>
      </c>
      <c r="C88" s="15" t="s">
        <v>1291</v>
      </c>
      <c r="D88" s="15" t="s">
        <v>929</v>
      </c>
      <c r="E88" s="15" t="s">
        <v>324</v>
      </c>
      <c r="F88" s="15" t="s">
        <v>325</v>
      </c>
      <c r="G88" s="15" t="s">
        <v>1292</v>
      </c>
      <c r="H88" s="15" t="s">
        <v>1293</v>
      </c>
      <c r="I88" s="15" t="s">
        <v>1294</v>
      </c>
      <c r="J88" s="15" t="s">
        <v>1295</v>
      </c>
      <c r="K88" s="15" t="s">
        <v>65</v>
      </c>
      <c r="L88" s="15" t="s">
        <v>66</v>
      </c>
      <c r="M88" s="18">
        <v>44532</v>
      </c>
      <c r="N88" s="18">
        <v>17189</v>
      </c>
      <c r="O88" s="19">
        <v>0.2803</v>
      </c>
      <c r="P88" s="20" t="s">
        <v>92</v>
      </c>
      <c r="Q88" s="22" t="s">
        <v>1296</v>
      </c>
      <c r="R88" s="18">
        <v>812</v>
      </c>
      <c r="S88" s="19">
        <v>-0.2167</v>
      </c>
      <c r="T88" s="18">
        <v>9735.88</v>
      </c>
      <c r="U88" s="23" t="s">
        <v>77</v>
      </c>
      <c r="V88" s="18" t="s">
        <v>77</v>
      </c>
      <c r="W88" s="24">
        <v>73</v>
      </c>
      <c r="X88" s="25">
        <v>11.99</v>
      </c>
      <c r="Z88" s="7"/>
      <c r="AA88" s="18">
        <v>14</v>
      </c>
      <c r="AB88" s="24">
        <v>3894</v>
      </c>
      <c r="AC88" s="18">
        <v>12</v>
      </c>
      <c r="AD88" s="28">
        <v>4.3</v>
      </c>
      <c r="AE88" s="29">
        <v>0.0148</v>
      </c>
      <c r="AF88" s="25">
        <v>4.71</v>
      </c>
      <c r="AG88" s="19">
        <v>0.4072</v>
      </c>
      <c r="AI88" s="14" t="s">
        <v>1297</v>
      </c>
      <c r="AJ88" s="24">
        <v>2279</v>
      </c>
      <c r="AK88" s="14" t="s">
        <v>72</v>
      </c>
      <c r="AL88" s="24">
        <v>8.8</v>
      </c>
      <c r="AM88" s="24">
        <v>1</v>
      </c>
      <c r="AN88" s="15" t="s">
        <v>332</v>
      </c>
      <c r="AO88" s="14" t="s">
        <v>72</v>
      </c>
      <c r="AP88" s="14" t="s">
        <v>73</v>
      </c>
      <c r="AQ88" s="15" t="s">
        <v>333</v>
      </c>
      <c r="AR88" s="14" t="s">
        <v>334</v>
      </c>
      <c r="AS88" s="14" t="s">
        <v>77</v>
      </c>
      <c r="AT88" s="14" t="s">
        <v>77</v>
      </c>
      <c r="AU88" s="14" t="s">
        <v>77</v>
      </c>
      <c r="AV88" s="14" t="s">
        <v>76</v>
      </c>
      <c r="AW88" s="14" t="s">
        <v>76</v>
      </c>
      <c r="AX88" s="14" t="s">
        <v>77</v>
      </c>
      <c r="AY88" s="14" t="s">
        <v>76</v>
      </c>
      <c r="AZ88" s="14" t="s">
        <v>77</v>
      </c>
      <c r="BA88" s="15" t="s">
        <v>77</v>
      </c>
      <c r="BC88" s="23" t="s">
        <v>1298</v>
      </c>
      <c r="BD88" s="23" t="s">
        <v>1299</v>
      </c>
      <c r="BE88" s="23" t="s">
        <v>699</v>
      </c>
      <c r="BF88" s="14" t="s">
        <v>700</v>
      </c>
    </row>
    <row r="89" ht="24" customHeight="1" spans="1:58">
      <c r="A89" s="14" t="str">
        <f>_xlfn.DISPIMG("ID_D180BAC6E23A4B2DA18DA3F0E498E55B",1)</f>
        <v>=DISPIMG("ID_D180BAC6E23A4B2DA18DA3F0E498E55B",1)</v>
      </c>
      <c r="B89" s="15" t="s">
        <v>1300</v>
      </c>
      <c r="C89" s="15" t="s">
        <v>84</v>
      </c>
      <c r="D89" s="15" t="s">
        <v>1301</v>
      </c>
      <c r="E89" s="15" t="s">
        <v>885</v>
      </c>
      <c r="F89" s="15" t="s">
        <v>886</v>
      </c>
      <c r="G89" s="15" t="s">
        <v>1302</v>
      </c>
      <c r="H89" s="15" t="s">
        <v>1303</v>
      </c>
      <c r="I89" s="15" t="s">
        <v>1304</v>
      </c>
      <c r="J89" s="15" t="s">
        <v>1305</v>
      </c>
      <c r="K89" s="15" t="s">
        <v>65</v>
      </c>
      <c r="L89" s="15" t="s">
        <v>66</v>
      </c>
      <c r="M89" s="18">
        <v>58309</v>
      </c>
      <c r="N89" s="18">
        <v>-6863</v>
      </c>
      <c r="O89" s="19">
        <v>-0.0994</v>
      </c>
      <c r="P89" s="20" t="s">
        <v>108</v>
      </c>
      <c r="Q89" s="22" t="s">
        <v>1306</v>
      </c>
      <c r="R89" s="18">
        <v>786</v>
      </c>
      <c r="S89" s="19">
        <v>-0.0729</v>
      </c>
      <c r="T89" s="18">
        <v>14132.279</v>
      </c>
      <c r="U89" s="23" t="s">
        <v>404</v>
      </c>
      <c r="V89" s="18">
        <v>899</v>
      </c>
      <c r="W89" s="24">
        <v>67</v>
      </c>
      <c r="X89" s="25">
        <v>17.98</v>
      </c>
      <c r="Z89" s="23" t="s">
        <v>349</v>
      </c>
      <c r="AA89" s="18">
        <v>23</v>
      </c>
      <c r="AB89" s="24">
        <v>1939</v>
      </c>
      <c r="AC89" s="18">
        <v>9</v>
      </c>
      <c r="AD89" s="28">
        <v>4.3</v>
      </c>
      <c r="AE89" s="29">
        <v>0.0115</v>
      </c>
      <c r="AF89" s="25">
        <v>3.44</v>
      </c>
      <c r="AG89" s="19">
        <v>0.6087</v>
      </c>
      <c r="AI89" s="14" t="s">
        <v>1307</v>
      </c>
      <c r="AJ89" s="24">
        <v>1627</v>
      </c>
      <c r="AK89" s="14" t="s">
        <v>72</v>
      </c>
      <c r="AL89" s="24">
        <v>8.8</v>
      </c>
      <c r="AM89" s="24">
        <v>1</v>
      </c>
      <c r="AN89" s="15" t="s">
        <v>885</v>
      </c>
      <c r="AO89" s="14" t="s">
        <v>72</v>
      </c>
      <c r="AP89" s="14" t="s">
        <v>73</v>
      </c>
      <c r="AQ89" s="15" t="s">
        <v>893</v>
      </c>
      <c r="AR89" s="14" t="s">
        <v>894</v>
      </c>
      <c r="AS89" s="14" t="s">
        <v>77</v>
      </c>
      <c r="AT89" s="14" t="s">
        <v>77</v>
      </c>
      <c r="AU89" s="14" t="s">
        <v>77</v>
      </c>
      <c r="AV89" s="14" t="s">
        <v>76</v>
      </c>
      <c r="AW89" s="14" t="s">
        <v>76</v>
      </c>
      <c r="AX89" s="14" t="s">
        <v>77</v>
      </c>
      <c r="AY89" s="14" t="s">
        <v>76</v>
      </c>
      <c r="AZ89" s="14" t="s">
        <v>77</v>
      </c>
      <c r="BA89" s="15" t="s">
        <v>77</v>
      </c>
      <c r="BC89" s="23" t="s">
        <v>1308</v>
      </c>
      <c r="BD89" s="23" t="s">
        <v>1309</v>
      </c>
      <c r="BE89" s="23" t="s">
        <v>896</v>
      </c>
      <c r="BF89" s="14" t="s">
        <v>897</v>
      </c>
    </row>
    <row r="90" ht="24" customHeight="1" spans="1:58">
      <c r="A90" s="14" t="str">
        <f>_xlfn.DISPIMG("ID_CF4A4984A44347989A7930E3E4419FA6",1)</f>
        <v>=DISPIMG("ID_CF4A4984A44347989A7930E3E4419FA6",1)</v>
      </c>
      <c r="B90" s="15" t="s">
        <v>1310</v>
      </c>
      <c r="C90" s="15" t="s">
        <v>1311</v>
      </c>
      <c r="D90" s="15" t="s">
        <v>1246</v>
      </c>
      <c r="E90" s="15" t="s">
        <v>1247</v>
      </c>
      <c r="F90" s="15" t="s">
        <v>1248</v>
      </c>
      <c r="G90" s="15" t="s">
        <v>1312</v>
      </c>
      <c r="H90" s="15" t="s">
        <v>1313</v>
      </c>
      <c r="I90" s="15" t="s">
        <v>1314</v>
      </c>
      <c r="J90" s="15" t="s">
        <v>1315</v>
      </c>
      <c r="K90" s="15" t="s">
        <v>65</v>
      </c>
      <c r="L90" s="15" t="s">
        <v>66</v>
      </c>
      <c r="M90" s="18">
        <v>18481</v>
      </c>
      <c r="N90" s="18">
        <v>589</v>
      </c>
      <c r="O90" s="19">
        <v>0.0256</v>
      </c>
      <c r="P90" s="20" t="s">
        <v>92</v>
      </c>
      <c r="Q90" s="22" t="s">
        <v>1316</v>
      </c>
      <c r="R90" s="18">
        <v>2999</v>
      </c>
      <c r="S90" s="19">
        <v>0.5637</v>
      </c>
      <c r="T90" s="18">
        <v>89910.016</v>
      </c>
      <c r="U90" s="23" t="s">
        <v>175</v>
      </c>
      <c r="V90" s="18">
        <v>2998</v>
      </c>
      <c r="W90" s="24">
        <v>84</v>
      </c>
      <c r="X90" s="25">
        <v>29.98</v>
      </c>
      <c r="Y90" s="25">
        <v>26.98</v>
      </c>
      <c r="Z90" s="7"/>
      <c r="AB90" s="24">
        <v>314</v>
      </c>
      <c r="AC90" s="18">
        <v>21</v>
      </c>
      <c r="AD90" s="28">
        <v>4.4</v>
      </c>
      <c r="AE90" s="29">
        <v>0.007</v>
      </c>
      <c r="AF90" s="25">
        <v>6.27</v>
      </c>
      <c r="AG90" s="19">
        <v>0.5909</v>
      </c>
      <c r="AI90" s="14" t="s">
        <v>1317</v>
      </c>
      <c r="AJ90" s="24">
        <v>226</v>
      </c>
      <c r="AK90" s="14" t="s">
        <v>72</v>
      </c>
      <c r="AL90" s="24">
        <v>9.3</v>
      </c>
      <c r="AM90" s="24">
        <v>1</v>
      </c>
      <c r="AN90" s="15" t="s">
        <v>1247</v>
      </c>
      <c r="AO90" s="14" t="s">
        <v>72</v>
      </c>
      <c r="AP90" s="14" t="s">
        <v>1255</v>
      </c>
      <c r="AQ90" s="15" t="s">
        <v>1256</v>
      </c>
      <c r="AR90" s="14" t="s">
        <v>1257</v>
      </c>
      <c r="AS90" s="14" t="s">
        <v>77</v>
      </c>
      <c r="AT90" s="14" t="s">
        <v>77</v>
      </c>
      <c r="AU90" s="14" t="s">
        <v>77</v>
      </c>
      <c r="AV90" s="14" t="s">
        <v>76</v>
      </c>
      <c r="AW90" s="14" t="s">
        <v>76</v>
      </c>
      <c r="AX90" s="14" t="s">
        <v>77</v>
      </c>
      <c r="AY90" s="14" t="s">
        <v>76</v>
      </c>
      <c r="AZ90" s="14" t="s">
        <v>77</v>
      </c>
      <c r="BA90" s="15" t="s">
        <v>77</v>
      </c>
      <c r="BC90" s="23" t="s">
        <v>1318</v>
      </c>
      <c r="BD90" s="23" t="s">
        <v>1319</v>
      </c>
      <c r="BE90" s="23" t="s">
        <v>1320</v>
      </c>
      <c r="BF90" s="14" t="s">
        <v>1321</v>
      </c>
    </row>
    <row r="91" ht="24" customHeight="1" spans="1:58">
      <c r="A91" s="14" t="str">
        <f>_xlfn.DISPIMG("ID_4CD9431F0BC34A02B8BE3617A8C359B6",1)</f>
        <v>=DISPIMG("ID_4CD9431F0BC34A02B8BE3617A8C359B6",1)</v>
      </c>
      <c r="B91" s="15" t="s">
        <v>1322</v>
      </c>
      <c r="C91" s="15" t="s">
        <v>1323</v>
      </c>
      <c r="D91" s="15" t="s">
        <v>1324</v>
      </c>
      <c r="E91" s="15" t="s">
        <v>1325</v>
      </c>
      <c r="F91" s="15" t="s">
        <v>1326</v>
      </c>
      <c r="G91" s="15" t="s">
        <v>1327</v>
      </c>
      <c r="H91" s="15" t="s">
        <v>1328</v>
      </c>
      <c r="I91" s="15" t="s">
        <v>1329</v>
      </c>
      <c r="J91" s="15" t="s">
        <v>1330</v>
      </c>
      <c r="K91" s="15" t="s">
        <v>65</v>
      </c>
      <c r="L91" s="15" t="s">
        <v>66</v>
      </c>
      <c r="M91" s="18">
        <v>51312</v>
      </c>
      <c r="N91" s="18">
        <v>3616</v>
      </c>
      <c r="O91" s="19">
        <v>0.0597</v>
      </c>
      <c r="P91" s="20" t="s">
        <v>92</v>
      </c>
      <c r="Q91" s="22" t="s">
        <v>1331</v>
      </c>
      <c r="R91" s="18">
        <v>726</v>
      </c>
      <c r="S91" s="19">
        <v>0.0283</v>
      </c>
      <c r="T91" s="18">
        <v>25402.742</v>
      </c>
      <c r="U91" s="23" t="s">
        <v>404</v>
      </c>
      <c r="V91" s="18">
        <v>1749.5</v>
      </c>
      <c r="W91" s="24">
        <v>65</v>
      </c>
      <c r="X91" s="25">
        <v>34.99</v>
      </c>
      <c r="Z91" s="7"/>
      <c r="AA91" s="18">
        <v>67</v>
      </c>
      <c r="AB91" s="24">
        <v>7848</v>
      </c>
      <c r="AC91" s="18">
        <v>5</v>
      </c>
      <c r="AD91" s="28">
        <v>4.1</v>
      </c>
      <c r="AE91" s="29">
        <v>0.0069</v>
      </c>
      <c r="AF91" s="25">
        <v>6.44</v>
      </c>
      <c r="AG91" s="19">
        <v>0.616</v>
      </c>
      <c r="AI91" s="14" t="s">
        <v>1332</v>
      </c>
      <c r="AJ91" s="24">
        <v>1626</v>
      </c>
      <c r="AK91" s="14" t="s">
        <v>72</v>
      </c>
      <c r="AL91" s="24">
        <v>9.2</v>
      </c>
      <c r="AM91" s="24">
        <v>1</v>
      </c>
      <c r="AN91" s="15" t="s">
        <v>1333</v>
      </c>
      <c r="AO91" s="14" t="s">
        <v>72</v>
      </c>
      <c r="AP91" s="14" t="s">
        <v>420</v>
      </c>
      <c r="AQ91" s="15" t="s">
        <v>1334</v>
      </c>
      <c r="AR91" s="14" t="s">
        <v>1335</v>
      </c>
      <c r="AS91" s="14" t="s">
        <v>77</v>
      </c>
      <c r="AT91" s="14" t="s">
        <v>76</v>
      </c>
      <c r="AU91" s="14" t="s">
        <v>77</v>
      </c>
      <c r="AV91" s="14" t="s">
        <v>76</v>
      </c>
      <c r="AW91" s="14" t="s">
        <v>76</v>
      </c>
      <c r="AX91" s="14" t="s">
        <v>77</v>
      </c>
      <c r="AY91" s="14" t="s">
        <v>76</v>
      </c>
      <c r="AZ91" s="14" t="s">
        <v>77</v>
      </c>
      <c r="BA91" s="15" t="s">
        <v>77</v>
      </c>
      <c r="BB91" s="23" t="s">
        <v>1336</v>
      </c>
      <c r="BC91" s="23" t="s">
        <v>1337</v>
      </c>
      <c r="BD91" s="23" t="s">
        <v>1338</v>
      </c>
      <c r="BE91" s="23" t="s">
        <v>1339</v>
      </c>
      <c r="BF91" s="14" t="s">
        <v>1340</v>
      </c>
    </row>
    <row r="92" ht="24" customHeight="1" spans="1:58">
      <c r="A92" s="14" t="str">
        <f>_xlfn.DISPIMG("ID_1BFBE6422D9D40B2AAB601B204827611",1)</f>
        <v>=DISPIMG("ID_1BFBE6422D9D40B2AAB601B204827611",1)</v>
      </c>
      <c r="B92" s="15" t="s">
        <v>1341</v>
      </c>
      <c r="C92" s="15" t="s">
        <v>77</v>
      </c>
      <c r="D92" s="15" t="s">
        <v>77</v>
      </c>
      <c r="E92" s="15" t="s">
        <v>1061</v>
      </c>
      <c r="F92" s="15" t="s">
        <v>1062</v>
      </c>
      <c r="G92" s="15" t="s">
        <v>1342</v>
      </c>
      <c r="H92" s="15" t="s">
        <v>1343</v>
      </c>
      <c r="I92" s="15" t="s">
        <v>1344</v>
      </c>
      <c r="J92" s="15" t="s">
        <v>1341</v>
      </c>
      <c r="K92" s="15" t="s">
        <v>65</v>
      </c>
      <c r="L92" s="15" t="s">
        <v>66</v>
      </c>
      <c r="M92" s="18">
        <v>44984</v>
      </c>
      <c r="N92" s="18">
        <v>8848</v>
      </c>
      <c r="O92" s="19">
        <v>0.1644</v>
      </c>
      <c r="P92" s="20" t="s">
        <v>92</v>
      </c>
      <c r="Q92" s="22" t="s">
        <v>1345</v>
      </c>
      <c r="R92" s="18">
        <v>1203</v>
      </c>
      <c r="S92" s="19">
        <v>-0.0266</v>
      </c>
      <c r="T92" s="18">
        <v>24047.969</v>
      </c>
      <c r="U92" s="23" t="s">
        <v>175</v>
      </c>
      <c r="V92" s="18">
        <v>1999</v>
      </c>
      <c r="W92" s="24">
        <v>45</v>
      </c>
      <c r="X92" s="25">
        <v>19.99</v>
      </c>
      <c r="AA92" s="18">
        <v>4</v>
      </c>
      <c r="AB92" s="24">
        <v>886</v>
      </c>
      <c r="AC92" s="18">
        <v>4</v>
      </c>
      <c r="AD92" s="28">
        <v>4.3</v>
      </c>
      <c r="AE92" s="29">
        <v>0.0033</v>
      </c>
      <c r="AF92" s="25">
        <v>3.44</v>
      </c>
      <c r="AG92" s="19">
        <v>0.6279</v>
      </c>
      <c r="AI92" s="14" t="s">
        <v>1346</v>
      </c>
      <c r="AJ92" s="24">
        <v>1027</v>
      </c>
      <c r="AK92" s="14" t="s">
        <v>72</v>
      </c>
      <c r="AL92" s="24">
        <v>9.8</v>
      </c>
      <c r="AM92" s="24">
        <v>1</v>
      </c>
      <c r="AN92" s="15" t="s">
        <v>1061</v>
      </c>
      <c r="AO92" s="14" t="s">
        <v>72</v>
      </c>
      <c r="AP92" s="14" t="s">
        <v>73</v>
      </c>
      <c r="AQ92" s="15" t="s">
        <v>1068</v>
      </c>
      <c r="AR92" s="14" t="s">
        <v>1069</v>
      </c>
      <c r="AS92" s="14" t="s">
        <v>77</v>
      </c>
      <c r="AT92" s="14" t="s">
        <v>77</v>
      </c>
      <c r="AU92" s="14" t="s">
        <v>77</v>
      </c>
      <c r="AV92" s="14" t="s">
        <v>76</v>
      </c>
      <c r="AW92" s="14" t="s">
        <v>76</v>
      </c>
      <c r="AX92" s="14" t="s">
        <v>77</v>
      </c>
      <c r="AY92" s="14" t="s">
        <v>77</v>
      </c>
      <c r="AZ92" s="14" t="s">
        <v>77</v>
      </c>
      <c r="BA92" s="15" t="s">
        <v>77</v>
      </c>
      <c r="BC92" s="23" t="s">
        <v>496</v>
      </c>
      <c r="BD92" s="23" t="s">
        <v>497</v>
      </c>
      <c r="BE92" s="23" t="s">
        <v>1347</v>
      </c>
      <c r="BF92" s="14" t="s">
        <v>1348</v>
      </c>
    </row>
    <row r="93" ht="24" customHeight="1" spans="1:58">
      <c r="A93" s="14" t="str">
        <f>_xlfn.DISPIMG("ID_C37B26EA85F849B891D96D1B84B823F4",1)</f>
        <v>=DISPIMG("ID_C37B26EA85F849B891D96D1B84B823F4",1)</v>
      </c>
      <c r="B93" s="15" t="s">
        <v>1349</v>
      </c>
      <c r="C93" s="15" t="s">
        <v>1350</v>
      </c>
      <c r="D93" s="15" t="s">
        <v>1351</v>
      </c>
      <c r="E93" s="15" t="s">
        <v>86</v>
      </c>
      <c r="F93" s="15" t="s">
        <v>87</v>
      </c>
      <c r="G93" s="15" t="s">
        <v>1352</v>
      </c>
      <c r="H93" s="15" t="s">
        <v>1353</v>
      </c>
      <c r="I93" s="15" t="s">
        <v>1354</v>
      </c>
      <c r="J93" s="15" t="s">
        <v>1355</v>
      </c>
      <c r="K93" s="15" t="s">
        <v>65</v>
      </c>
      <c r="L93" s="15" t="s">
        <v>66</v>
      </c>
      <c r="M93" s="18">
        <v>53944</v>
      </c>
      <c r="N93" s="18">
        <v>951</v>
      </c>
      <c r="O93" s="19">
        <v>0.0177</v>
      </c>
      <c r="P93" s="20" t="s">
        <v>92</v>
      </c>
      <c r="Q93" s="22" t="s">
        <v>1356</v>
      </c>
      <c r="R93" s="18">
        <v>803</v>
      </c>
      <c r="S93" s="19">
        <v>-0.3927</v>
      </c>
      <c r="T93" s="18">
        <v>22484</v>
      </c>
      <c r="U93" s="23" t="s">
        <v>77</v>
      </c>
      <c r="V93" s="18" t="s">
        <v>77</v>
      </c>
      <c r="W93" s="24">
        <v>81</v>
      </c>
      <c r="X93" s="25">
        <v>28</v>
      </c>
      <c r="Z93" s="7"/>
      <c r="AB93" s="24">
        <v>114</v>
      </c>
      <c r="AC93" s="18">
        <v>14</v>
      </c>
      <c r="AD93" s="28">
        <v>4.3</v>
      </c>
      <c r="AE93" s="29">
        <v>0.0174</v>
      </c>
      <c r="AF93" s="25">
        <v>6.53</v>
      </c>
      <c r="AG93" s="19">
        <v>0.5668</v>
      </c>
      <c r="AI93" s="14" t="s">
        <v>1357</v>
      </c>
      <c r="AJ93" s="24">
        <v>277</v>
      </c>
      <c r="AK93" s="14" t="s">
        <v>72</v>
      </c>
      <c r="AL93" s="24">
        <v>9.6</v>
      </c>
      <c r="AM93" s="24">
        <v>1</v>
      </c>
      <c r="AN93" s="15" t="s">
        <v>86</v>
      </c>
      <c r="AO93" s="14" t="s">
        <v>72</v>
      </c>
      <c r="AP93" s="14" t="s">
        <v>73</v>
      </c>
      <c r="AQ93" s="15" t="s">
        <v>96</v>
      </c>
      <c r="AR93" s="14" t="s">
        <v>97</v>
      </c>
      <c r="AS93" s="14" t="s">
        <v>77</v>
      </c>
      <c r="AT93" s="14" t="s">
        <v>77</v>
      </c>
      <c r="AU93" s="14" t="s">
        <v>76</v>
      </c>
      <c r="AV93" s="14" t="s">
        <v>76</v>
      </c>
      <c r="AW93" s="14" t="s">
        <v>77</v>
      </c>
      <c r="AX93" s="14" t="s">
        <v>77</v>
      </c>
      <c r="AY93" s="14" t="s">
        <v>76</v>
      </c>
      <c r="AZ93" s="14" t="s">
        <v>77</v>
      </c>
      <c r="BA93" s="15" t="s">
        <v>77</v>
      </c>
      <c r="BC93" s="23" t="s">
        <v>300</v>
      </c>
      <c r="BD93" s="23" t="s">
        <v>301</v>
      </c>
      <c r="BE93" s="23" t="s">
        <v>1358</v>
      </c>
      <c r="BF93" s="14" t="s">
        <v>1359</v>
      </c>
    </row>
    <row r="94" ht="24" customHeight="1" spans="1:58">
      <c r="A94" s="14" t="str">
        <f>_xlfn.DISPIMG("ID_54EE0A8EFEED4B38ADEC499D32C4A4DE",1)</f>
        <v>=DISPIMG("ID_54EE0A8EFEED4B38ADEC499D32C4A4DE",1)</v>
      </c>
      <c r="B94" s="15" t="s">
        <v>1360</v>
      </c>
      <c r="C94" s="15" t="s">
        <v>77</v>
      </c>
      <c r="D94" s="15" t="s">
        <v>77</v>
      </c>
      <c r="E94" s="15" t="s">
        <v>1361</v>
      </c>
      <c r="F94" s="15" t="s">
        <v>1362</v>
      </c>
      <c r="G94" s="15" t="s">
        <v>1363</v>
      </c>
      <c r="H94" s="15" t="s">
        <v>1364</v>
      </c>
      <c r="I94" s="15" t="s">
        <v>1365</v>
      </c>
      <c r="J94" s="15" t="s">
        <v>1360</v>
      </c>
      <c r="K94" s="15" t="s">
        <v>65</v>
      </c>
      <c r="L94" s="15" t="s">
        <v>66</v>
      </c>
      <c r="M94" s="18">
        <v>55574</v>
      </c>
      <c r="N94" s="18">
        <v>26480</v>
      </c>
      <c r="O94" s="19">
        <v>0.3227</v>
      </c>
      <c r="P94" s="20" t="s">
        <v>92</v>
      </c>
      <c r="Q94" s="22" t="s">
        <v>175</v>
      </c>
      <c r="R94" s="18">
        <v>581</v>
      </c>
      <c r="S94" s="19">
        <v>-0.1301</v>
      </c>
      <c r="T94" s="18">
        <v>15448.79</v>
      </c>
      <c r="U94" s="23" t="s">
        <v>77</v>
      </c>
      <c r="V94" s="18" t="s">
        <v>77</v>
      </c>
      <c r="W94" s="24">
        <v>49</v>
      </c>
      <c r="X94" s="25">
        <v>26.59</v>
      </c>
      <c r="AA94" s="18">
        <v>10</v>
      </c>
      <c r="AB94" s="24">
        <v>3878</v>
      </c>
      <c r="AC94" s="18">
        <v>7</v>
      </c>
      <c r="AD94" s="28">
        <v>4.5</v>
      </c>
      <c r="AE94" s="29">
        <v>0.012</v>
      </c>
      <c r="AF94" s="25">
        <v>5.39</v>
      </c>
      <c r="AG94" s="19">
        <v>0.5973</v>
      </c>
      <c r="AI94" s="14" t="s">
        <v>1366</v>
      </c>
      <c r="AJ94" s="24">
        <v>190</v>
      </c>
      <c r="AK94" s="14" t="s">
        <v>72</v>
      </c>
      <c r="AL94" s="24">
        <v>10</v>
      </c>
      <c r="AM94" s="24">
        <v>1</v>
      </c>
      <c r="AN94" s="15" t="s">
        <v>1367</v>
      </c>
      <c r="AO94" s="14" t="s">
        <v>72</v>
      </c>
      <c r="AP94" s="14" t="s">
        <v>73</v>
      </c>
      <c r="AQ94" s="15" t="s">
        <v>1368</v>
      </c>
      <c r="AR94" s="14" t="s">
        <v>1369</v>
      </c>
      <c r="AS94" s="14" t="s">
        <v>77</v>
      </c>
      <c r="AT94" s="14" t="s">
        <v>76</v>
      </c>
      <c r="AU94" s="14" t="s">
        <v>77</v>
      </c>
      <c r="AV94" s="14" t="s">
        <v>76</v>
      </c>
      <c r="AW94" s="14" t="s">
        <v>77</v>
      </c>
      <c r="AX94" s="14" t="s">
        <v>77</v>
      </c>
      <c r="AY94" s="14" t="s">
        <v>77</v>
      </c>
      <c r="AZ94" s="14" t="s">
        <v>77</v>
      </c>
      <c r="BA94" s="15" t="s">
        <v>77</v>
      </c>
      <c r="BB94" s="23" t="s">
        <v>1370</v>
      </c>
      <c r="BC94" s="23" t="s">
        <v>1371</v>
      </c>
      <c r="BD94" s="23" t="s">
        <v>1372</v>
      </c>
      <c r="BE94" s="23" t="s">
        <v>1373</v>
      </c>
      <c r="BF94" s="14" t="s">
        <v>1374</v>
      </c>
    </row>
    <row r="95" ht="24" customHeight="1" spans="1:58">
      <c r="A95" s="14" t="str">
        <f>_xlfn.DISPIMG("ID_8F7E5AF283DF476AB843323913EEFF69",1)</f>
        <v>=DISPIMG("ID_8F7E5AF283DF476AB843323913EEFF69",1)</v>
      </c>
      <c r="B95" s="15" t="s">
        <v>1375</v>
      </c>
      <c r="C95" s="15" t="s">
        <v>77</v>
      </c>
      <c r="D95" s="15" t="s">
        <v>77</v>
      </c>
      <c r="E95" s="15" t="s">
        <v>131</v>
      </c>
      <c r="F95" s="15" t="s">
        <v>132</v>
      </c>
      <c r="G95" s="15" t="s">
        <v>1376</v>
      </c>
      <c r="H95" s="15" t="s">
        <v>1377</v>
      </c>
      <c r="I95" s="15" t="s">
        <v>1378</v>
      </c>
      <c r="J95" s="15" t="s">
        <v>1375</v>
      </c>
      <c r="K95" s="15" t="s">
        <v>65</v>
      </c>
      <c r="L95" s="15" t="s">
        <v>66</v>
      </c>
      <c r="M95" s="18">
        <v>75553</v>
      </c>
      <c r="N95" s="18">
        <v>-13605</v>
      </c>
      <c r="O95" s="19">
        <v>-0.2196</v>
      </c>
      <c r="P95" s="20" t="s">
        <v>137</v>
      </c>
      <c r="Q95" s="22" t="s">
        <v>1379</v>
      </c>
      <c r="R95" s="18">
        <v>659</v>
      </c>
      <c r="S95" s="19">
        <v>0.1258</v>
      </c>
      <c r="T95" s="18">
        <v>19104.41</v>
      </c>
      <c r="U95" s="23" t="s">
        <v>77</v>
      </c>
      <c r="V95" s="18" t="s">
        <v>77</v>
      </c>
      <c r="W95" s="24">
        <v>34</v>
      </c>
      <c r="X95" s="25">
        <v>28.99</v>
      </c>
      <c r="AA95" s="18">
        <v>3</v>
      </c>
      <c r="AB95" s="24">
        <v>1178</v>
      </c>
      <c r="AC95" s="18">
        <v>8</v>
      </c>
      <c r="AD95" s="28">
        <v>4.5</v>
      </c>
      <c r="AE95" s="29">
        <v>0.0121</v>
      </c>
      <c r="AF95" s="25">
        <v>6.44</v>
      </c>
      <c r="AG95" s="19">
        <v>0.5779</v>
      </c>
      <c r="AI95" s="14" t="s">
        <v>1380</v>
      </c>
      <c r="AJ95" s="24">
        <v>664</v>
      </c>
      <c r="AK95" s="14" t="s">
        <v>72</v>
      </c>
      <c r="AL95" s="24">
        <v>9.8</v>
      </c>
      <c r="AM95" s="24">
        <v>1</v>
      </c>
      <c r="AN95" s="15" t="s">
        <v>131</v>
      </c>
      <c r="AO95" s="14" t="s">
        <v>72</v>
      </c>
      <c r="AP95" s="14" t="s">
        <v>73</v>
      </c>
      <c r="AQ95" s="15" t="s">
        <v>141</v>
      </c>
      <c r="AR95" s="14" t="s">
        <v>142</v>
      </c>
      <c r="AS95" s="14" t="s">
        <v>77</v>
      </c>
      <c r="AT95" s="14" t="s">
        <v>76</v>
      </c>
      <c r="AU95" s="14" t="s">
        <v>77</v>
      </c>
      <c r="AV95" s="14" t="s">
        <v>76</v>
      </c>
      <c r="AW95" s="14" t="s">
        <v>77</v>
      </c>
      <c r="AX95" s="14" t="s">
        <v>77</v>
      </c>
      <c r="AY95" s="14" t="s">
        <v>77</v>
      </c>
      <c r="AZ95" s="14" t="s">
        <v>77</v>
      </c>
      <c r="BA95" s="15" t="s">
        <v>77</v>
      </c>
      <c r="BB95" s="23" t="s">
        <v>1381</v>
      </c>
      <c r="BC95" s="23" t="s">
        <v>1382</v>
      </c>
      <c r="BD95" s="23" t="s">
        <v>1082</v>
      </c>
      <c r="BE95" s="23" t="s">
        <v>1383</v>
      </c>
      <c r="BF95" s="14" t="s">
        <v>1384</v>
      </c>
    </row>
    <row r="96" ht="24" customHeight="1" spans="1:58">
      <c r="A96" s="14" t="str">
        <f>_xlfn.DISPIMG("ID_8AAD62DD8CD848C1B32E03C204FD4FED",1)</f>
        <v>=DISPIMG("ID_8AAD62DD8CD848C1B32E03C204FD4FED",1)</v>
      </c>
      <c r="B96" s="15" t="s">
        <v>1385</v>
      </c>
      <c r="C96" s="15" t="s">
        <v>77</v>
      </c>
      <c r="D96" s="15" t="s">
        <v>77</v>
      </c>
      <c r="E96" s="15" t="s">
        <v>411</v>
      </c>
      <c r="F96" s="15" t="s">
        <v>412</v>
      </c>
      <c r="G96" s="15" t="s">
        <v>1386</v>
      </c>
      <c r="H96" s="15" t="s">
        <v>1387</v>
      </c>
      <c r="I96" s="15" t="s">
        <v>1388</v>
      </c>
      <c r="J96" s="15" t="s">
        <v>1385</v>
      </c>
      <c r="K96" s="15" t="s">
        <v>65</v>
      </c>
      <c r="L96" s="15" t="s">
        <v>66</v>
      </c>
      <c r="M96" s="18">
        <v>59722</v>
      </c>
      <c r="N96" s="18">
        <v>1802</v>
      </c>
      <c r="O96" s="19">
        <v>0.0293</v>
      </c>
      <c r="P96" s="20" t="s">
        <v>92</v>
      </c>
      <c r="Q96" s="22" t="s">
        <v>1253</v>
      </c>
      <c r="R96" s="18">
        <v>1464</v>
      </c>
      <c r="S96" s="19">
        <v>-0.4959</v>
      </c>
      <c r="T96" s="18">
        <v>26337.36</v>
      </c>
      <c r="U96" s="23" t="s">
        <v>77</v>
      </c>
      <c r="V96" s="18" t="s">
        <v>77</v>
      </c>
      <c r="W96" s="24">
        <v>70</v>
      </c>
      <c r="X96" s="25">
        <v>17.99</v>
      </c>
      <c r="AA96" s="18">
        <v>3</v>
      </c>
      <c r="AB96" s="24">
        <v>2126</v>
      </c>
      <c r="AC96" s="18">
        <v>23</v>
      </c>
      <c r="AD96" s="28">
        <v>4.4</v>
      </c>
      <c r="AE96" s="29">
        <v>0.0157</v>
      </c>
      <c r="AF96" s="25">
        <v>4.71</v>
      </c>
      <c r="AG96" s="19">
        <v>0.5382</v>
      </c>
      <c r="AI96" s="14" t="s">
        <v>1389</v>
      </c>
      <c r="AJ96" s="24">
        <v>1347</v>
      </c>
      <c r="AK96" s="14" t="s">
        <v>72</v>
      </c>
      <c r="AL96" s="24">
        <v>10</v>
      </c>
      <c r="AM96" s="24">
        <v>1</v>
      </c>
      <c r="AN96" s="15" t="s">
        <v>419</v>
      </c>
      <c r="AO96" s="14" t="s">
        <v>72</v>
      </c>
      <c r="AP96" s="14" t="s">
        <v>420</v>
      </c>
      <c r="AQ96" s="15" t="s">
        <v>421</v>
      </c>
      <c r="AR96" s="14" t="s">
        <v>422</v>
      </c>
      <c r="AS96" s="14" t="s">
        <v>77</v>
      </c>
      <c r="AT96" s="14" t="s">
        <v>77</v>
      </c>
      <c r="AU96" s="14" t="s">
        <v>77</v>
      </c>
      <c r="AV96" s="14" t="s">
        <v>76</v>
      </c>
      <c r="AW96" s="14" t="s">
        <v>76</v>
      </c>
      <c r="AX96" s="14" t="s">
        <v>77</v>
      </c>
      <c r="AY96" s="14" t="s">
        <v>77</v>
      </c>
      <c r="AZ96" s="14" t="s">
        <v>77</v>
      </c>
      <c r="BA96" s="15" t="s">
        <v>77</v>
      </c>
      <c r="BC96" s="23" t="s">
        <v>562</v>
      </c>
      <c r="BD96" s="23" t="s">
        <v>563</v>
      </c>
      <c r="BE96" s="23" t="s">
        <v>1141</v>
      </c>
      <c r="BF96" s="14" t="s">
        <v>1142</v>
      </c>
    </row>
    <row r="97" ht="24" customHeight="1" spans="1:58">
      <c r="A97" s="14" t="str">
        <f>_xlfn.DISPIMG("ID_306E06A95C97499F887761273FF3DE16",1)</f>
        <v>=DISPIMG("ID_306E06A95C97499F887761273FF3DE16",1)</v>
      </c>
      <c r="B97" s="15" t="s">
        <v>1390</v>
      </c>
      <c r="C97" s="15" t="s">
        <v>77</v>
      </c>
      <c r="D97" s="15" t="s">
        <v>77</v>
      </c>
      <c r="E97" s="15" t="s">
        <v>86</v>
      </c>
      <c r="F97" s="15" t="s">
        <v>87</v>
      </c>
      <c r="G97" s="15" t="s">
        <v>1391</v>
      </c>
      <c r="H97" s="15" t="s">
        <v>1392</v>
      </c>
      <c r="I97" s="15" t="s">
        <v>1393</v>
      </c>
      <c r="J97" s="15" t="s">
        <v>1390</v>
      </c>
      <c r="K97" s="15" t="s">
        <v>65</v>
      </c>
      <c r="L97" s="15" t="s">
        <v>66</v>
      </c>
      <c r="M97" s="18">
        <v>71640</v>
      </c>
      <c r="N97" s="18">
        <v>2046</v>
      </c>
      <c r="O97" s="19">
        <v>0.0278</v>
      </c>
      <c r="P97" s="20" t="s">
        <v>92</v>
      </c>
      <c r="Q97" s="22" t="s">
        <v>1394</v>
      </c>
      <c r="R97" s="18">
        <v>729</v>
      </c>
      <c r="S97" s="19">
        <v>-0.2946</v>
      </c>
      <c r="T97" s="18">
        <v>20412</v>
      </c>
      <c r="U97" s="23" t="s">
        <v>77</v>
      </c>
      <c r="V97" s="18" t="s">
        <v>77</v>
      </c>
      <c r="W97" s="24">
        <v>107</v>
      </c>
      <c r="X97" s="25">
        <v>28</v>
      </c>
      <c r="AB97" s="24">
        <v>319</v>
      </c>
      <c r="AC97" s="18">
        <v>14</v>
      </c>
      <c r="AD97" s="28">
        <v>4.5</v>
      </c>
      <c r="AE97" s="29">
        <v>0.0192</v>
      </c>
      <c r="AF97" s="25">
        <v>7.27</v>
      </c>
      <c r="AG97" s="19">
        <v>0.5404</v>
      </c>
      <c r="AI97" s="14" t="s">
        <v>1395</v>
      </c>
      <c r="AJ97" s="24">
        <v>695</v>
      </c>
      <c r="AK97" s="14" t="s">
        <v>72</v>
      </c>
      <c r="AL97" s="24">
        <v>9.8</v>
      </c>
      <c r="AM97" s="24">
        <v>1</v>
      </c>
      <c r="AN97" s="15" t="s">
        <v>86</v>
      </c>
      <c r="AO97" s="14" t="s">
        <v>72</v>
      </c>
      <c r="AP97" s="14" t="s">
        <v>73</v>
      </c>
      <c r="AQ97" s="15" t="s">
        <v>96</v>
      </c>
      <c r="AR97" s="14" t="s">
        <v>97</v>
      </c>
      <c r="AS97" s="14" t="s">
        <v>77</v>
      </c>
      <c r="AT97" s="14" t="s">
        <v>76</v>
      </c>
      <c r="AU97" s="14" t="s">
        <v>77</v>
      </c>
      <c r="AV97" s="14" t="s">
        <v>76</v>
      </c>
      <c r="AW97" s="14" t="s">
        <v>77</v>
      </c>
      <c r="AX97" s="14" t="s">
        <v>77</v>
      </c>
      <c r="AY97" s="14" t="s">
        <v>77</v>
      </c>
      <c r="AZ97" s="14" t="s">
        <v>77</v>
      </c>
      <c r="BA97" s="15" t="s">
        <v>77</v>
      </c>
      <c r="BB97" s="23" t="s">
        <v>1396</v>
      </c>
      <c r="BC97" s="23" t="s">
        <v>1397</v>
      </c>
      <c r="BD97" s="23" t="s">
        <v>1398</v>
      </c>
      <c r="BE97" s="23" t="s">
        <v>1399</v>
      </c>
      <c r="BF97" s="14" t="s">
        <v>1400</v>
      </c>
    </row>
    <row r="98" ht="24" customHeight="1" spans="1:58">
      <c r="A98" s="14" t="str">
        <f>_xlfn.DISPIMG("ID_4AA6688DD62C4FEE8494D9A0D895AF4D",1)</f>
        <v>=DISPIMG("ID_4AA6688DD62C4FEE8494D9A0D895AF4D",1)</v>
      </c>
      <c r="B98" s="15" t="s">
        <v>1401</v>
      </c>
      <c r="C98" s="15" t="s">
        <v>77</v>
      </c>
      <c r="D98" s="15" t="s">
        <v>77</v>
      </c>
      <c r="E98" s="15" t="s">
        <v>378</v>
      </c>
      <c r="F98" s="15" t="s">
        <v>379</v>
      </c>
      <c r="G98" s="15" t="s">
        <v>1402</v>
      </c>
      <c r="H98" s="15" t="s">
        <v>1403</v>
      </c>
      <c r="I98" s="15" t="s">
        <v>1404</v>
      </c>
      <c r="J98" s="15" t="s">
        <v>1401</v>
      </c>
      <c r="K98" s="15" t="s">
        <v>65</v>
      </c>
      <c r="L98" s="15" t="s">
        <v>66</v>
      </c>
      <c r="M98" s="18">
        <v>57252</v>
      </c>
      <c r="N98" s="18">
        <v>9146</v>
      </c>
      <c r="O98" s="19">
        <v>0.1377</v>
      </c>
      <c r="P98" s="20" t="s">
        <v>67</v>
      </c>
      <c r="Q98" s="22" t="s">
        <v>1405</v>
      </c>
      <c r="R98" s="18">
        <v>631</v>
      </c>
      <c r="S98" s="19">
        <v>0.0246</v>
      </c>
      <c r="T98" s="18">
        <v>7565.69</v>
      </c>
      <c r="U98" s="23" t="s">
        <v>404</v>
      </c>
      <c r="V98" s="18">
        <v>599.5</v>
      </c>
      <c r="W98" s="24">
        <v>16</v>
      </c>
      <c r="X98" s="25">
        <v>11.99</v>
      </c>
      <c r="AB98" s="24">
        <v>66</v>
      </c>
      <c r="AC98" s="18">
        <v>4</v>
      </c>
      <c r="AD98" s="28">
        <v>4.4</v>
      </c>
      <c r="AE98" s="29">
        <v>0.0063</v>
      </c>
      <c r="AF98" s="25">
        <v>5</v>
      </c>
      <c r="AG98" s="19">
        <v>0.383</v>
      </c>
      <c r="AI98" s="14" t="s">
        <v>1406</v>
      </c>
      <c r="AJ98" s="24">
        <v>276</v>
      </c>
      <c r="AK98" s="14" t="s">
        <v>72</v>
      </c>
      <c r="AL98" s="24">
        <v>10</v>
      </c>
      <c r="AM98" s="24">
        <v>1</v>
      </c>
      <c r="AN98" s="15" t="s">
        <v>387</v>
      </c>
      <c r="AO98" s="14" t="s">
        <v>72</v>
      </c>
      <c r="AP98" s="14" t="s">
        <v>73</v>
      </c>
      <c r="AQ98" s="15" t="s">
        <v>388</v>
      </c>
      <c r="AR98" s="14" t="s">
        <v>389</v>
      </c>
      <c r="AS98" s="14" t="s">
        <v>77</v>
      </c>
      <c r="AT98" s="14" t="s">
        <v>77</v>
      </c>
      <c r="AU98" s="14" t="s">
        <v>77</v>
      </c>
      <c r="AV98" s="14" t="s">
        <v>76</v>
      </c>
      <c r="AW98" s="14" t="s">
        <v>76</v>
      </c>
      <c r="AX98" s="14" t="s">
        <v>77</v>
      </c>
      <c r="AY98" s="14" t="s">
        <v>77</v>
      </c>
      <c r="AZ98" s="14" t="s">
        <v>77</v>
      </c>
      <c r="BA98" s="15" t="s">
        <v>77</v>
      </c>
      <c r="BC98" s="23" t="s">
        <v>1407</v>
      </c>
      <c r="BD98" s="23" t="s">
        <v>198</v>
      </c>
      <c r="BE98" s="23" t="s">
        <v>1408</v>
      </c>
      <c r="BF98" s="14" t="s">
        <v>1409</v>
      </c>
    </row>
    <row r="99" ht="24" customHeight="1" spans="1:58">
      <c r="A99" s="14" t="str">
        <f>_xlfn.DISPIMG("ID_299E2B2F5C0A45288B4C6F629723FD55",1)</f>
        <v>=DISPIMG("ID_299E2B2F5C0A45288B4C6F629723FD55",1)</v>
      </c>
      <c r="B99" s="15" t="s">
        <v>1410</v>
      </c>
      <c r="C99" s="15" t="s">
        <v>77</v>
      </c>
      <c r="D99" s="15" t="s">
        <v>77</v>
      </c>
      <c r="E99" s="15" t="s">
        <v>1411</v>
      </c>
      <c r="F99" s="15" t="s">
        <v>1412</v>
      </c>
      <c r="G99" s="15" t="s">
        <v>1413</v>
      </c>
      <c r="H99" s="15" t="s">
        <v>1414</v>
      </c>
      <c r="I99" s="15" t="s">
        <v>1415</v>
      </c>
      <c r="J99" s="15" t="s">
        <v>1410</v>
      </c>
      <c r="K99" s="15" t="s">
        <v>65</v>
      </c>
      <c r="L99" s="15" t="s">
        <v>66</v>
      </c>
      <c r="M99" s="18">
        <v>78573</v>
      </c>
      <c r="N99" s="18">
        <v>-22924</v>
      </c>
      <c r="O99" s="19">
        <v>-0.4119</v>
      </c>
      <c r="P99" s="20" t="s">
        <v>92</v>
      </c>
      <c r="Q99" s="22" t="s">
        <v>1416</v>
      </c>
      <c r="R99" s="18">
        <v>674</v>
      </c>
      <c r="S99" s="19">
        <v>0.2085</v>
      </c>
      <c r="T99" s="18">
        <v>10103.26</v>
      </c>
      <c r="U99" s="23" t="s">
        <v>77</v>
      </c>
      <c r="V99" s="18" t="s">
        <v>77</v>
      </c>
      <c r="W99" s="24">
        <v>90</v>
      </c>
      <c r="X99" s="25">
        <v>14.99</v>
      </c>
      <c r="AA99" s="18">
        <v>44</v>
      </c>
      <c r="AB99" s="24">
        <v>464</v>
      </c>
      <c r="AC99" s="18">
        <v>3</v>
      </c>
      <c r="AD99" s="28">
        <v>4.4</v>
      </c>
      <c r="AE99" s="29">
        <v>0.0045</v>
      </c>
      <c r="AF99" s="25">
        <v>4.94</v>
      </c>
      <c r="AG99" s="19">
        <v>0.4704</v>
      </c>
      <c r="AI99" s="14" t="s">
        <v>1417</v>
      </c>
      <c r="AJ99" s="24">
        <v>873</v>
      </c>
      <c r="AK99" s="14" t="s">
        <v>72</v>
      </c>
      <c r="AL99" s="24">
        <v>9.6</v>
      </c>
      <c r="AM99" s="24">
        <v>1</v>
      </c>
      <c r="AN99" s="15" t="s">
        <v>1411</v>
      </c>
      <c r="AO99" s="14" t="s">
        <v>72</v>
      </c>
      <c r="AP99" s="14" t="s">
        <v>73</v>
      </c>
      <c r="AQ99" s="15" t="s">
        <v>1418</v>
      </c>
      <c r="AR99" s="14" t="s">
        <v>1419</v>
      </c>
      <c r="AS99" s="14" t="s">
        <v>77</v>
      </c>
      <c r="AT99" s="14" t="s">
        <v>77</v>
      </c>
      <c r="AU99" s="14" t="s">
        <v>77</v>
      </c>
      <c r="AV99" s="14" t="s">
        <v>77</v>
      </c>
      <c r="AW99" s="14" t="s">
        <v>77</v>
      </c>
      <c r="AX99" s="14" t="s">
        <v>77</v>
      </c>
      <c r="AY99" s="14" t="s">
        <v>77</v>
      </c>
      <c r="AZ99" s="14" t="s">
        <v>77</v>
      </c>
      <c r="BA99" s="15" t="s">
        <v>77</v>
      </c>
      <c r="BD99" s="23" t="s">
        <v>77</v>
      </c>
      <c r="BF99" s="14" t="s">
        <v>77</v>
      </c>
    </row>
    <row r="100" ht="24" customHeight="1" spans="1:58">
      <c r="A100" s="14" t="str">
        <f>_xlfn.DISPIMG("ID_0C7D57EC75074F1AAC604A6F86F4FE37",1)</f>
        <v>=DISPIMG("ID_0C7D57EC75074F1AAC604A6F86F4FE37",1)</v>
      </c>
      <c r="B100" s="15" t="s">
        <v>1420</v>
      </c>
      <c r="C100" s="15" t="s">
        <v>77</v>
      </c>
      <c r="D100" s="15" t="s">
        <v>77</v>
      </c>
      <c r="E100" s="15" t="s">
        <v>1421</v>
      </c>
      <c r="F100" s="15" t="s">
        <v>1422</v>
      </c>
      <c r="G100" s="15" t="s">
        <v>1423</v>
      </c>
      <c r="H100" s="15" t="s">
        <v>1424</v>
      </c>
      <c r="I100" s="15" t="s">
        <v>1425</v>
      </c>
      <c r="J100" s="15" t="s">
        <v>1420</v>
      </c>
      <c r="K100" s="15" t="s">
        <v>1426</v>
      </c>
      <c r="L100" s="15" t="s">
        <v>66</v>
      </c>
      <c r="M100" s="18">
        <v>65891</v>
      </c>
      <c r="N100" s="18">
        <v>-15861</v>
      </c>
      <c r="O100" s="19">
        <v>-0.2867</v>
      </c>
      <c r="P100" s="20" t="s">
        <v>1427</v>
      </c>
      <c r="Q100" s="22" t="s">
        <v>1428</v>
      </c>
      <c r="R100" s="18">
        <v>829</v>
      </c>
      <c r="S100" s="19">
        <v>-0.4912</v>
      </c>
      <c r="T100" s="18">
        <v>15742.71</v>
      </c>
      <c r="U100" s="23" t="s">
        <v>77</v>
      </c>
      <c r="V100" s="18" t="s">
        <v>77</v>
      </c>
      <c r="W100" s="24">
        <v>45</v>
      </c>
      <c r="X100" s="25">
        <v>19.99</v>
      </c>
      <c r="AA100" s="18">
        <v>1</v>
      </c>
      <c r="AB100" s="24">
        <v>146</v>
      </c>
      <c r="AC100" s="18">
        <v>14</v>
      </c>
      <c r="AD100" s="28">
        <v>4.2</v>
      </c>
      <c r="AE100" s="29">
        <v>0.0169</v>
      </c>
      <c r="AF100" s="25">
        <v>3.6</v>
      </c>
      <c r="AG100" s="19">
        <v>0.6104</v>
      </c>
      <c r="AI100" s="14" t="s">
        <v>1429</v>
      </c>
      <c r="AJ100" s="24">
        <v>701</v>
      </c>
      <c r="AK100" s="14" t="s">
        <v>72</v>
      </c>
      <c r="AL100" s="24">
        <v>10</v>
      </c>
      <c r="AM100" s="24">
        <v>2</v>
      </c>
      <c r="AN100" s="15" t="s">
        <v>1430</v>
      </c>
      <c r="AO100" s="14" t="s">
        <v>72</v>
      </c>
      <c r="AP100" s="14" t="s">
        <v>1255</v>
      </c>
      <c r="AQ100" s="15" t="s">
        <v>1431</v>
      </c>
      <c r="AR100" s="14" t="s">
        <v>1432</v>
      </c>
      <c r="AS100" s="14" t="s">
        <v>77</v>
      </c>
      <c r="AT100" s="14" t="s">
        <v>77</v>
      </c>
      <c r="AU100" s="14" t="s">
        <v>77</v>
      </c>
      <c r="AV100" s="14" t="s">
        <v>77</v>
      </c>
      <c r="AW100" s="14" t="s">
        <v>77</v>
      </c>
      <c r="AX100" s="14" t="s">
        <v>77</v>
      </c>
      <c r="AY100" s="14" t="s">
        <v>77</v>
      </c>
      <c r="AZ100" s="14" t="s">
        <v>77</v>
      </c>
      <c r="BA100" s="15" t="s">
        <v>77</v>
      </c>
      <c r="BC100" s="23" t="s">
        <v>496</v>
      </c>
      <c r="BD100" s="23" t="s">
        <v>497</v>
      </c>
      <c r="BE100" s="23" t="s">
        <v>1433</v>
      </c>
      <c r="BF100" s="14" t="s">
        <v>1434</v>
      </c>
    </row>
    <row r="101" ht="24" customHeight="1" spans="1:58">
      <c r="A101" s="14" t="str">
        <f>_xlfn.DISPIMG("ID_8967B23350E14CE6A6180DD7C5274023",1)</f>
        <v>=DISPIMG("ID_8967B23350E14CE6A6180DD7C5274023",1)</v>
      </c>
      <c r="B101" s="15" t="s">
        <v>1435</v>
      </c>
      <c r="C101" s="15" t="s">
        <v>77</v>
      </c>
      <c r="D101" s="15" t="s">
        <v>77</v>
      </c>
      <c r="E101" s="15" t="s">
        <v>1223</v>
      </c>
      <c r="F101" s="15" t="s">
        <v>1224</v>
      </c>
      <c r="G101" s="15" t="s">
        <v>1436</v>
      </c>
      <c r="H101" s="15" t="s">
        <v>1437</v>
      </c>
      <c r="I101" s="15" t="s">
        <v>1438</v>
      </c>
      <c r="J101" s="15" t="s">
        <v>1435</v>
      </c>
      <c r="K101" s="15" t="s">
        <v>65</v>
      </c>
      <c r="L101" s="15" t="s">
        <v>66</v>
      </c>
      <c r="M101" s="18">
        <v>79564</v>
      </c>
      <c r="N101" s="18">
        <v>63007</v>
      </c>
      <c r="O101" s="19">
        <v>0.4419</v>
      </c>
      <c r="P101" s="20" t="s">
        <v>92</v>
      </c>
      <c r="Q101" s="22" t="s">
        <v>1439</v>
      </c>
      <c r="R101" s="18">
        <v>415</v>
      </c>
      <c r="S101" s="19">
        <v>-0.191</v>
      </c>
      <c r="T101" s="18">
        <v>12445.85</v>
      </c>
      <c r="U101" s="23" t="s">
        <v>77</v>
      </c>
      <c r="V101" s="18" t="s">
        <v>77</v>
      </c>
      <c r="W101" s="24">
        <v>67</v>
      </c>
      <c r="X101" s="25">
        <v>29.99</v>
      </c>
      <c r="AB101" s="24">
        <v>24</v>
      </c>
      <c r="AC101" s="18">
        <v>7</v>
      </c>
      <c r="AD101" s="28">
        <v>4.4</v>
      </c>
      <c r="AE101" s="29">
        <v>0.0169</v>
      </c>
      <c r="AF101" s="25">
        <v>7.27</v>
      </c>
      <c r="AG101" s="19">
        <v>0.5576</v>
      </c>
      <c r="AI101" s="14" t="s">
        <v>1440</v>
      </c>
      <c r="AJ101" s="24">
        <v>122</v>
      </c>
      <c r="AK101" s="14" t="s">
        <v>72</v>
      </c>
      <c r="AL101" s="24" t="s">
        <v>77</v>
      </c>
      <c r="AM101" s="24">
        <v>1</v>
      </c>
      <c r="AN101" s="15" t="s">
        <v>1231</v>
      </c>
      <c r="AO101" s="14" t="s">
        <v>72</v>
      </c>
      <c r="AP101" s="14" t="s">
        <v>73</v>
      </c>
      <c r="AQ101" s="15" t="s">
        <v>1232</v>
      </c>
      <c r="AR101" s="14" t="s">
        <v>1233</v>
      </c>
      <c r="AS101" s="14" t="s">
        <v>77</v>
      </c>
      <c r="AT101" s="14" t="s">
        <v>77</v>
      </c>
      <c r="AU101" s="14" t="s">
        <v>77</v>
      </c>
      <c r="AV101" s="14" t="s">
        <v>76</v>
      </c>
      <c r="AW101" s="14" t="s">
        <v>76</v>
      </c>
      <c r="AX101" s="14" t="s">
        <v>77</v>
      </c>
      <c r="AY101" s="14" t="s">
        <v>77</v>
      </c>
      <c r="AZ101" s="14" t="s">
        <v>77</v>
      </c>
      <c r="BA101" s="15" t="s">
        <v>77</v>
      </c>
      <c r="BD101" s="23" t="s">
        <v>77</v>
      </c>
      <c r="BF101" s="14" t="s">
        <v>77</v>
      </c>
    </row>
  </sheetData>
  <hyperlinks>
    <hyperlink ref="B2" r:id="rId1" display="B088CYZNKS" tooltip="https://www.amazon.com/dp/B088CYZNKS"/>
    <hyperlink ref="F2" r:id="rId2" display="https://www.amazon.com/stores/Aeuui/page/1B235759-1F2D-40E0-A8E1-BAD5B4EE45D5?ref_=ast_bln&amp;store_ref=bl_ast_dp_brandLogo_sto" tooltip="https://www.amazon.com/stores/Aeuui/page/1B235759-1F2D-40E0-A8E1-BAD5B4EE45D5?ref_=ast_bln&amp;store_ref=bl_ast_dp_brandLogo_sto"/>
    <hyperlink ref="H2" r:id="rId3" display="https://www.amazon.com/dp/B088CYZNKS?psc=1" tooltip="https://www.amazon.com/dp/B088CYZNKS?psc=1"/>
    <hyperlink ref="I2" r:id="rId4" display="https://images-na.ssl-images-amazon.com/images/I/71-T2LHikYL._AC_US600_.jpg" tooltip="https://images-na.ssl-images-amazon.com/images/I/71-T2LHikYL._AC_US600_.jpg"/>
    <hyperlink ref="J2" r:id="rId5" display="B07XJRWRN1" tooltip="https://www.amazon.com/dp/B07XJRWRN1"/>
    <hyperlink ref="K2" r:id="rId6" display="Clothing, Shoes &amp; Jewelry:Women:Clothing:Active:Active Shirts &amp; Tees:Tank Tops" tooltip="https://www.amazon.com/b?node=23575650011"/>
    <hyperlink ref="L2" r:id="rId7" display="Clothing, Shoes &amp; Jewelry"/>
    <hyperlink ref="AR2" r:id="rId8" display="https://www.amazon.com/gp/help/seller/at-a-glance.html/ref=dp_merchant_link?seller=A1UGQQ7005BVGX" tooltip="https://www.amazon.com/gp/help/seller/at-a-glance.html/ref=dp_merchant_link?seller=A1UGQQ7005BVGX"/>
    <hyperlink ref="B3" r:id="rId9" display="B0B81G5HTB" tooltip="https://www.amazon.com/dp/B0B81G5HTB"/>
    <hyperlink ref="F3" r:id="rId10" display="https://www.amazon.com/stores/CRZYOGA/page/F2232413-0F7D-4831-81A1-9FDFCFE5C54D?ref_=ast_bln&amp;store_ref=bl_ast_dp_brandLogo_sto" tooltip="https://www.amazon.com/stores/CRZYOGA/page/F2232413-0F7D-4831-81A1-9FDFCFE5C54D?ref_=ast_bln&amp;store_ref=bl_ast_dp_brandLogo_sto"/>
    <hyperlink ref="H3" r:id="rId11" display="https://www.amazon.com/dp/B0B81G5HTB?psc=1" tooltip="https://www.amazon.com/dp/B0B81G5HTB?psc=1"/>
    <hyperlink ref="I3" r:id="rId12" display="https://m.media-amazon.com/images/I/414IMr4cpOL._AC_SR600,600_.jpg" tooltip="https://m.media-amazon.com/images/I/414IMr4cpOL._AC_SR600,600_.jpg"/>
    <hyperlink ref="J3" r:id="rId13" display="B0D5YL22G1" tooltip="https://www.amazon.com/dp/B0D5YL22G1"/>
    <hyperlink ref="K3" r:id="rId6" display="Clothing, Shoes &amp; Jewelry:Women:Clothing:Active:Active Shirts &amp; Tees:Tank Tops" tooltip="https://www.amazon.com/b?node=23575650011"/>
    <hyperlink ref="L3" r:id="rId7" display="Clothing, Shoes &amp; Jewelry"/>
    <hyperlink ref="AR3" r:id="rId14" display="https://www.amazon.com/gp/help/seller/at-a-glance.html/ref=dp_merchant_link?seller=A1CX3Y6OPGB2MO" tooltip="https://www.amazon.com/gp/help/seller/at-a-glance.html/ref=dp_merchant_link?seller=A1CX3Y6OPGB2MO"/>
    <hyperlink ref="B4" r:id="rId15" display="B0B31GZJP1" tooltip="https://www.amazon.com/dp/B0B31GZJP1"/>
    <hyperlink ref="F4" r:id="rId10" display="https://www.amazon.com/stores/CRZYOGA/page/F2232413-0F7D-4831-81A1-9FDFCFE5C54D?ref_=ast_bln&amp;store_ref=bl_ast_dp_brandLogo_sto" tooltip="https://www.amazon.com/stores/CRZYOGA/page/F2232413-0F7D-4831-81A1-9FDFCFE5C54D?ref_=ast_bln&amp;store_ref=bl_ast_dp_brandLogo_sto"/>
    <hyperlink ref="H4" r:id="rId16" display="https://www.amazon.com/dp/B0B31GZJP1?psc=1" tooltip="https://www.amazon.com/dp/B0B31GZJP1?psc=1"/>
    <hyperlink ref="I4" r:id="rId17" display="https://m.media-amazon.com/images/I/41eTUV42fsL._AC_SR600,600_.jpg" tooltip="https://m.media-amazon.com/images/I/41eTUV42fsL._AC_SR600,600_.jpg"/>
    <hyperlink ref="J4" r:id="rId18" display="B0B31SJ747" tooltip="https://www.amazon.com/dp/B0B31SJ747"/>
    <hyperlink ref="K4" r:id="rId6" display="Clothing, Shoes &amp; Jewelry:Women:Clothing:Active:Active Shirts &amp; Tees:Tank Tops" tooltip="https://www.amazon.com/b?node=23575650011"/>
    <hyperlink ref="L4" r:id="rId7" display="Clothing, Shoes &amp; Jewelry"/>
    <hyperlink ref="AR4" r:id="rId14" display="https://www.amazon.com/gp/help/seller/at-a-glance.html/ref=dp_merchant_link?seller=A1CX3Y6OPGB2MO" tooltip="https://www.amazon.com/gp/help/seller/at-a-glance.html/ref=dp_merchant_link?seller=A1CX3Y6OPGB2MO"/>
    <hyperlink ref="B5" r:id="rId19" display="B0869G1869" tooltip="https://www.amazon.com/dp/B0869G1869"/>
    <hyperlink ref="F5" r:id="rId10" display="https://www.amazon.com/stores/CRZYOGA/page/F2232413-0F7D-4831-81A1-9FDFCFE5C54D?ref_=ast_bln&amp;store_ref=bl_ast_dp_brandLogo_sto" tooltip="https://www.amazon.com/stores/CRZYOGA/page/F2232413-0F7D-4831-81A1-9FDFCFE5C54D?ref_=ast_bln&amp;store_ref=bl_ast_dp_brandLogo_sto"/>
    <hyperlink ref="H5" r:id="rId20" display="https://www.amazon.com/dp/B0869G1869?psc=1" tooltip="https://www.amazon.com/dp/B0869G1869?psc=1"/>
    <hyperlink ref="I5" r:id="rId21" display="https://images-na.ssl-images-amazon.com/images/I/71phVEHphvL._AC_US600_.jpg" tooltip="https://images-na.ssl-images-amazon.com/images/I/71phVEHphvL._AC_US600_.jpg"/>
    <hyperlink ref="J5" r:id="rId22" display="B0D7NZF6TH" tooltip="https://www.amazon.com/dp/B0D7NZF6TH"/>
    <hyperlink ref="K5" r:id="rId6" display="Clothing, Shoes &amp; Jewelry:Women:Clothing:Active:Active Shirts &amp; Tees:Tank Tops" tooltip="https://www.amazon.com/b?node=23575650011"/>
    <hyperlink ref="L5" r:id="rId7" display="Clothing, Shoes &amp; Jewelry"/>
    <hyperlink ref="AR5" r:id="rId14" display="https://www.amazon.com/gp/help/seller/at-a-glance.html/ref=dp_merchant_link?seller=A1CX3Y6OPGB2MO" tooltip="https://www.amazon.com/gp/help/seller/at-a-glance.html/ref=dp_merchant_link?seller=A1CX3Y6OPGB2MO"/>
    <hyperlink ref="B6" r:id="rId23" display="B0B1ZLP332" tooltip="https://www.amazon.com/dp/B0B1ZLP332"/>
    <hyperlink ref="F6" r:id="rId24" display="https://www.amazon.com/stores/OQQ/page/F480BC96-6404-4EE6-B706-2D8C860FF032?ref_=ast_bln&amp;store_ref=bl_ast_dp_brandLogo_sto" tooltip="https://www.amazon.com/stores/OQQ/page/F480BC96-6404-4EE6-B706-2D8C860FF032?ref_=ast_bln&amp;store_ref=bl_ast_dp_brandLogo_sto"/>
    <hyperlink ref="H6" r:id="rId25" display="https://www.amazon.com/dp/B0B1ZLP332?psc=1" tooltip="https://www.amazon.com/dp/B0B1ZLP332?psc=1"/>
    <hyperlink ref="I6" r:id="rId26" display="https://images-na.ssl-images-amazon.com/images/I/51d6OtIphjL._AC_US600_.jpg" tooltip="https://images-na.ssl-images-amazon.com/images/I/51d6OtIphjL._AC_US600_.jpg"/>
    <hyperlink ref="J6" r:id="rId27" display="B0B1ZKKP6K" tooltip="https://www.amazon.com/dp/B0B1ZKKP6K"/>
    <hyperlink ref="K6" r:id="rId6" display="Clothing, Shoes &amp; Jewelry:Women:Clothing:Active:Active Shirts &amp; Tees:Tank Tops" tooltip="https://www.amazon.com/b?node=23575650011"/>
    <hyperlink ref="L6" r:id="rId7" display="Clothing, Shoes &amp; Jewelry"/>
    <hyperlink ref="AR6" r:id="rId28" display="https://www.amazon.com/gp/help/seller/at-a-glance.html/ref=dp_merchant_link?seller=A3V4TQXRZY9U20" tooltip="https://www.amazon.com/gp/help/seller/at-a-glance.html/ref=dp_merchant_link?seller=A3V4TQXRZY9U20"/>
    <hyperlink ref="B7" r:id="rId29" display="B0BZZ3PR4T" tooltip="https://www.amazon.com/dp/B0BZZ3PR4T"/>
    <hyperlink ref="F7" r:id="rId30" display="https://www.amazon.com/stores/Mathcat/page/1F132CBA-9164-4DF4-8867-E24A0E0291C8?ref_=ast_bln&amp;store_ref=bl_ast_dp_brandLogo_sto" tooltip="https://www.amazon.com/stores/Mathcat/page/1F132CBA-9164-4DF4-8867-E24A0E0291C8?ref_=ast_bln&amp;store_ref=bl_ast_dp_brandLogo_sto"/>
    <hyperlink ref="H7" r:id="rId31" display="https://www.amazon.com/dp/B0BZZ3PR4T?psc=1" tooltip="https://www.amazon.com/dp/B0BZZ3PR4T?psc=1"/>
    <hyperlink ref="I7" r:id="rId32" display="https://m.media-amazon.com/images/I/31vNgcbWbqL._AC_SR600,600_.jpg" tooltip="https://m.media-amazon.com/images/I/31vNgcbWbqL._AC_SR600,600_.jpg"/>
    <hyperlink ref="J7" r:id="rId33" display="B0CJ47F2TN" tooltip="https://www.amazon.com/dp/B0CJ47F2TN"/>
    <hyperlink ref="K7" r:id="rId6" display="Clothing, Shoes &amp; Jewelry:Women:Clothing:Active:Active Shirts &amp; Tees:Tank Tops" tooltip="https://www.amazon.com/b?node=23575650011"/>
    <hyperlink ref="L7" r:id="rId7" display="Clothing, Shoes &amp; Jewelry"/>
    <hyperlink ref="AR7" r:id="rId34" display="https://www.amazon.com/gp/help/seller/at-a-glance.html/ref=dp_merchant_link?seller=A3RSU166TSH1QC" tooltip="https://www.amazon.com/gp/help/seller/at-a-glance.html/ref=dp_merchant_link?seller=A3RSU166TSH1QC"/>
    <hyperlink ref="B8" r:id="rId35" display="B08XKH393K" tooltip="https://www.amazon.com/dp/B08XKH393K"/>
    <hyperlink ref="F8" r:id="rId36" display="https://www.amazon.com/stores/Porvike/page/5F3D1C29-2CDD-4B28-B3F6-7376B4CF7575?ref_=ast_bln&amp;store_ref=bl_ast_dp_brandLogo_sto" tooltip="https://www.amazon.com/stores/Porvike/page/5F3D1C29-2CDD-4B28-B3F6-7376B4CF7575?ref_=ast_bln&amp;store_ref=bl_ast_dp_brandLogo_sto"/>
    <hyperlink ref="H8" r:id="rId37" display="https://www.amazon.com/dp/B08XKH393K?psc=1" tooltip="https://www.amazon.com/dp/B08XKH393K?psc=1"/>
    <hyperlink ref="I8" r:id="rId38" display="https://m.media-amazon.com/images/I/4111EASTogL._AC_SR600,600_.jpg" tooltip="https://m.media-amazon.com/images/I/4111EASTogL._AC_SR600,600_.jpg"/>
    <hyperlink ref="J8" r:id="rId39" display="B08ZKPZXR8" tooltip="https://www.amazon.com/dp/B08ZKPZXR8"/>
    <hyperlink ref="K8" r:id="rId6" display="Clothing, Shoes &amp; Jewelry:Women:Clothing:Active:Active Shirts &amp; Tees:Tank Tops" tooltip="https://www.amazon.com/b?node=23575650011"/>
    <hyperlink ref="L8" r:id="rId7" display="Clothing, Shoes &amp; Jewelry"/>
    <hyperlink ref="AR8" r:id="rId40" display="https://www.amazon.com/gp/help/seller/at-a-glance.html/ref=dp_merchant_link?seller=A2LABRQ3X717X2" tooltip="https://www.amazon.com/gp/help/seller/at-a-glance.html/ref=dp_merchant_link?seller=A2LABRQ3X717X2"/>
    <hyperlink ref="B9" r:id="rId41" display="B07F9R17N9" tooltip="https://www.amazon.com/dp/B07F9R17N9"/>
    <hyperlink ref="F9" r:id="rId42" display="https://www.amazon.com/stores/ICTIVE/page/631E69AD-BAAF-489B-B8B8-E0BDFA538784?ref_=ast_bln&amp;store_ref=bl_ast_dp_brandLogo_sto" tooltip="https://www.amazon.com/stores/ICTIVE/page/631E69AD-BAAF-489B-B8B8-E0BDFA538784?ref_=ast_bln&amp;store_ref=bl_ast_dp_brandLogo_sto"/>
    <hyperlink ref="H9" r:id="rId43" display="https://www.amazon.com/dp/B07F9R17N9?psc=1" tooltip="https://www.amazon.com/dp/B07F9R17N9?psc=1"/>
    <hyperlink ref="I9" r:id="rId44" display="https://m.media-amazon.com/images/I/3129DriAD4L._AC_SR600,600_.jpg" tooltip="https://m.media-amazon.com/images/I/3129DriAD4L._AC_SR600,600_.jpg"/>
    <hyperlink ref="J9" r:id="rId45" display="B07F9LDRL3" tooltip="https://www.amazon.com/dp/B07F9LDRL3"/>
    <hyperlink ref="K9" r:id="rId6" display="Clothing, Shoes &amp; Jewelry:Women:Clothing:Active:Active Shirts &amp; Tees:Tank Tops" tooltip="https://www.amazon.com/b?node=23575650011"/>
    <hyperlink ref="L9" r:id="rId7" display="Clothing, Shoes &amp; Jewelry"/>
    <hyperlink ref="AR9" r:id="rId46" display="https://www.amazon.com/gp/help/seller/at-a-glance.html/ref=dp_merchant_link?seller=A1G74W3VJGHK92" tooltip="https://www.amazon.com/gp/help/seller/at-a-glance.html/ref=dp_merchant_link?seller=A1G74W3VJGHK92"/>
    <hyperlink ref="B10" r:id="rId47" display="B09X9Y5S8G" tooltip="https://www.amazon.com/dp/B09X9Y5S8G"/>
    <hyperlink ref="F10" r:id="rId10" display="https://www.amazon.com/stores/CRZYOGA/page/F2232413-0F7D-4831-81A1-9FDFCFE5C54D?ref_=ast_bln&amp;store_ref=bl_ast_dp_brandLogo_sto" tooltip="https://www.amazon.com/stores/CRZYOGA/page/F2232413-0F7D-4831-81A1-9FDFCFE5C54D?ref_=ast_bln&amp;store_ref=bl_ast_dp_brandLogo_sto"/>
    <hyperlink ref="H10" r:id="rId48" display="https://www.amazon.com/dp/B09X9Y5S8G?psc=1" tooltip="https://www.amazon.com/dp/B09X9Y5S8G?psc=1"/>
    <hyperlink ref="I10" r:id="rId49" display="https://images-na.ssl-images-amazon.com/images/I/71WU3fTVhnL._AC_US600_.jpg" tooltip="https://images-na.ssl-images-amazon.com/images/I/71WU3fTVhnL._AC_US600_.jpg"/>
    <hyperlink ref="J10" r:id="rId50" display="B0D66RCZ4H" tooltip="https://www.amazon.com/dp/B0D66RCZ4H"/>
    <hyperlink ref="K10" r:id="rId6" display="Clothing, Shoes &amp; Jewelry:Women:Clothing:Active:Active Shirts &amp; Tees:Tank Tops" tooltip="https://www.amazon.com/b?node=23575650011"/>
    <hyperlink ref="L10" r:id="rId7" display="Clothing, Shoes &amp; Jewelry"/>
    <hyperlink ref="AR10" r:id="rId14" display="https://www.amazon.com/gp/help/seller/at-a-glance.html/ref=dp_merchant_link?seller=A1CX3Y6OPGB2MO" tooltip="https://www.amazon.com/gp/help/seller/at-a-glance.html/ref=dp_merchant_link?seller=A1CX3Y6OPGB2MO"/>
    <hyperlink ref="B11" r:id="rId51" display="B087C5NWVG" tooltip="https://www.amazon.com/dp/B087C5NWVG"/>
    <hyperlink ref="F11" r:id="rId42" display="https://www.amazon.com/stores/ICTIVE/page/631E69AD-BAAF-489B-B8B8-E0BDFA538784?ref_=ast_bln&amp;store_ref=bl_ast_dp_brandLogo_sto" tooltip="https://www.amazon.com/stores/ICTIVE/page/631E69AD-BAAF-489B-B8B8-E0BDFA538784?ref_=ast_bln&amp;store_ref=bl_ast_dp_brandLogo_sto"/>
    <hyperlink ref="H11" r:id="rId52" display="https://www.amazon.com/dp/B087C5NWVG?psc=1" tooltip="https://www.amazon.com/dp/B087C5NWVG?psc=1"/>
    <hyperlink ref="I11" r:id="rId53" display="https://images-na.ssl-images-amazon.com/images/I/61nJW0ZoeIL._AC_US600_.jpg" tooltip="https://images-na.ssl-images-amazon.com/images/I/61nJW0ZoeIL._AC_US600_.jpg"/>
    <hyperlink ref="J11" r:id="rId54" display="B087C5SZV7" tooltip="https://www.amazon.com/dp/B087C5SZV7"/>
    <hyperlink ref="K11" r:id="rId6" display="Clothing, Shoes &amp; Jewelry:Women:Clothing:Active:Active Shirts &amp; Tees:Tank Tops" tooltip="https://www.amazon.com/b?node=23575650011"/>
    <hyperlink ref="L11" r:id="rId7" display="Clothing, Shoes &amp; Jewelry"/>
    <hyperlink ref="AR11" r:id="rId46" display="https://www.amazon.com/gp/help/seller/at-a-glance.html/ref=dp_merchant_link?seller=A1G74W3VJGHK92" tooltip="https://www.amazon.com/gp/help/seller/at-a-glance.html/ref=dp_merchant_link?seller=A1G74W3VJGHK92"/>
    <hyperlink ref="B12" r:id="rId55" display="B0CKYHP6Y4" tooltip="https://www.amazon.com/dp/B0CKYHP6Y4"/>
    <hyperlink ref="F12" r:id="rId10" display="https://www.amazon.com/stores/CRZYOGA/page/F2232413-0F7D-4831-81A1-9FDFCFE5C54D?ref_=ast_bln&amp;store_ref=bl_ast_dp_brandLogo_sto" tooltip="https://www.amazon.com/stores/CRZYOGA/page/F2232413-0F7D-4831-81A1-9FDFCFE5C54D?ref_=ast_bln&amp;store_ref=bl_ast_dp_brandLogo_sto"/>
    <hyperlink ref="H12" r:id="rId56" display="https://www.amazon.com/dp/B0CKYHP6Y4?psc=1" tooltip="https://www.amazon.com/dp/B0CKYHP6Y4?psc=1"/>
    <hyperlink ref="I12" r:id="rId57" display="https://images-na.ssl-images-amazon.com/images/I/71x22p-uzaL._AC_US600_.jpg" tooltip="https://images-na.ssl-images-amazon.com/images/I/71x22p-uzaL._AC_US600_.jpg"/>
    <hyperlink ref="J12" r:id="rId58" display="B0CKYKHJ2V" tooltip="https://www.amazon.com/dp/B0CKYKHJ2V"/>
    <hyperlink ref="K12" r:id="rId6" display="Clothing, Shoes &amp; Jewelry:Women:Clothing:Active:Active Shirts &amp; Tees:Tank Tops" tooltip="https://www.amazon.com/b?node=23575650011"/>
    <hyperlink ref="L12" r:id="rId7" display="Clothing, Shoes &amp; Jewelry"/>
    <hyperlink ref="AR12" r:id="rId14" display="https://www.amazon.com/gp/help/seller/at-a-glance.html/ref=dp_merchant_link?seller=A1CX3Y6OPGB2MO" tooltip="https://www.amazon.com/gp/help/seller/at-a-glance.html/ref=dp_merchant_link?seller=A1CX3Y6OPGB2MO"/>
    <hyperlink ref="B13" r:id="rId59" display="B08QVF8D69" tooltip="https://www.amazon.com/dp/B08QVF8D69"/>
    <hyperlink ref="F13" r:id="rId60" display="https://www.amazon.com/stores/ATTRACO/page/5100F4CC-BD4B-4C9B-B3B6-ADF858C56105?ref_=ast_bln&amp;store_ref=bl_ast_dp_brandLogo_sto" tooltip="https://www.amazon.com/stores/ATTRACO/page/5100F4CC-BD4B-4C9B-B3B6-ADF858C56105?ref_=ast_bln&amp;store_ref=bl_ast_dp_brandLogo_sto"/>
    <hyperlink ref="H13" r:id="rId61" display="https://www.amazon.com/dp/B08QVF8D69?psc=1" tooltip="https://www.amazon.com/dp/B08QVF8D69?psc=1"/>
    <hyperlink ref="I13" r:id="rId62" display="https://images-na.ssl-images-amazon.com/images/I/71ZV-v31jiL._AC_US600_.jpg" tooltip="https://images-na.ssl-images-amazon.com/images/I/71ZV-v31jiL._AC_US600_.jpg"/>
    <hyperlink ref="J13" r:id="rId63" display="B08QV8Q2YB" tooltip="https://www.amazon.com/dp/B08QV8Q2YB"/>
    <hyperlink ref="K13" r:id="rId6" display="Clothing, Shoes &amp; Jewelry:Women:Clothing:Active:Active Shirts &amp; Tees:Tank Tops" tooltip="https://www.amazon.com/b?node=23575650011"/>
    <hyperlink ref="L13" r:id="rId7" display="Clothing, Shoes &amp; Jewelry"/>
    <hyperlink ref="AR13" r:id="rId64" display="https://www.amazon.com/gp/help/seller/at-a-glance.html/ref=dp_merchant_link?seller=APE2BZYQAOKSP" tooltip="https://www.amazon.com/gp/help/seller/at-a-glance.html/ref=dp_merchant_link?seller=APE2BZYQAOKSP"/>
    <hyperlink ref="B14" r:id="rId65" display="B0C4F2R74C" tooltip="https://www.amazon.com/dp/B0C4F2R74C"/>
    <hyperlink ref="F14" r:id="rId66" display="https://www.amazon.com/stores/TELALEO/page/A4083910-6B73-40F5-885D-C30549B7DB42?ref_=ast_bln&amp;store_ref=bl_ast_dp_brandLogo_sto" tooltip="https://www.amazon.com/stores/TELALEO/page/A4083910-6B73-40F5-885D-C30549B7DB42?ref_=ast_bln&amp;store_ref=bl_ast_dp_brandLogo_sto"/>
    <hyperlink ref="H14" r:id="rId67" display="https://www.amazon.com/dp/B0C4F2R74C?psc=1" tooltip="https://www.amazon.com/dp/B0C4F2R74C?psc=1"/>
    <hyperlink ref="I14" r:id="rId68" display="https://images-na.ssl-images-amazon.com/images/I/71a9k3IewSL._AC_US600_.jpg" tooltip="https://images-na.ssl-images-amazon.com/images/I/71a9k3IewSL._AC_US600_.jpg"/>
    <hyperlink ref="J14" r:id="rId69" display="B0C4DZJ8BQ" tooltip="https://www.amazon.com/dp/B0C4DZJ8BQ"/>
    <hyperlink ref="K14" r:id="rId6" display="Clothing, Shoes &amp; Jewelry:Women:Clothing:Active:Active Shirts &amp; Tees:Tank Tops" tooltip="https://www.amazon.com/b?node=23575650011"/>
    <hyperlink ref="L14" r:id="rId7" display="Clothing, Shoes &amp; Jewelry"/>
    <hyperlink ref="AR14" r:id="rId70" display="https://www.amazon.com/gp/help/seller/at-a-glance.html/ref=dp_merchant_link?seller=A3PT8IWX9PIEVU" tooltip="https://www.amazon.com/gp/help/seller/at-a-glance.html/ref=dp_merchant_link?seller=A3PT8IWX9PIEVU"/>
    <hyperlink ref="B15" r:id="rId71" display="B01GJ1P3CS" tooltip="https://www.amazon.com/dp/B01GJ1P3CS"/>
    <hyperlink ref="F15" r:id="rId72" display="https://www.amazon.com/stores/NELEUS/page/A0E160C9-23A6-49A7-9ED4-CC0C095BF717?ref_=ast_bln&amp;store_ref=bl_ast_dp_brandLogo_sto" tooltip="https://www.amazon.com/stores/NELEUS/page/A0E160C9-23A6-49A7-9ED4-CC0C095BF717?ref_=ast_bln&amp;store_ref=bl_ast_dp_brandLogo_sto"/>
    <hyperlink ref="H15" r:id="rId73" display="https://www.amazon.com/dp/B01GJ1P3CS?psc=1" tooltip="https://www.amazon.com/dp/B01GJ1P3CS?psc=1"/>
    <hyperlink ref="I15" r:id="rId74" display="https://m.media-amazon.com/images/I/41q3yZbC5aL._AC_SR600,600_.jpg" tooltip="https://m.media-amazon.com/images/I/41q3yZbC5aL._AC_SR600,600_.jpg"/>
    <hyperlink ref="J15" r:id="rId75" display="B09M6X79V9" tooltip="https://www.amazon.com/dp/B09M6X79V9"/>
    <hyperlink ref="K15" r:id="rId6" display="Clothing, Shoes &amp; Jewelry:Women:Clothing:Active:Active Shirts &amp; Tees:Tank Tops" tooltip="https://www.amazon.com/b?node=23575650011"/>
    <hyperlink ref="L15" r:id="rId7" display="Clothing, Shoes &amp; Jewelry"/>
    <hyperlink ref="AR15" r:id="rId76" display="https://www.amazon.com/gp/help/seller/at-a-glance.html/ref=dp_merchant_link?seller=A1R0LSIN4H9TM7" tooltip="https://www.amazon.com/gp/help/seller/at-a-glance.html/ref=dp_merchant_link?seller=A1R0LSIN4H9TM7"/>
    <hyperlink ref="B16" r:id="rId77" display="B088DX9R7M" tooltip="https://www.amazon.com/dp/B088DX9R7M"/>
    <hyperlink ref="F16" r:id="rId78" display="https://www.amazon.com/stores/TheGymPeople/page/A339D2ED-083D-46D9-B99E-841F768AA99E?ref_=ast_bln&amp;store_ref=bl_ast_dp_brandLogo_sto" tooltip="https://www.amazon.com/stores/TheGymPeople/page/A339D2ED-083D-46D9-B99E-841F768AA99E?ref_=ast_bln&amp;store_ref=bl_ast_dp_brandLogo_sto"/>
    <hyperlink ref="H16" r:id="rId79" display="https://www.amazon.com/dp/B088DX9R7M?psc=1" tooltip="https://www.amazon.com/dp/B088DX9R7M?psc=1"/>
    <hyperlink ref="I16" r:id="rId80" display="https://images-na.ssl-images-amazon.com/images/I/612xd-m7tfS._AC_US600_.jpg" tooltip="https://images-na.ssl-images-amazon.com/images/I/612xd-m7tfS._AC_US600_.jpg"/>
    <hyperlink ref="J16" r:id="rId81" display="B088DW19G2" tooltip="https://www.amazon.com/dp/B088DW19G2"/>
    <hyperlink ref="K16" r:id="rId6" display="Clothing, Shoes &amp; Jewelry:Women:Clothing:Active:Active Shirts &amp; Tees:Tank Tops" tooltip="https://www.amazon.com/b?node=23575650011"/>
    <hyperlink ref="L16" r:id="rId7" display="Clothing, Shoes &amp; Jewelry"/>
    <hyperlink ref="AR16" r:id="rId82" display="https://www.amazon.com/gp/help/seller/at-a-glance.html/ref=dp_merchant_link?seller=AO3VMGXHKLO96" tooltip="https://www.amazon.com/gp/help/seller/at-a-glance.html/ref=dp_merchant_link?seller=AO3VMGXHKLO96"/>
    <hyperlink ref="B17" r:id="rId83" display="B087X3QCTQ" tooltip="https://www.amazon.com/dp/B087X3QCTQ"/>
    <hyperlink ref="F17" r:id="rId84" display="https://www.amazon.com/stores/DragonFit/page/3A5F9513-6863-454A-B1C0-5B6F596E2649?ref_=ast_bln&amp;store_ref=bl_ast_dp_brandLogo_sto" tooltip="https://www.amazon.com/stores/DragonFit/page/3A5F9513-6863-454A-B1C0-5B6F596E2649?ref_=ast_bln&amp;store_ref=bl_ast_dp_brandLogo_sto"/>
    <hyperlink ref="H17" r:id="rId85" display="https://www.amazon.com/dp/B087X3QCTQ?psc=1" tooltip="https://www.amazon.com/dp/B087X3QCTQ?psc=1"/>
    <hyperlink ref="I17" r:id="rId86" display="https://m.media-amazon.com/images/I/31hwC2sI87S._AC_SR600,600_.jpg" tooltip="https://m.media-amazon.com/images/I/31hwC2sI87S._AC_SR600,600_.jpg"/>
    <hyperlink ref="J17" r:id="rId87" display="B087X2TD8F" tooltip="https://www.amazon.com/dp/B087X2TD8F"/>
    <hyperlink ref="K17" r:id="rId6" display="Clothing, Shoes &amp; Jewelry:Women:Clothing:Active:Active Shirts &amp; Tees:Tank Tops" tooltip="https://www.amazon.com/b?node=23575650011"/>
    <hyperlink ref="L17" r:id="rId7" display="Clothing, Shoes &amp; Jewelry"/>
    <hyperlink ref="AR17" r:id="rId88" display="https://www.amazon.com/gp/help/seller/at-a-glance.html/ref=dp_merchant_link?seller=A397WKTEFGO1N7" tooltip="https://www.amazon.com/gp/help/seller/at-a-glance.html/ref=dp_merchant_link?seller=A397WKTEFGO1N7"/>
    <hyperlink ref="B18" r:id="rId89" display="B077XW24HV" tooltip="https://www.amazon.com/dp/B077XW24HV"/>
    <hyperlink ref="F18" r:id="rId90" display="https://www.amazon.com/stores/icyzone/page/700DD740-73E0-4062-8AD3-7E0EF6C6DB7A?ref_=ast_bln&amp;store_ref=bl_ast_dp_brandLogo_sto" tooltip="https://www.amazon.com/stores/icyzone/page/700DD740-73E0-4062-8AD3-7E0EF6C6DB7A?ref_=ast_bln&amp;store_ref=bl_ast_dp_brandLogo_sto"/>
    <hyperlink ref="H18" r:id="rId91" display="https://www.amazon.com/dp/B077XW24HV?psc=1" tooltip="https://www.amazon.com/dp/B077XW24HV?psc=1"/>
    <hyperlink ref="I18" r:id="rId92" display="https://m.media-amazon.com/images/I/51X4zRNBEhL._AC_SR600,600_.jpg" tooltip="https://m.media-amazon.com/images/I/51X4zRNBEhL._AC_SR600,600_.jpg"/>
    <hyperlink ref="J18" r:id="rId93" display="B07BZ6T96P" tooltip="https://www.amazon.com/dp/B07BZ6T96P"/>
    <hyperlink ref="K18" r:id="rId6" display="Clothing, Shoes &amp; Jewelry:Women:Clothing:Active:Active Shirts &amp; Tees:Tank Tops" tooltip="https://www.amazon.com/b?node=23575650011"/>
    <hyperlink ref="L18" r:id="rId7" display="Clothing, Shoes &amp; Jewelry"/>
    <hyperlink ref="AR18" r:id="rId94" display="https://www.amazon.com/gp/help/seller/at-a-glance.html/ref=dp_merchant_link?seller=A24BCT9INPL20E" tooltip="https://www.amazon.com/gp/help/seller/at-a-glance.html/ref=dp_merchant_link?seller=A24BCT9INPL20E"/>
    <hyperlink ref="B19" r:id="rId95" display="B0BZNN2Q87" tooltip="https://www.amazon.com/dp/B0BZNN2Q87"/>
    <hyperlink ref="F19" r:id="rId96" display="https://www.amazon.com/stores/Mippo/page/17F99944-3549-45FB-8E4A-290E96BF2B86?ref_=ast_bln&amp;store_ref=bl_ast_dp_brandLogo_sto" tooltip="https://www.amazon.com/stores/Mippo/page/17F99944-3549-45FB-8E4A-290E96BF2B86?ref_=ast_bln&amp;store_ref=bl_ast_dp_brandLogo_sto"/>
    <hyperlink ref="H19" r:id="rId97" display="https://www.amazon.com/dp/B0BZNN2Q87?psc=1" tooltip="https://www.amazon.com/dp/B0BZNN2Q87?psc=1"/>
    <hyperlink ref="I19" r:id="rId98" display="https://images-na.ssl-images-amazon.com/images/I/61DthzUt3hL._AC_US600_.jpg" tooltip="https://images-na.ssl-images-amazon.com/images/I/61DthzUt3hL._AC_US600_.jpg"/>
    <hyperlink ref="J19" r:id="rId99" display="B0BZNN2VMN" tooltip="https://www.amazon.com/dp/B0BZNN2VMN"/>
    <hyperlink ref="K19" r:id="rId6" display="Clothing, Shoes &amp; Jewelry:Women:Clothing:Active:Active Shirts &amp; Tees:Tank Tops" tooltip="https://www.amazon.com/b?node=23575650011"/>
    <hyperlink ref="L19" r:id="rId7" display="Clothing, Shoes &amp; Jewelry"/>
    <hyperlink ref="AR19" r:id="rId100" display="https://www.amazon.com/gp/help/seller/at-a-glance.html/ref=dp_merchant_link?seller=A36ZAC1EOE5YGO" tooltip="https://www.amazon.com/gp/help/seller/at-a-glance.html/ref=dp_merchant_link?seller=A36ZAC1EOE5YGO"/>
    <hyperlink ref="B20" r:id="rId101" display="B09KN7R4F8" tooltip="https://www.amazon.com/dp/B09KN7R4F8"/>
    <hyperlink ref="F20" r:id="rId102" display="https://www.amazon.com/stores/Ukaste/page/06E31FC6-D0F4-448B-B497-8142375E6020?ref_=ast_bln&amp;store_ref=bl_ast_dp_brandLogo_sto" tooltip="https://www.amazon.com/stores/Ukaste/page/06E31FC6-D0F4-448B-B497-8142375E6020?ref_=ast_bln&amp;store_ref=bl_ast_dp_brandLogo_sto"/>
    <hyperlink ref="H20" r:id="rId103" display="https://www.amazon.com/dp/B09KN7R4F8?psc=1" tooltip="https://www.amazon.com/dp/B09KN7R4F8?psc=1"/>
    <hyperlink ref="I20" r:id="rId104" display="https://images-na.ssl-images-amazon.com/images/I/613XEQm0b4L._AC_US600_.jpg" tooltip="https://images-na.ssl-images-amazon.com/images/I/613XEQm0b4L._AC_US600_.jpg"/>
    <hyperlink ref="J20" r:id="rId105" display="B08ZXTM6MM" tooltip="https://www.amazon.com/dp/B08ZXTM6MM"/>
    <hyperlink ref="K20" r:id="rId6" display="Clothing, Shoes &amp; Jewelry:Women:Clothing:Active:Active Shirts &amp; Tees:Tank Tops" tooltip="https://www.amazon.com/b?node=23575650011"/>
    <hyperlink ref="L20" r:id="rId7" display="Clothing, Shoes &amp; Jewelry"/>
    <hyperlink ref="AR20" r:id="rId106" display="https://www.amazon.com/gp/help/seller/at-a-glance.html/ref=dp_merchant_link?seller=A2ATGSCYMM1WIW" tooltip="https://www.amazon.com/gp/help/seller/at-a-glance.html/ref=dp_merchant_link?seller=A2ATGSCYMM1WIW"/>
    <hyperlink ref="B21" r:id="rId107" display="B0C4JQB7N5" tooltip="https://www.amazon.com/dp/B0C4JQB7N5"/>
    <hyperlink ref="F21" r:id="rId108" display="https://www.amazon.com/stores/OLCHEE/page/CBAA9A8C-AE5A-4C46-AE08-6B11FFCEA312?ref_=ast_bln&amp;store_ref=bl_ast_dp_brandLogo_sto" tooltip="https://www.amazon.com/stores/OLCHEE/page/CBAA9A8C-AE5A-4C46-AE08-6B11FFCEA312?ref_=ast_bln&amp;store_ref=bl_ast_dp_brandLogo_sto"/>
    <hyperlink ref="H21" r:id="rId109" display="https://www.amazon.com/dp/B0C4JQB7N5?psc=1" tooltip="https://www.amazon.com/dp/B0C4JQB7N5?psc=1"/>
    <hyperlink ref="I21" r:id="rId110" display="https://images-na.ssl-images-amazon.com/images/I/51+xyyTokFL._AC_US600_.jpg" tooltip="https://images-na.ssl-images-amazon.com/images/I/51+xyyTokFL._AC_US600_.jpg"/>
    <hyperlink ref="J21" r:id="rId111" display="B0C4HJ868G" tooltip="https://www.amazon.com/dp/B0C4HJ868G"/>
    <hyperlink ref="K21" r:id="rId6" display="Clothing, Shoes &amp; Jewelry:Women:Clothing:Active:Active Shirts &amp; Tees:Tank Tops" tooltip="https://www.amazon.com/b?node=23575650011"/>
    <hyperlink ref="L21" r:id="rId7" display="Clothing, Shoes &amp; Jewelry"/>
    <hyperlink ref="AR21" r:id="rId112" display="https://www.amazon.com/gp/help/seller/at-a-glance.html/ref=dp_merchant_link?seller=A13L03SHQKPLB" tooltip="https://www.amazon.com/gp/help/seller/at-a-glance.html/ref=dp_merchant_link?seller=A13L03SHQKPLB"/>
    <hyperlink ref="B22" r:id="rId113" display="B0CQC29BSR" tooltip="https://www.amazon.com/dp/B0CQC29BSR"/>
    <hyperlink ref="F22" r:id="rId114" display="https://www.amazon.com/stores/Pinspark/page/73638A0C-799E-4A9E-BD52-A76030463125?ref_=ast_bln&amp;store_ref=bl_ast_dp_brandLogo_sto" tooltip="https://www.amazon.com/stores/Pinspark/page/73638A0C-799E-4A9E-BD52-A76030463125?ref_=ast_bln&amp;store_ref=bl_ast_dp_brandLogo_sto"/>
    <hyperlink ref="H22" r:id="rId115" display="https://www.amazon.com/dp/B0CQC29BSR?psc=1" tooltip="https://www.amazon.com/dp/B0CQC29BSR?psc=1"/>
    <hyperlink ref="I22" r:id="rId116" display="https://m.media-amazon.com/images/I/41sn0KD1i5L._AC_SR600,600_.jpg" tooltip="https://m.media-amazon.com/images/I/41sn0KD1i5L._AC_SR600,600_.jpg"/>
    <hyperlink ref="J22" r:id="rId117" display="B0D31NVWKF" tooltip="https://www.amazon.com/dp/B0D31NVWKF"/>
    <hyperlink ref="K22" r:id="rId6" display="Clothing, Shoes &amp; Jewelry:Women:Clothing:Active:Active Shirts &amp; Tees:Tank Tops" tooltip="https://www.amazon.com/b?node=23575650011"/>
    <hyperlink ref="L22" r:id="rId7" display="Clothing, Shoes &amp; Jewelry"/>
    <hyperlink ref="AR22" r:id="rId118" display="https://www.amazon.com/gp/help/seller/at-a-glance.html/ref=dp_merchant_link?seller=A154O6JL5L5T2Z" tooltip="https://www.amazon.com/gp/help/seller/at-a-glance.html/ref=dp_merchant_link?seller=A154O6JL5L5T2Z"/>
    <hyperlink ref="B23" r:id="rId119" display="B083NRCFRB" tooltip="https://www.amazon.com/dp/B083NRCFRB"/>
    <hyperlink ref="F23" r:id="rId120" display="https://www.amazon.com/stores/baleaf/page/243A5985-DEA3-405F-83ED-364B4A3733C5?ref_=ast_bln&amp;store_ref=bl_ast_dp_brandLogo_sto" tooltip="https://www.amazon.com/stores/baleaf/page/243A5985-DEA3-405F-83ED-364B4A3733C5?ref_=ast_bln&amp;store_ref=bl_ast_dp_brandLogo_sto"/>
    <hyperlink ref="H23" r:id="rId121" display="https://www.amazon.com/dp/B083NRCFRB?psc=1" tooltip="https://www.amazon.com/dp/B083NRCFRB?psc=1"/>
    <hyperlink ref="I23" r:id="rId122" display="https://images-na.ssl-images-amazon.com/images/I/61bihm5Yv0L._AC_US600_.jpg" tooltip="https://images-na.ssl-images-amazon.com/images/I/61bihm5Yv0L._AC_US600_.jpg"/>
    <hyperlink ref="J23" r:id="rId123" display="B09MK2S9M8" tooltip="https://www.amazon.com/dp/B09MK2S9M8"/>
    <hyperlink ref="K23" r:id="rId6" display="Clothing, Shoes &amp; Jewelry:Women:Clothing:Active:Active Shirts &amp; Tees:Tank Tops" tooltip="https://www.amazon.com/b?node=23575650011"/>
    <hyperlink ref="L23" r:id="rId7" display="Clothing, Shoes &amp; Jewelry"/>
    <hyperlink ref="AR23" r:id="rId124" display="https://www.amazon.com/gp/help/seller/at-a-glance.html/ref=dp_merchant_link?seller=AUCI3SOXHH004" tooltip="https://www.amazon.com/gp/help/seller/at-a-glance.html/ref=dp_merchant_link?seller=AUCI3SOXHH004"/>
    <hyperlink ref="B24" r:id="rId125" display="B09B3N4Y47" tooltip="https://www.amazon.com/dp/B09B3N4Y47"/>
    <hyperlink ref="F24" r:id="rId126" display="https://www.amazon.com/stores/ArriveGuide/page/72736D65-6004-49B5-A4E7-487F381ED667?ref_=ast_bln" tooltip="https://www.amazon.com/stores/ArriveGuide/page/72736D65-6004-49B5-A4E7-487F381ED667?ref_=ast_bln"/>
    <hyperlink ref="H24" r:id="rId127" display="https://www.amazon.com/dp/B09B3N4Y47?psc=1" tooltip="https://www.amazon.com/dp/B09B3N4Y47?psc=1"/>
    <hyperlink ref="I24" r:id="rId128" display="https://images-na.ssl-images-amazon.com/images/I/61kOczU078L._AC_US600_.jpg" tooltip="https://images-na.ssl-images-amazon.com/images/I/61kOczU078L._AC_US600_.jpg"/>
    <hyperlink ref="J24" r:id="rId129" display="B09B3MVBVR" tooltip="https://www.amazon.com/dp/B09B3MVBVR"/>
    <hyperlink ref="K24" r:id="rId6" display="Clothing, Shoes &amp; Jewelry:Women:Clothing:Active:Active Shirts &amp; Tees:Tank Tops" tooltip="https://www.amazon.com/b?node=23575650011"/>
    <hyperlink ref="L24" r:id="rId7" display="Clothing, Shoes &amp; Jewelry"/>
    <hyperlink ref="AR24" r:id="rId130" display="https://www.amazon.com/gp/help/seller/at-a-glance.html/ref=dp_merchant_link?seller=AST829DFD22N3" tooltip="https://www.amazon.com/gp/help/seller/at-a-glance.html/ref=dp_merchant_link?seller=AST829DFD22N3"/>
    <hyperlink ref="B25" r:id="rId131" display="B0B1MWMRWZ" tooltip="https://www.amazon.com/dp/B0B1MWMRWZ"/>
    <hyperlink ref="F25" r:id="rId132" display="https://www.amazon.com/stores/YYV/page/B3CF9010-49D8-40BA-A05B-B68D02D8F2EC?ref_=ast_bln&amp;store_ref=bl_ast_dp_brandLogo_sto" tooltip="https://www.amazon.com/stores/YYV/page/B3CF9010-49D8-40BA-A05B-B68D02D8F2EC?ref_=ast_bln&amp;store_ref=bl_ast_dp_brandLogo_sto"/>
    <hyperlink ref="H25" r:id="rId133" display="https://www.amazon.com/dp/B0B1MWMRWZ?psc=1" tooltip="https://www.amazon.com/dp/B0B1MWMRWZ?psc=1"/>
    <hyperlink ref="I25" r:id="rId134" display="https://m.media-amazon.com/images/I/31VVakwH55L._AC_SR600,600_.jpg" tooltip="https://m.media-amazon.com/images/I/31VVakwH55L._AC_SR600,600_.jpg"/>
    <hyperlink ref="J25" r:id="rId135" display="B0BYP7BY67" tooltip="https://www.amazon.com/dp/B0BYP7BY67"/>
    <hyperlink ref="K25" r:id="rId6" display="Clothing, Shoes &amp; Jewelry:Women:Clothing:Active:Active Shirts &amp; Tees:Tank Tops" tooltip="https://www.amazon.com/b?node=23575650011"/>
    <hyperlink ref="L25" r:id="rId7" display="Clothing, Shoes &amp; Jewelry"/>
    <hyperlink ref="AR25" r:id="rId136" display="https://www.amazon.com/gp/help/seller/at-a-glance.html/ref=dp_merchant_link?seller=A1OH9F3A55BKR7" tooltip="https://www.amazon.com/gp/help/seller/at-a-glance.html/ref=dp_merchant_link?seller=A1OH9F3A55BKR7"/>
    <hyperlink ref="B26" r:id="rId137" display="B0899NQ2RD" tooltip="https://www.amazon.com/dp/B0899NQ2RD"/>
    <hyperlink ref="F26" r:id="rId138" display="https://www.amazon.com/stores/Lavento/page/CE5A281D-176F-438B-96C0-826F50B54968?ref_=ast_bln&amp;store_ref=bl_ast_dp_brandLogo_sto" tooltip="https://www.amazon.com/stores/Lavento/page/CE5A281D-176F-438B-96C0-826F50B54968?ref_=ast_bln&amp;store_ref=bl_ast_dp_brandLogo_sto"/>
    <hyperlink ref="H26" r:id="rId139" display="https://www.amazon.com/dp/B0899NQ2RD?psc=1" tooltip="https://www.amazon.com/dp/B0899NQ2RD?psc=1"/>
    <hyperlink ref="I26" r:id="rId140" display="https://images-na.ssl-images-amazon.com/images/I/61X9VLDtTXL._AC_US600_.jpg" tooltip="https://images-na.ssl-images-amazon.com/images/I/61X9VLDtTXL._AC_US600_.jpg"/>
    <hyperlink ref="J26" r:id="rId141" display="B0899XC5DP" tooltip="https://www.amazon.com/dp/B0899XC5DP"/>
    <hyperlink ref="K26" r:id="rId6" display="Clothing, Shoes &amp; Jewelry:Women:Clothing:Active:Active Shirts &amp; Tees:Tank Tops" tooltip="https://www.amazon.com/b?node=23575650011"/>
    <hyperlink ref="L26" r:id="rId7" display="Clothing, Shoes &amp; Jewelry"/>
    <hyperlink ref="AR26" r:id="rId142" display="https://www.amazon.com/gp/help/seller/at-a-glance.html/ref=dp_merchant_link?seller=A1VFAP7VFYSDQE" tooltip="https://www.amazon.com/gp/help/seller/at-a-glance.html/ref=dp_merchant_link?seller=A1VFAP7VFYSDQE"/>
    <hyperlink ref="B27" r:id="rId143" display="B0D5Y9N5YH" tooltip="https://www.amazon.com/dp/B0D5Y9N5YH"/>
    <hyperlink ref="F27" r:id="rId144" display="https://www.amazon.com/stores/GGradual/page/83E26C48-D353-4DB2-BBB1-1B1E939F003F?ref_=ast_bln&amp;store_ref=bl_ast_dp_brandLogo_sto" tooltip="https://www.amazon.com/stores/GGradual/page/83E26C48-D353-4DB2-BBB1-1B1E939F003F?ref_=ast_bln&amp;store_ref=bl_ast_dp_brandLogo_sto"/>
    <hyperlink ref="H27" r:id="rId145" display="https://www.amazon.com/dp/B0D5Y9N5YH?psc=1" tooltip="https://www.amazon.com/dp/B0D5Y9N5YH?psc=1"/>
    <hyperlink ref="I27" r:id="rId146" display="https://images-na.ssl-images-amazon.com/images/I/71K3nspF-eL._AC_US600_.jpg" tooltip="https://images-na.ssl-images-amazon.com/images/I/71K3nspF-eL._AC_US600_.jpg"/>
    <hyperlink ref="J27" r:id="rId147" display="B0D92DQW83" tooltip="https://www.amazon.com/dp/B0D92DQW83"/>
    <hyperlink ref="K27" r:id="rId6" display="Clothing, Shoes &amp; Jewelry:Women:Clothing:Active:Active Shirts &amp; Tees:Tank Tops" tooltip="https://www.amazon.com/b?node=23575650011"/>
    <hyperlink ref="L27" r:id="rId7" display="Clothing, Shoes &amp; Jewelry"/>
    <hyperlink ref="AR27" r:id="rId148" display="https://www.amazon.com/gp/help/seller/at-a-glance.html/ref=dp_merchant_link?seller=A3J1UQ06EUSAGL" tooltip="https://www.amazon.com/gp/help/seller/at-a-glance.html/ref=dp_merchant_link?seller=A3J1UQ06EUSAGL"/>
    <hyperlink ref="B28" r:id="rId149" display="B0C739KNZD" tooltip="https://www.amazon.com/dp/B0C739KNZD"/>
    <hyperlink ref="F28" r:id="rId10" display="https://www.amazon.com/stores/CRZYOGA/page/F2232413-0F7D-4831-81A1-9FDFCFE5C54D?ref_=ast_bln&amp;store_ref=bl_ast_dp_brandLogo_sto" tooltip="https://www.amazon.com/stores/CRZYOGA/page/F2232413-0F7D-4831-81A1-9FDFCFE5C54D?ref_=ast_bln&amp;store_ref=bl_ast_dp_brandLogo_sto"/>
    <hyperlink ref="H28" r:id="rId150" display="https://www.amazon.com/dp/B0C739KNZD?psc=1" tooltip="https://www.amazon.com/dp/B0C739KNZD?psc=1"/>
    <hyperlink ref="I28" r:id="rId151" display="https://images-na.ssl-images-amazon.com/images/I/71-EMVEH8aL._AC_US600_.jpg" tooltip="https://images-na.ssl-images-amazon.com/images/I/71-EMVEH8aL._AC_US600_.jpg"/>
    <hyperlink ref="J28" r:id="rId152" display="B0CCNCB5GH" tooltip="https://www.amazon.com/dp/B0CCNCB5GH"/>
    <hyperlink ref="K28" r:id="rId6" display="Clothing, Shoes &amp; Jewelry:Women:Clothing:Active:Active Shirts &amp; Tees:Tank Tops" tooltip="https://www.amazon.com/b?node=23575650011"/>
    <hyperlink ref="L28" r:id="rId7" display="Clothing, Shoes &amp; Jewelry"/>
    <hyperlink ref="AR28" r:id="rId14" display="https://www.amazon.com/gp/help/seller/at-a-glance.html/ref=dp_merchant_link?seller=A1CX3Y6OPGB2MO" tooltip="https://www.amazon.com/gp/help/seller/at-a-glance.html/ref=dp_merchant_link?seller=A1CX3Y6OPGB2MO"/>
    <hyperlink ref="B29" r:id="rId153" display="B0B2HN57YG" tooltip="https://www.amazon.com/dp/B0B2HN57YG"/>
    <hyperlink ref="F29" r:id="rId154" display="https://www.amazon.com/stores/WOMENSTOPSINHIGHQIALITLYCOTTONFBRIC/page/2C098EC2-C511-48D6-B1E0-3CF6324F4CFA?ref_=ast_bln&amp;store_ref=bl_ast_dp_brandLogo_sto" tooltip="https://www.amazon.com/stores/WOMENSTOPSINHIGHQIALITLYCOTTONFBRIC/page/2C098EC2-C511-48D6-B1E0-3CF6324F4CFA?ref_=ast_bln&amp;store_ref=bl_ast_dp_brandLogo_sto"/>
    <hyperlink ref="H29" r:id="rId155" display="https://www.amazon.com/dp/B0B2HN57YG?psc=1" tooltip="https://www.amazon.com/dp/B0B2HN57YG?psc=1"/>
    <hyperlink ref="I29" r:id="rId156" display="https://images-na.ssl-images-amazon.com/images/I/61aXdH5pTFL._AC_US600_.jpg" tooltip="https://images-na.ssl-images-amazon.com/images/I/61aXdH5pTFL._AC_US600_.jpg"/>
    <hyperlink ref="J29" r:id="rId157" display="B09PL6L8Y6" tooltip="https://www.amazon.com/dp/B09PL6L8Y6"/>
    <hyperlink ref="K29" r:id="rId6" display="Clothing, Shoes &amp; Jewelry:Women:Clothing:Active:Active Shirts &amp; Tees:Tank Tops" tooltip="https://www.amazon.com/b?node=23575650011"/>
    <hyperlink ref="L29" r:id="rId7" display="Clothing, Shoes &amp; Jewelry"/>
    <hyperlink ref="AR29" r:id="rId158" display="https://www.amazon.com/gp/help/seller/at-a-glance.html/ref=dp_merchant_link?seller=A1R2G5XQH2OP5W" tooltip="https://www.amazon.com/gp/help/seller/at-a-glance.html/ref=dp_merchant_link?seller=A1R2G5XQH2OP5W"/>
    <hyperlink ref="B30" r:id="rId159" display="B07WBVW81F" tooltip="https://www.amazon.com/dp/B07WBVW81F"/>
    <hyperlink ref="F30" r:id="rId96" display="https://www.amazon.com/stores/Mippo/page/17F99944-3549-45FB-8E4A-290E96BF2B86?ref_=ast_bln&amp;store_ref=bl_ast_dp_brandLogo_sto" tooltip="https://www.amazon.com/stores/Mippo/page/17F99944-3549-45FB-8E4A-290E96BF2B86?ref_=ast_bln&amp;store_ref=bl_ast_dp_brandLogo_sto"/>
    <hyperlink ref="H30" r:id="rId160" display="https://www.amazon.com/dp/B07WBVW81F?psc=1" tooltip="https://www.amazon.com/dp/B07WBVW81F?psc=1"/>
    <hyperlink ref="I30" r:id="rId161" display="https://m.media-amazon.com/images/I/31pOSH-Hg7L._AC_SR600,600_.jpg" tooltip="https://m.media-amazon.com/images/I/31pOSH-Hg7L._AC_SR600,600_.jpg"/>
    <hyperlink ref="J30" r:id="rId162" display="B0CBQVRKZD" tooltip="https://www.amazon.com/dp/B0CBQVRKZD"/>
    <hyperlink ref="K30" r:id="rId6" display="Clothing, Shoes &amp; Jewelry:Women:Clothing:Active:Active Shirts &amp; Tees:Tank Tops" tooltip="https://www.amazon.com/b?node=23575650011"/>
    <hyperlink ref="L30" r:id="rId7" display="Clothing, Shoes &amp; Jewelry"/>
    <hyperlink ref="AR30" r:id="rId100" display="https://www.amazon.com/gp/help/seller/at-a-glance.html/ref=dp_merchant_link?seller=A36ZAC1EOE5YGO" tooltip="https://www.amazon.com/gp/help/seller/at-a-glance.html/ref=dp_merchant_link?seller=A36ZAC1EOE5YGO"/>
    <hyperlink ref="B31" r:id="rId163" display="B0C338T2QM" tooltip="https://www.amazon.com/dp/B0C338T2QM"/>
    <hyperlink ref="F31" r:id="rId10" display="https://www.amazon.com/stores/CRZYOGA/page/F2232413-0F7D-4831-81A1-9FDFCFE5C54D?ref_=ast_bln&amp;store_ref=bl_ast_dp_brandLogo_sto" tooltip="https://www.amazon.com/stores/CRZYOGA/page/F2232413-0F7D-4831-81A1-9FDFCFE5C54D?ref_=ast_bln&amp;store_ref=bl_ast_dp_brandLogo_sto"/>
    <hyperlink ref="H31" r:id="rId164" display="https://www.amazon.com/dp/B0C338T2QM?psc=1" tooltip="https://www.amazon.com/dp/B0C338T2QM?psc=1"/>
    <hyperlink ref="I31" r:id="rId165" display="https://m.media-amazon.com/images/I/31V8e59PEAL._AC_SR600,600_.jpg" tooltip="https://m.media-amazon.com/images/I/31V8e59PEAL._AC_SR600,600_.jpg"/>
    <hyperlink ref="J31" r:id="rId166" display="B0C3376P9M" tooltip="https://www.amazon.com/dp/B0C3376P9M"/>
    <hyperlink ref="K31" r:id="rId6" display="Clothing, Shoes &amp; Jewelry:Women:Clothing:Active:Active Shirts &amp; Tees:Tank Tops" tooltip="https://www.amazon.com/b?node=23575650011"/>
    <hyperlink ref="L31" r:id="rId7" display="Clothing, Shoes &amp; Jewelry"/>
    <hyperlink ref="AR31" r:id="rId14" display="https://www.amazon.com/gp/help/seller/at-a-glance.html/ref=dp_merchant_link?seller=A1CX3Y6OPGB2MO" tooltip="https://www.amazon.com/gp/help/seller/at-a-glance.html/ref=dp_merchant_link?seller=A1CX3Y6OPGB2MO"/>
    <hyperlink ref="B32" r:id="rId167" display="B0CKL3CYVJ" tooltip="https://www.amazon.com/dp/B0CKL3CYVJ"/>
    <hyperlink ref="F32" r:id="rId168" display="https://www.amazon.com/stores/Lalagen/page/E64041B2-DBB2-495D-8EBC-5B2DFCE86969?ref_=ast_bln&amp;store_ref=bl_ast_dp_brandLogo_sto" tooltip="https://www.amazon.com/stores/Lalagen/page/E64041B2-DBB2-495D-8EBC-5B2DFCE86969?ref_=ast_bln&amp;store_ref=bl_ast_dp_brandLogo_sto"/>
    <hyperlink ref="H32" r:id="rId169" display="https://www.amazon.com/dp/B0CKL3CYVJ?psc=1" tooltip="https://www.amazon.com/dp/B0CKL3CYVJ?psc=1"/>
    <hyperlink ref="I32" r:id="rId170" display="https://images-na.ssl-images-amazon.com/images/I/61CXFjENUpL._AC_US600_.jpg" tooltip="https://images-na.ssl-images-amazon.com/images/I/61CXFjENUpL._AC_US600_.jpg"/>
    <hyperlink ref="J32" r:id="rId171" display="B0D44DMWFN" tooltip="https://www.amazon.com/dp/B0D44DMWFN"/>
    <hyperlink ref="K32" r:id="rId6" display="Clothing, Shoes &amp; Jewelry:Women:Clothing:Active:Active Shirts &amp; Tees:Tank Tops" tooltip="https://www.amazon.com/b?node=23575650011"/>
    <hyperlink ref="L32" r:id="rId7" display="Clothing, Shoes &amp; Jewelry"/>
    <hyperlink ref="AR32" r:id="rId172" display="https://www.amazon.com/gp/help/seller/at-a-glance.html/ref=dp_merchant_link?seller=A129N7F11RS16B" tooltip="https://www.amazon.com/gp/help/seller/at-a-glance.html/ref=dp_merchant_link?seller=A129N7F11RS16B"/>
    <hyperlink ref="B33" r:id="rId173" display="B07V9DYGVZ" tooltip="https://www.amazon.com/dp/B07V9DYGVZ"/>
    <hyperlink ref="F33" r:id="rId10" display="https://www.amazon.com/stores/CRZYOGA/page/F2232413-0F7D-4831-81A1-9FDFCFE5C54D?ref_=ast_bln&amp;store_ref=bl_ast_dp_brandLogo_sto" tooltip="https://www.amazon.com/stores/CRZYOGA/page/F2232413-0F7D-4831-81A1-9FDFCFE5C54D?ref_=ast_bln&amp;store_ref=bl_ast_dp_brandLogo_sto"/>
    <hyperlink ref="H33" r:id="rId174" display="https://www.amazon.com/dp/B07V9DYGVZ?psc=1" tooltip="https://www.amazon.com/dp/B07V9DYGVZ?psc=1"/>
    <hyperlink ref="I33" r:id="rId175" display="https://m.media-amazon.com/images/I/41dmdv7zfnL._AC_SR600,600_.jpg" tooltip="https://m.media-amazon.com/images/I/41dmdv7zfnL._AC_SR600,600_.jpg"/>
    <hyperlink ref="J33" r:id="rId176" display="B0D7P5C5JT" tooltip="https://www.amazon.com/dp/B0D7P5C5JT"/>
    <hyperlink ref="K33" r:id="rId6" display="Clothing, Shoes &amp; Jewelry:Women:Clothing:Active:Active Shirts &amp; Tees:Tank Tops" tooltip="https://www.amazon.com/b?node=23575650011"/>
    <hyperlink ref="L33" r:id="rId7" display="Clothing, Shoes &amp; Jewelry"/>
    <hyperlink ref="AR33" r:id="rId14" display="https://www.amazon.com/gp/help/seller/at-a-glance.html/ref=dp_merchant_link?seller=A1CX3Y6OPGB2MO" tooltip="https://www.amazon.com/gp/help/seller/at-a-glance.html/ref=dp_merchant_link?seller=A1CX3Y6OPGB2MO"/>
    <hyperlink ref="B34" r:id="rId177" display="B0BN2XYPY9" tooltip="https://www.amazon.com/dp/B0BN2XYPY9"/>
    <hyperlink ref="F34" r:id="rId178" display="https://www.amazon.com/stores/Joyspels/page/54FCF92F-4764-4024-A8B8-1EDC1CCC931E?ref_=ast_bln&amp;store_ref=bl_ast_dp_brandLogo_sto" tooltip="https://www.amazon.com/stores/Joyspels/page/54FCF92F-4764-4024-A8B8-1EDC1CCC931E?ref_=ast_bln&amp;store_ref=bl_ast_dp_brandLogo_sto"/>
    <hyperlink ref="H34" r:id="rId179" display="https://www.amazon.com/dp/B0BN2XYPY9?psc=1" tooltip="https://www.amazon.com/dp/B0BN2XYPY9?psc=1"/>
    <hyperlink ref="I34" r:id="rId180" display="https://m.media-amazon.com/images/I/31eZgm2e+3L._AC_SR600,600_.jpg" tooltip="https://m.media-amazon.com/images/I/31eZgm2e+3L._AC_SR600,600_.jpg"/>
    <hyperlink ref="J34" r:id="rId181" display="B09PV7FM1X" tooltip="https://www.amazon.com/dp/B09PV7FM1X"/>
    <hyperlink ref="K34" r:id="rId6" display="Clothing, Shoes &amp; Jewelry:Women:Clothing:Active:Active Shirts &amp; Tees:Tank Tops" tooltip="https://www.amazon.com/b?node=23575650011"/>
    <hyperlink ref="L34" r:id="rId7" display="Clothing, Shoes &amp; Jewelry"/>
    <hyperlink ref="AR34" r:id="rId182" display="https://www.amazon.com/gp/help/seller/at-a-glance.html/ref=dp_merchant_link?seller=A18IA2MBVZ2X62" tooltip="https://www.amazon.com/gp/help/seller/at-a-glance.html/ref=dp_merchant_link?seller=A18IA2MBVZ2X62"/>
    <hyperlink ref="B35" r:id="rId183" display="B087BHBG6L" tooltip="https://www.amazon.com/dp/B087BHBG6L"/>
    <hyperlink ref="F35" r:id="rId184" display="https://www.amazon.com/sphinx-cat/b/ref=bl_sl_s_ap_web_19183874011?ie=UTF8&amp;node=19183874011&amp;field-lbr_brands_browse-bin=sphinx+cat" tooltip="https://www.amazon.com/sphinx-cat/b/ref=bl_sl_s_ap_web_19183874011?ie=UTF8&amp;node=19183874011&amp;field-lbr_brands_browse-bin=sphinx+cat"/>
    <hyperlink ref="H35" r:id="rId185" display="https://www.amazon.com/dp/B087BHBG6L?psc=1" tooltip="https://www.amazon.com/dp/B087BHBG6L?psc=1"/>
    <hyperlink ref="I35" r:id="rId186" display="https://m.media-amazon.com/images/I/41pvavK98oL._AC_SR600,600_.jpg" tooltip="https://m.media-amazon.com/images/I/41pvavK98oL._AC_SR600,600_.jpg"/>
    <hyperlink ref="J35" r:id="rId187" display="B087BHXXC4" tooltip="https://www.amazon.com/dp/B087BHXXC4"/>
    <hyperlink ref="K35" r:id="rId188" display="Clothing, Shoes &amp; Jewelry:Women:Clothing:Lingerie, Sleep &amp; Lounge:Lingerie:Bras:Sports Bras" tooltip="https://www.amazon.com/b?node=1044990"/>
    <hyperlink ref="L35" r:id="rId7" display="Clothing, Shoes &amp; Jewelry"/>
    <hyperlink ref="AR35" r:id="rId189" display="https://www.amazon.com/gp/help/seller/at-a-glance.html/ref=dp_merchant_link?seller=A1G8L2XUV3HSNH" tooltip="https://www.amazon.com/gp/help/seller/at-a-glance.html/ref=dp_merchant_link?seller=A1G8L2XUV3HSNH"/>
    <hyperlink ref="B36" r:id="rId190" display="B0C53CKCQN" tooltip="https://www.amazon.com/dp/B0C53CKCQN"/>
    <hyperlink ref="F36" r:id="rId10" display="https://www.amazon.com/stores/CRZYOGA/page/F2232413-0F7D-4831-81A1-9FDFCFE5C54D?ref_=ast_bln&amp;store_ref=bl_ast_dp_brandLogo_sto" tooltip="https://www.amazon.com/stores/CRZYOGA/page/F2232413-0F7D-4831-81A1-9FDFCFE5C54D?ref_=ast_bln&amp;store_ref=bl_ast_dp_brandLogo_sto"/>
    <hyperlink ref="H36" r:id="rId191" display="https://www.amazon.com/dp/B0C53CKCQN?psc=1" tooltip="https://www.amazon.com/dp/B0C53CKCQN?psc=1"/>
    <hyperlink ref="I36" r:id="rId192" display="https://m.media-amazon.com/images/I/41ZeSlTJhvL._AC_SR600,600_.jpg" tooltip="https://m.media-amazon.com/images/I/41ZeSlTJhvL._AC_SR600,600_.jpg"/>
    <hyperlink ref="J36" r:id="rId193" display="B0CGMTZLGD" tooltip="https://www.amazon.com/dp/B0CGMTZLGD"/>
    <hyperlink ref="K36" r:id="rId6" display="Clothing, Shoes &amp; Jewelry:Women:Clothing:Active:Active Shirts &amp; Tees:Tank Tops" tooltip="https://www.amazon.com/b?node=23575650011"/>
    <hyperlink ref="L36" r:id="rId7" display="Clothing, Shoes &amp; Jewelry"/>
    <hyperlink ref="AR36" r:id="rId14" display="https://www.amazon.com/gp/help/seller/at-a-glance.html/ref=dp_merchant_link?seller=A1CX3Y6OPGB2MO" tooltip="https://www.amazon.com/gp/help/seller/at-a-glance.html/ref=dp_merchant_link?seller=A1CX3Y6OPGB2MO"/>
    <hyperlink ref="B37" r:id="rId194" display="B08L8C343P" tooltip="https://www.amazon.com/dp/B08L8C343P"/>
    <hyperlink ref="F37" r:id="rId195" display="https://www.amazon.com/stores/AmazonEssentials/page/F8FB6F3C-F896-455C-BC52-7879F4CEF0CF?ref_=ast_bln&amp;store_ref=bl_ast_dp_brandLogo_sto" tooltip="https://www.amazon.com/stores/AmazonEssentials/page/F8FB6F3C-F896-455C-BC52-7879F4CEF0CF?ref_=ast_bln&amp;store_ref=bl_ast_dp_brandLogo_sto"/>
    <hyperlink ref="H37" r:id="rId196" display="https://www.amazon.com/dp/B08L8C343P?psc=1" tooltip="https://www.amazon.com/dp/B08L8C343P?psc=1"/>
    <hyperlink ref="I37" r:id="rId197" display="https://m.media-amazon.com/images/I/41hxkrZxDvL._AC_SR600,600_.jpg" tooltip="https://m.media-amazon.com/images/I/41hxkrZxDvL._AC_SR600,600_.jpg"/>
    <hyperlink ref="J37" r:id="rId198" display="B0D3NDP7NB" tooltip="https://www.amazon.com/dp/B0D3NDP7NB"/>
    <hyperlink ref="K37" r:id="rId6" display="Clothing, Shoes &amp; Jewelry:Women:Clothing:Active:Active Shirts &amp; Tees:Tank Tops" tooltip="https://www.amazon.com/b?node=23575650011"/>
    <hyperlink ref="L37" r:id="rId199" display="Our Brands"/>
    <hyperlink ref="B38" r:id="rId200" display="B0C4XZLQNV" tooltip="https://www.amazon.com/dp/B0C4XZLQNV"/>
    <hyperlink ref="F38" r:id="rId201" display="https://www.amazon.com/stores/Joviren/page/66B7A0B4-E96C-4BF1-96F4-9924EF233A43?ref_=ast_bln&amp;store_ref=bl_ast_dp_brandLogo_sto" tooltip="https://www.amazon.com/stores/Joviren/page/66B7A0B4-E96C-4BF1-96F4-9924EF233A43?ref_=ast_bln&amp;store_ref=bl_ast_dp_brandLogo_sto"/>
    <hyperlink ref="H38" r:id="rId202" display="https://www.amazon.com/dp/B0C4XZLQNV?psc=1" tooltip="https://www.amazon.com/dp/B0C4XZLQNV?psc=1"/>
    <hyperlink ref="I38" r:id="rId203" display="https://m.media-amazon.com/images/I/418MmqszZiL._AC_SR600,600_.jpg" tooltip="https://m.media-amazon.com/images/I/418MmqszZiL._AC_SR600,600_.jpg"/>
    <hyperlink ref="J38" r:id="rId204" display="B09BDSWPH5" tooltip="https://www.amazon.com/dp/B09BDSWPH5"/>
    <hyperlink ref="K38" r:id="rId6" display="Clothing, Shoes &amp; Jewelry:Women:Clothing:Active:Active Shirts &amp; Tees:Tank Tops" tooltip="https://www.amazon.com/b?node=23575650011"/>
    <hyperlink ref="L38" r:id="rId7" display="Clothing, Shoes &amp; Jewelry"/>
    <hyperlink ref="AR38" r:id="rId205" display="https://www.amazon.com/gp/help/seller/at-a-glance.html/ref=dp_merchant_link?seller=A3CLXGTYGRLXLG" tooltip="https://www.amazon.com/gp/help/seller/at-a-glance.html/ref=dp_merchant_link?seller=A3CLXGTYGRLXLG"/>
    <hyperlink ref="B39" r:id="rId206" display="B0CY2V523Z" tooltip="https://www.amazon.com/dp/B0CY2V523Z"/>
    <hyperlink ref="F39" r:id="rId207" display="https://www.amazon.com/stores/SANTINY/page/C8E491B5-0FA2-4D0C-979E-F3B657EE0FA5?ref_=ast_bln&amp;store_ref=bl_ast_dp_brandLogo_sto" tooltip="https://www.amazon.com/stores/SANTINY/page/C8E491B5-0FA2-4D0C-979E-F3B657EE0FA5?ref_=ast_bln&amp;store_ref=bl_ast_dp_brandLogo_sto"/>
    <hyperlink ref="H39" r:id="rId208" display="https://www.amazon.com/dp/B0CY2V523Z?psc=1" tooltip="https://www.amazon.com/dp/B0CY2V523Z?psc=1"/>
    <hyperlink ref="I39" r:id="rId209" display="https://images-na.ssl-images-amazon.com/images/I/61qKwbsxb8L._AC_US600_.jpg" tooltip="https://images-na.ssl-images-amazon.com/images/I/61qKwbsxb8L._AC_US600_.jpg"/>
    <hyperlink ref="J39" r:id="rId210" display="B0CY2WVB4P" tooltip="https://www.amazon.com/dp/B0CY2WVB4P"/>
    <hyperlink ref="K39" r:id="rId6" display="Clothing, Shoes &amp; Jewelry:Women:Clothing:Active:Active Shirts &amp; Tees:Tank Tops" tooltip="https://www.amazon.com/b?node=23575650011"/>
    <hyperlink ref="L39" r:id="rId7" display="Clothing, Shoes &amp; Jewelry"/>
    <hyperlink ref="AR39" r:id="rId211" display="https://www.amazon.com/gp/help/seller/at-a-glance.html/ref=dp_merchant_link?seller=A3E1SQM5WUB3RR" tooltip="https://www.amazon.com/gp/help/seller/at-a-glance.html/ref=dp_merchant_link?seller=A3E1SQM5WUB3RR"/>
    <hyperlink ref="B40" r:id="rId212" display="B07SG39YS1" tooltip="https://www.amazon.com/dp/B07SG39YS1"/>
    <hyperlink ref="F40" r:id="rId10" display="https://www.amazon.com/stores/CRZYOGA/page/F2232413-0F7D-4831-81A1-9FDFCFE5C54D?ref_=ast_bln&amp;store_ref=bl_ast_dp_brandLogo_sto" tooltip="https://www.amazon.com/stores/CRZYOGA/page/F2232413-0F7D-4831-81A1-9FDFCFE5C54D?ref_=ast_bln&amp;store_ref=bl_ast_dp_brandLogo_sto"/>
    <hyperlink ref="H40" r:id="rId213" display="https://www.amazon.com/dp/B07SG39YS1?psc=1" tooltip="https://www.amazon.com/dp/B07SG39YS1?psc=1"/>
    <hyperlink ref="I40" r:id="rId214" display="https://m.media-amazon.com/images/I/41xuQMrJW7L._AC_SR600,600_.jpg" tooltip="https://m.media-amazon.com/images/I/41xuQMrJW7L._AC_SR600,600_.jpg"/>
    <hyperlink ref="J40" r:id="rId215" display="B0DD3PLYTG" tooltip="https://www.amazon.com/dp/B0DD3PLYTG"/>
    <hyperlink ref="K40" r:id="rId6" display="Clothing, Shoes &amp; Jewelry:Women:Clothing:Active:Active Shirts &amp; Tees:Tank Tops" tooltip="https://www.amazon.com/b?node=23575650011"/>
    <hyperlink ref="L40" r:id="rId7" display="Clothing, Shoes &amp; Jewelry"/>
    <hyperlink ref="AR40" r:id="rId14" display="https://www.amazon.com/gp/help/seller/at-a-glance.html/ref=dp_merchant_link?seller=A1CX3Y6OPGB2MO" tooltip="https://www.amazon.com/gp/help/seller/at-a-glance.html/ref=dp_merchant_link?seller=A1CX3Y6OPGB2MO"/>
    <hyperlink ref="B41" r:id="rId216" display="B075XC9MQK" tooltip="https://www.amazon.com/dp/B075XC9MQK"/>
    <hyperlink ref="F41" r:id="rId90" display="https://www.amazon.com/stores/icyzone/page/700DD740-73E0-4062-8AD3-7E0EF6C6DB7A?ref_=ast_bln&amp;store_ref=bl_ast_dp_brandLogo_sto" tooltip="https://www.amazon.com/stores/icyzone/page/700DD740-73E0-4062-8AD3-7E0EF6C6DB7A?ref_=ast_bln&amp;store_ref=bl_ast_dp_brandLogo_sto"/>
    <hyperlink ref="H41" r:id="rId217" display="https://www.amazon.com/dp/B075XC9MQK?psc=1" tooltip="https://www.amazon.com/dp/B075XC9MQK?psc=1"/>
    <hyperlink ref="I41" r:id="rId218" display="https://m.media-amazon.com/images/I/41QSasIdRGL._AC_SR600,600_.jpg" tooltip="https://m.media-amazon.com/images/I/41QSasIdRGL._AC_SR600,600_.jpg"/>
    <hyperlink ref="J41" r:id="rId219" display="B0753GBMVM" tooltip="https://www.amazon.com/dp/B0753GBMVM"/>
    <hyperlink ref="K41" r:id="rId6" display="Clothing, Shoes &amp; Jewelry:Women:Clothing:Active:Active Shirts &amp; Tees:Tank Tops" tooltip="https://www.amazon.com/b?node=23575650011"/>
    <hyperlink ref="L41" r:id="rId7" display="Clothing, Shoes &amp; Jewelry"/>
    <hyperlink ref="AR41" r:id="rId94" display="https://www.amazon.com/gp/help/seller/at-a-glance.html/ref=dp_merchant_link?seller=A24BCT9INPL20E" tooltip="https://www.amazon.com/gp/help/seller/at-a-glance.html/ref=dp_merchant_link?seller=A24BCT9INPL20E"/>
    <hyperlink ref="B42" r:id="rId220" display="B0CJWLL2DY" tooltip="https://www.amazon.com/dp/B0CJWLL2DY"/>
    <hyperlink ref="F42" r:id="rId221" display="https://www.amazon.com/stores/UnderArmour/page/4750579C-0CF4-4BF9-B7E8-F782E52D7683?ref_=ast_bln&amp;store_ref=bl_ast_dp_brandLogo_sto" tooltip="https://www.amazon.com/stores/UnderArmour/page/4750579C-0CF4-4BF9-B7E8-F782E52D7683?ref_=ast_bln&amp;store_ref=bl_ast_dp_brandLogo_sto"/>
    <hyperlink ref="H42" r:id="rId222" display="https://www.amazon.com/dp/B0CJWLL2DY?psc=1" tooltip="https://www.amazon.com/dp/B0CJWLL2DY?psc=1"/>
    <hyperlink ref="I42" r:id="rId223" display="https://m.media-amazon.com/images/I/31R6KJLCrpL._AC_SR600,600_.jpg" tooltip="https://m.media-amazon.com/images/I/31R6KJLCrpL._AC_SR600,600_.jpg"/>
    <hyperlink ref="J42" r:id="rId224" display="B09YW149XP" tooltip="https://www.amazon.com/dp/B09YW149XP"/>
    <hyperlink ref="K42" r:id="rId6" display="Clothing, Shoes &amp; Jewelry:Women:Clothing:Active:Active Shirts &amp; Tees:Tank Tops" tooltip="https://www.amazon.com/b?node=23575650011"/>
    <hyperlink ref="L42" r:id="rId7" display="Clothing, Shoes &amp; Jewelry"/>
    <hyperlink ref="B43" r:id="rId225" display="B0DBQPQLQD" tooltip="https://www.amazon.com/dp/B0DBQPQLQD"/>
    <hyperlink ref="F43" r:id="rId226" display="https://www.amazon.com/SVALIY/b/ref=bl_sl_s_ap_web_18229911011?ie=UTF8&amp;node=18229911011&amp;field-lbr_brands_browse-bin=SVALIY" tooltip="https://www.amazon.com/SVALIY/b/ref=bl_sl_s_ap_web_18229911011?ie=UTF8&amp;node=18229911011&amp;field-lbr_brands_browse-bin=SVALIY"/>
    <hyperlink ref="H43" r:id="rId227" display="https://www.amazon.com/dp/B0DBQPQLQD?psc=1" tooltip="https://www.amazon.com/dp/B0DBQPQLQD?psc=1"/>
    <hyperlink ref="I43" r:id="rId228" display="https://images-na.ssl-images-amazon.com/images/I/6190fTtJeYL._AC_US600_.jpg" tooltip="https://images-na.ssl-images-amazon.com/images/I/6190fTtJeYL._AC_US600_.jpg"/>
    <hyperlink ref="J43" r:id="rId229" display="B0DBQLQJ54" tooltip="https://www.amazon.com/dp/B0DBQLQJ54"/>
    <hyperlink ref="K43" r:id="rId6" display="Clothing, Shoes &amp; Jewelry:Women:Clothing:Active:Active Shirts &amp; Tees:Tank Tops" tooltip="https://www.amazon.com/b?node=23575650011"/>
    <hyperlink ref="L43" r:id="rId7" display="Clothing, Shoes &amp; Jewelry"/>
    <hyperlink ref="AR43" r:id="rId230" display="https://www.amazon.com/gp/help/seller/at-a-glance.html/ref=dp_merchant_link?seller=A30RISEUMG8SY4" tooltip="https://www.amazon.com/gp/help/seller/at-a-glance.html/ref=dp_merchant_link?seller=A30RISEUMG8SY4"/>
    <hyperlink ref="B44" r:id="rId231" display="B0D7Z78VFP" tooltip="https://www.amazon.com/dp/B0D7Z78VFP"/>
    <hyperlink ref="F44" r:id="rId10" display="https://www.amazon.com/stores/CRZYOGA/page/F2232413-0F7D-4831-81A1-9FDFCFE5C54D?ref_=ast_bln&amp;store_ref=bl_ast_dp_brandLogo_sto" tooltip="https://www.amazon.com/stores/CRZYOGA/page/F2232413-0F7D-4831-81A1-9FDFCFE5C54D?ref_=ast_bln&amp;store_ref=bl_ast_dp_brandLogo_sto"/>
    <hyperlink ref="H44" r:id="rId232" display="https://www.amazon.com/dp/B0D7Z78VFP?psc=1" tooltip="https://www.amazon.com/dp/B0D7Z78VFP?psc=1"/>
    <hyperlink ref="I44" r:id="rId233" display="https://m.media-amazon.com/images/I/31yL62a+GWL._AC_SR600,600_.jpg" tooltip="https://m.media-amazon.com/images/I/31yL62a+GWL._AC_SR600,600_.jpg"/>
    <hyperlink ref="J44" r:id="rId234" display="B0D7ZHM3RW" tooltip="https://www.amazon.com/dp/B0D7ZHM3RW"/>
    <hyperlink ref="K44" r:id="rId6" display="Clothing, Shoes &amp; Jewelry:Women:Clothing:Active:Active Shirts &amp; Tees:Tank Tops" tooltip="https://www.amazon.com/b?node=23575650011"/>
    <hyperlink ref="L44" r:id="rId7" display="Clothing, Shoes &amp; Jewelry"/>
    <hyperlink ref="AR44" r:id="rId14" display="https://www.amazon.com/gp/help/seller/at-a-glance.html/ref=dp_merchant_link?seller=A1CX3Y6OPGB2MO" tooltip="https://www.amazon.com/gp/help/seller/at-a-glance.html/ref=dp_merchant_link?seller=A1CX3Y6OPGB2MO"/>
    <hyperlink ref="B45" r:id="rId235" display="B0BVPKVTN8" tooltip="https://www.amazon.com/dp/B0BVPKVTN8"/>
    <hyperlink ref="F45" r:id="rId236" display="https://www.amazon.com/stores/RealEssentials/page/FBE83AF6-EE5D-4217-AB93-7822B24A96FB?ref_=ast_bln&amp;store_ref=bl_ast_dp_brandLogo_sto" tooltip="https://www.amazon.com/stores/RealEssentials/page/FBE83AF6-EE5D-4217-AB93-7822B24A96FB?ref_=ast_bln&amp;store_ref=bl_ast_dp_brandLogo_sto"/>
    <hyperlink ref="H45" r:id="rId237" display="https://www.amazon.com/dp/B0BVPKVTN8?psc=1" tooltip="https://www.amazon.com/dp/B0BVPKVTN8?psc=1"/>
    <hyperlink ref="I45" r:id="rId238" display="https://m.media-amazon.com/images/I/41OmEBOxOrL._AC_SR600,600_.jpg" tooltip="https://m.media-amazon.com/images/I/41OmEBOxOrL._AC_SR600,600_.jpg"/>
    <hyperlink ref="J45" r:id="rId239" display="B07KPKQ1DQ" tooltip="https://www.amazon.com/dp/B07KPKQ1DQ"/>
    <hyperlink ref="K45" r:id="rId6" display="Clothing, Shoes &amp; Jewelry:Women:Clothing:Active:Active Shirts &amp; Tees:Tank Tops" tooltip="https://www.amazon.com/b?node=23575650011"/>
    <hyperlink ref="L45" r:id="rId7" display="Clothing, Shoes &amp; Jewelry"/>
    <hyperlink ref="AR45" r:id="rId240" display="https://www.amazon.com/gp/help/seller/at-a-glance.html/ref=dp_merchant_link?seller=A2ZO1F0HRSC2G3" tooltip="https://www.amazon.com/gp/help/seller/at-a-glance.html/ref=dp_merchant_link?seller=A2ZO1F0HRSC2G3"/>
    <hyperlink ref="B46" r:id="rId241" display="B0CPP2J9QD" tooltip="https://www.amazon.com/dp/B0CPP2J9QD"/>
    <hyperlink ref="F46" r:id="rId242" display="https://www.amazon.com/stores/ANRABESS/page/937C5045-E1CD-46BB-99F1-38FA5C0E3B27?ref_=ast_bln&amp;store_ref=bl_ast_dp_brandLogo_sto" tooltip="https://www.amazon.com/stores/ANRABESS/page/937C5045-E1CD-46BB-99F1-38FA5C0E3B27?ref_=ast_bln&amp;store_ref=bl_ast_dp_brandLogo_sto"/>
    <hyperlink ref="H46" r:id="rId243" display="https://www.amazon.com/dp/B0CPP2J9QD?psc=1" tooltip="https://www.amazon.com/dp/B0CPP2J9QD?psc=1"/>
    <hyperlink ref="I46" r:id="rId244" display="https://m.media-amazon.com/images/I/416Y0TS+uJL._AC_SR600,600_.jpg" tooltip="https://m.media-amazon.com/images/I/416Y0TS+uJL._AC_SR600,600_.jpg"/>
    <hyperlink ref="J46" r:id="rId245" display="B0CP7WGWWV" tooltip="https://www.amazon.com/dp/B0CP7WGWWV"/>
    <hyperlink ref="K46" r:id="rId6" display="Clothing, Shoes &amp; Jewelry:Women:Clothing:Active:Active Shirts &amp; Tees:Tank Tops" tooltip="https://www.amazon.com/b?node=23575650011"/>
    <hyperlink ref="L46" r:id="rId7" display="Clothing, Shoes &amp; Jewelry"/>
    <hyperlink ref="AR46" r:id="rId246" display="https://www.amazon.com/gp/help/seller/at-a-glance.html/ref=dp_merchant_link?seller=ADPI9LE50EUV" tooltip="https://www.amazon.com/gp/help/seller/at-a-glance.html/ref=dp_merchant_link?seller=ADPI9LE50EUV"/>
    <hyperlink ref="B47" r:id="rId247" display="B0CNZ2K3YT" tooltip="https://www.amazon.com/dp/B0CNZ2K3YT"/>
    <hyperlink ref="F47" r:id="rId66" display="https://www.amazon.com/stores/TELALEO/page/A4083910-6B73-40F5-885D-C30549B7DB42?ref_=ast_bln&amp;store_ref=bl_ast_dp_brandLogo_sto" tooltip="https://www.amazon.com/stores/TELALEO/page/A4083910-6B73-40F5-885D-C30549B7DB42?ref_=ast_bln&amp;store_ref=bl_ast_dp_brandLogo_sto"/>
    <hyperlink ref="H47" r:id="rId248" display="https://www.amazon.com/dp/B0CNZ2K3YT?psc=1" tooltip="https://www.amazon.com/dp/B0CNZ2K3YT?psc=1"/>
    <hyperlink ref="I47" r:id="rId249" display="https://m.media-amazon.com/images/I/316z+-yRqBL._AC_SR600,600_.jpg" tooltip="https://m.media-amazon.com/images/I/316z+-yRqBL._AC_SR600,600_.jpg"/>
    <hyperlink ref="J47" r:id="rId250" display="B0CNZ6QG3M" tooltip="https://www.amazon.com/dp/B0CNZ6QG3M"/>
    <hyperlink ref="K47" r:id="rId6" display="Clothing, Shoes &amp; Jewelry:Women:Clothing:Active:Active Shirts &amp; Tees:Tank Tops" tooltip="https://www.amazon.com/b?node=23575650011"/>
    <hyperlink ref="L47" r:id="rId7" display="Clothing, Shoes &amp; Jewelry"/>
    <hyperlink ref="AR47" r:id="rId70" display="https://www.amazon.com/gp/help/seller/at-a-glance.html/ref=dp_merchant_link?seller=A3PT8IWX9PIEVU" tooltip="https://www.amazon.com/gp/help/seller/at-a-glance.html/ref=dp_merchant_link?seller=A3PT8IWX9PIEVU"/>
    <hyperlink ref="B48" r:id="rId251" display="B08XFXNLF3" tooltip="https://www.amazon.com/dp/B08XFXNLF3"/>
    <hyperlink ref="F48" r:id="rId252" display="https://www.amazon.com/stores/HATOPANTS-EVERYDAYWEAR/page/A64BF909-7E14-4039-9394-BDF035B60EDA?ref_=ast_bln" tooltip="https://www.amazon.com/stores/HATOPANTS-EVERYDAYWEAR/page/A64BF909-7E14-4039-9394-BDF035B60EDA?ref_=ast_bln"/>
    <hyperlink ref="H48" r:id="rId253" display="https://www.amazon.com/dp/B08XFXNLF3?psc=1" tooltip="https://www.amazon.com/dp/B08XFXNLF3?psc=1"/>
    <hyperlink ref="I48" r:id="rId254" display="https://m.media-amazon.com/images/I/41PvR9HlUFL._AC_SR600,600_.jpg" tooltip="https://m.media-amazon.com/images/I/41PvR9HlUFL._AC_SR600,600_.jpg"/>
    <hyperlink ref="J48" r:id="rId255" display="B09H54D15Q" tooltip="https://www.amazon.com/dp/B09H54D15Q"/>
    <hyperlink ref="K48" r:id="rId6" display="Clothing, Shoes &amp; Jewelry:Women:Clothing:Active:Active Shirts &amp; Tees:Tank Tops" tooltip="https://www.amazon.com/b?node=23575650011"/>
    <hyperlink ref="L48" r:id="rId7" display="Clothing, Shoes &amp; Jewelry"/>
    <hyperlink ref="AR48" r:id="rId256" display="https://www.amazon.com/gp/help/seller/at-a-glance.html/ref=dp_merchant_link?seller=A3OWKH4NEZD31B" tooltip="https://www.amazon.com/gp/help/seller/at-a-glance.html/ref=dp_merchant_link?seller=A3OWKH4NEZD31B"/>
    <hyperlink ref="B49" r:id="rId257" display="B07Z548CG9" tooltip="https://www.amazon.com/dp/B07Z548CG9"/>
    <hyperlink ref="F49" r:id="rId195" display="https://www.amazon.com/stores/AmazonEssentials/page/F8FB6F3C-F896-455C-BC52-7879F4CEF0CF?ref_=ast_bln&amp;store_ref=bl_ast_dp_brandLogo_sto" tooltip="https://www.amazon.com/stores/AmazonEssentials/page/F8FB6F3C-F896-455C-BC52-7879F4CEF0CF?ref_=ast_bln&amp;store_ref=bl_ast_dp_brandLogo_sto"/>
    <hyperlink ref="H49" r:id="rId258" display="https://www.amazon.com/dp/B07Z548CG9?psc=1" tooltip="https://www.amazon.com/dp/B07Z548CG9?psc=1"/>
    <hyperlink ref="I49" r:id="rId259" display="https://m.media-amazon.com/images/I/41D1Q4ReHdL._AC_SR600,600_.jpg" tooltip="https://m.media-amazon.com/images/I/41D1Q4ReHdL._AC_SR600,600_.jpg"/>
    <hyperlink ref="J49" r:id="rId260" display="B0D3Q4BG54" tooltip="https://www.amazon.com/dp/B0D3Q4BG54"/>
    <hyperlink ref="K49" r:id="rId6" display="Clothing, Shoes &amp; Jewelry:Women:Clothing:Active:Active Shirts &amp; Tees:Tank Tops" tooltip="https://www.amazon.com/b?node=23575650011"/>
    <hyperlink ref="L49" r:id="rId199" display="Our Brands"/>
    <hyperlink ref="B50" r:id="rId261" display="B0D4QQ4CZY" tooltip="https://www.amazon.com/dp/B0D4QQ4CZY"/>
    <hyperlink ref="F50" r:id="rId262" display="https://www.amazon.com/stores/YEOREO/page/D0186F57-88F5-43BB-9577-A57BEC074E3B?ref_=ast_bln&amp;store_ref=bl_ast_dp_brandLogo_sto" tooltip="https://www.amazon.com/stores/YEOREO/page/D0186F57-88F5-43BB-9577-A57BEC074E3B?ref_=ast_bln&amp;store_ref=bl_ast_dp_brandLogo_sto"/>
    <hyperlink ref="H50" r:id="rId263" display="https://www.amazon.com/dp/B0D4QQ4CZY?psc=1" tooltip="https://www.amazon.com/dp/B0D4QQ4CZY?psc=1"/>
    <hyperlink ref="I50" r:id="rId264" display="https://m.media-amazon.com/images/I/31vN5aogLYL._AC_SR600,600_.jpg" tooltip="https://m.media-amazon.com/images/I/31vN5aogLYL._AC_SR600,600_.jpg"/>
    <hyperlink ref="J50" r:id="rId265" display="B0D4QTS421" tooltip="https://www.amazon.com/dp/B0D4QTS421"/>
    <hyperlink ref="K50" r:id="rId6" display="Clothing, Shoes &amp; Jewelry:Women:Clothing:Active:Active Shirts &amp; Tees:Tank Tops" tooltip="https://www.amazon.com/b?node=23575650011"/>
    <hyperlink ref="L50" r:id="rId7" display="Clothing, Shoes &amp; Jewelry"/>
    <hyperlink ref="AR50" r:id="rId266" display="https://www.amazon.com/gp/help/seller/at-a-glance.html/ref=dp_merchant_link?seller=AAQSFT3KOH2D5" tooltip="https://www.amazon.com/gp/help/seller/at-a-glance.html/ref=dp_merchant_link?seller=AAQSFT3KOH2D5"/>
    <hyperlink ref="B51" r:id="rId267" display="B08H1Z695F" tooltip="https://www.amazon.com/dp/B08H1Z695F"/>
    <hyperlink ref="F51" r:id="rId268" display="https://www.amazon.com/stores/CosyPyro/page/26123B7D-2A77-4663-BF4F-F66FAE63A93C?ref_=ast_bln&amp;store_ref=bl_ast_dp_brandLogo_sto" tooltip="https://www.amazon.com/stores/CosyPyro/page/26123B7D-2A77-4663-BF4F-F66FAE63A93C?ref_=ast_bln&amp;store_ref=bl_ast_dp_brandLogo_sto"/>
    <hyperlink ref="H51" r:id="rId269" display="https://www.amazon.com/dp/B08H1Z695F?psc=1" tooltip="https://www.amazon.com/dp/B08H1Z695F?psc=1"/>
    <hyperlink ref="I51" r:id="rId270" display="https://m.media-amazon.com/images/I/413+V5fKJTL._AC_SR600,600_.jpg" tooltip="https://m.media-amazon.com/images/I/413+V5fKJTL._AC_SR600,600_.jpg"/>
    <hyperlink ref="J51" r:id="rId271" display="B088ZHBXNK" tooltip="https://www.amazon.com/dp/B088ZHBXNK"/>
    <hyperlink ref="K51" r:id="rId6" display="Clothing, Shoes &amp; Jewelry:Women:Clothing:Active:Active Shirts &amp; Tees:Tank Tops" tooltip="https://www.amazon.com/b?node=23575650011"/>
    <hyperlink ref="L51" r:id="rId7" display="Clothing, Shoes &amp; Jewelry"/>
    <hyperlink ref="AR51" r:id="rId272" display="https://www.amazon.com/gp/help/seller/at-a-glance.html/ref=dp_merchant_link?seller=A6ZS2FQICRIT" tooltip="https://www.amazon.com/gp/help/seller/at-a-glance.html/ref=dp_merchant_link?seller=A6ZS2FQICRIT"/>
    <hyperlink ref="B52" r:id="rId273" display="B07C2TFFV2" tooltip="https://www.amazon.com/dp/B07C2TFFV2"/>
    <hyperlink ref="F52" r:id="rId42" display="https://www.amazon.com/stores/ICTIVE/page/631E69AD-BAAF-489B-B8B8-E0BDFA538784?ref_=ast_bln&amp;store_ref=bl_ast_dp_brandLogo_sto" tooltip="https://www.amazon.com/stores/ICTIVE/page/631E69AD-BAAF-489B-B8B8-E0BDFA538784?ref_=ast_bln&amp;store_ref=bl_ast_dp_brandLogo_sto"/>
    <hyperlink ref="H52" r:id="rId274" display="https://www.amazon.com/dp/B07C2TFFV2?psc=1" tooltip="https://www.amazon.com/dp/B07C2TFFV2?psc=1"/>
    <hyperlink ref="I52" r:id="rId275" display="https://m.media-amazon.com/images/I/41QBjoqzAML._AC_SR600,600_.jpg" tooltip="https://m.media-amazon.com/images/I/41QBjoqzAML._AC_SR600,600_.jpg"/>
    <hyperlink ref="J52" r:id="rId276" display="B07C2QPRRB" tooltip="https://www.amazon.com/dp/B07C2QPRRB"/>
    <hyperlink ref="K52" r:id="rId6" display="Clothing, Shoes &amp; Jewelry:Women:Clothing:Active:Active Shirts &amp; Tees:Tank Tops" tooltip="https://www.amazon.com/b?node=23575650011"/>
    <hyperlink ref="L52" r:id="rId7" display="Clothing, Shoes &amp; Jewelry"/>
    <hyperlink ref="AR52" r:id="rId46" display="https://www.amazon.com/gp/help/seller/at-a-glance.html/ref=dp_merchant_link?seller=A1G74W3VJGHK92" tooltip="https://www.amazon.com/gp/help/seller/at-a-glance.html/ref=dp_merchant_link?seller=A1G74W3VJGHK92"/>
    <hyperlink ref="B53" r:id="rId277" display="B0DGL61HW7" tooltip="https://www.amazon.com/dp/B0DGL61HW7"/>
    <hyperlink ref="F53" r:id="rId10" display="https://www.amazon.com/stores/CRZYOGA/page/F2232413-0F7D-4831-81A1-9FDFCFE5C54D?ref_=ast_bln&amp;store_ref=bl_ast_dp_brandLogo_sto" tooltip="https://www.amazon.com/stores/CRZYOGA/page/F2232413-0F7D-4831-81A1-9FDFCFE5C54D?ref_=ast_bln&amp;store_ref=bl_ast_dp_brandLogo_sto"/>
    <hyperlink ref="H53" r:id="rId278" display="https://www.amazon.com/dp/B0DGL61HW7?psc=1" tooltip="https://www.amazon.com/dp/B0DGL61HW7?psc=1"/>
    <hyperlink ref="I53" r:id="rId279" display="https://m.media-amazon.com/images/I/31eZeUcOMwL._AC_SR600,600_.jpg" tooltip="https://m.media-amazon.com/images/I/31eZeUcOMwL._AC_SR600,600_.jpg"/>
    <hyperlink ref="J53" r:id="rId280" display="B0CV3LPYTW" tooltip="https://www.amazon.com/dp/B0CV3LPYTW"/>
    <hyperlink ref="K53" r:id="rId6" display="Clothing, Shoes &amp; Jewelry:Women:Clothing:Active:Active Shirts &amp; Tees:Tank Tops" tooltip="https://www.amazon.com/b?node=23575650011"/>
    <hyperlink ref="L53" r:id="rId7" display="Clothing, Shoes &amp; Jewelry"/>
    <hyperlink ref="AR53" r:id="rId14" display="https://www.amazon.com/gp/help/seller/at-a-glance.html/ref=dp_merchant_link?seller=A1CX3Y6OPGB2MO" tooltip="https://www.amazon.com/gp/help/seller/at-a-glance.html/ref=dp_merchant_link?seller=A1CX3Y6OPGB2MO"/>
    <hyperlink ref="B54" r:id="rId281" display="B07QQY7FVQ" tooltip="https://www.amazon.com/dp/B07QQY7FVQ"/>
    <hyperlink ref="F54" r:id="rId90" display="https://www.amazon.com/stores/icyzone/page/700DD740-73E0-4062-8AD3-7E0EF6C6DB7A?ref_=ast_bln&amp;store_ref=bl_ast_dp_brandLogo_sto" tooltip="https://www.amazon.com/stores/icyzone/page/700DD740-73E0-4062-8AD3-7E0EF6C6DB7A?ref_=ast_bln&amp;store_ref=bl_ast_dp_brandLogo_sto"/>
    <hyperlink ref="H54" r:id="rId282" display="https://www.amazon.com/dp/B07QQY7FVQ?psc=1" tooltip="https://www.amazon.com/dp/B07QQY7FVQ?psc=1"/>
    <hyperlink ref="I54" r:id="rId283" display="https://m.media-amazon.com/images/I/41zp2bQPwVL._AC_SR600,600_.jpg" tooltip="https://m.media-amazon.com/images/I/41zp2bQPwVL._AC_SR600,600_.jpg"/>
    <hyperlink ref="J54" r:id="rId284" display="B01LXJ90ZE" tooltip="https://www.amazon.com/dp/B01LXJ90ZE"/>
    <hyperlink ref="K54" r:id="rId6" display="Clothing, Shoes &amp; Jewelry:Women:Clothing:Active:Active Shirts &amp; Tees:Tank Tops" tooltip="https://www.amazon.com/b?node=23575650011"/>
    <hyperlink ref="L54" r:id="rId7" display="Clothing, Shoes &amp; Jewelry"/>
    <hyperlink ref="AR54" r:id="rId94" display="https://www.amazon.com/gp/help/seller/at-a-glance.html/ref=dp_merchant_link?seller=A24BCT9INPL20E" tooltip="https://www.amazon.com/gp/help/seller/at-a-glance.html/ref=dp_merchant_link?seller=A24BCT9INPL20E"/>
    <hyperlink ref="B55" r:id="rId285" display="B074Z7C9FV" tooltip="https://www.amazon.com/dp/B074Z7C9FV"/>
    <hyperlink ref="F55" r:id="rId286" display="https://www.amazon.com/stores/Bestisun/page/B9E60706-212A-4D26-9B9D-2808CE81D2FC?ref_=ast_bln&amp;store_ref=bl_ast_dp_brandLogo_sto" tooltip="https://www.amazon.com/stores/Bestisun/page/B9E60706-212A-4D26-9B9D-2808CE81D2FC?ref_=ast_bln&amp;store_ref=bl_ast_dp_brandLogo_sto"/>
    <hyperlink ref="H55" r:id="rId287" display="https://www.amazon.com/dp/B074Z7C9FV?psc=1" tooltip="https://www.amazon.com/dp/B074Z7C9FV?psc=1"/>
    <hyperlink ref="I55" r:id="rId288" display="https://m.media-amazon.com/images/I/41zbZAdnfYL._AC_SR600,600_.jpg" tooltip="https://m.media-amazon.com/images/I/41zbZAdnfYL._AC_SR600,600_.jpg"/>
    <hyperlink ref="J55" r:id="rId289" display="B074ZBVSTY" tooltip="https://www.amazon.com/dp/B074ZBVSTY"/>
    <hyperlink ref="K55" r:id="rId6" display="Clothing, Shoes &amp; Jewelry:Women:Clothing:Active:Active Shirts &amp; Tees:Tank Tops" tooltip="https://www.amazon.com/b?node=23575650011"/>
    <hyperlink ref="L55" r:id="rId7" display="Clothing, Shoes &amp; Jewelry"/>
    <hyperlink ref="AR55" r:id="rId290" display="https://www.amazon.com/gp/help/seller/at-a-glance.html/ref=dp_merchant_link?seller=ARIK0ZVGOK8ND" tooltip="https://www.amazon.com/gp/help/seller/at-a-glance.html/ref=dp_merchant_link?seller=ARIK0ZVGOK8ND"/>
    <hyperlink ref="B56" r:id="rId291" display="B0C1HQFPMG" tooltip="https://www.amazon.com/dp/B0C1HQFPMG"/>
    <hyperlink ref="F56" r:id="rId236" display="https://www.amazon.com/stores/RealEssentials/page/FBE83AF6-EE5D-4217-AB93-7822B24A96FB?ref_=ast_bln&amp;store_ref=bl_ast_dp_brandLogo_sto" tooltip="https://www.amazon.com/stores/RealEssentials/page/FBE83AF6-EE5D-4217-AB93-7822B24A96FB?ref_=ast_bln&amp;store_ref=bl_ast_dp_brandLogo_sto"/>
    <hyperlink ref="H56" r:id="rId292" display="https://www.amazon.com/dp/B0C1HQFPMG?psc=1" tooltip="https://www.amazon.com/dp/B0C1HQFPMG?psc=1"/>
    <hyperlink ref="I56" r:id="rId293" display="https://images-na.ssl-images-amazon.com/images/I/81nBNKFWYfL._AC_US600_.jpg" tooltip="https://images-na.ssl-images-amazon.com/images/I/81nBNKFWYfL._AC_US600_.jpg"/>
    <hyperlink ref="J56" r:id="rId294" display="B0C4RYHGJW" tooltip="https://www.amazon.com/dp/B0C4RYHGJW"/>
    <hyperlink ref="K56" r:id="rId6" display="Clothing, Shoes &amp; Jewelry:Women:Clothing:Active:Active Shirts &amp; Tees:Tank Tops" tooltip="https://www.amazon.com/b?node=23575650011"/>
    <hyperlink ref="L56" r:id="rId7" display="Clothing, Shoes &amp; Jewelry"/>
    <hyperlink ref="AR56" r:id="rId240" display="https://www.amazon.com/gp/help/seller/at-a-glance.html/ref=dp_merchant_link?seller=A2ZO1F0HRSC2G3" tooltip="https://www.amazon.com/gp/help/seller/at-a-glance.html/ref=dp_merchant_link?seller=A2ZO1F0HRSC2G3"/>
    <hyperlink ref="B57" r:id="rId295" display="B083QVQJPM" tooltip="https://www.amazon.com/dp/B083QVQJPM"/>
    <hyperlink ref="F57" r:id="rId296" display="https://www.amazon.com/stores/StarVibe/page/E1A8001C-F49C-49D2-BFDC-90FE31F4C5D2?ref_=ast_bln&amp;store_ref=bl_ast_dp_brandLogo_sto" tooltip="https://www.amazon.com/stores/StarVibe/page/E1A8001C-F49C-49D2-BFDC-90FE31F4C5D2?ref_=ast_bln&amp;store_ref=bl_ast_dp_brandLogo_sto"/>
    <hyperlink ref="H57" r:id="rId297" display="https://www.amazon.com/dp/B083QVQJPM?psc=1" tooltip="https://www.amazon.com/dp/B083QVQJPM?psc=1"/>
    <hyperlink ref="I57" r:id="rId298" display="https://m.media-amazon.com/images/I/41wsbziQXEL._AC_SR600,600_.jpg" tooltip="https://m.media-amazon.com/images/I/41wsbziQXEL._AC_SR600,600_.jpg"/>
    <hyperlink ref="J57" r:id="rId299" display="B0D4876ZRT" tooltip="https://www.amazon.com/dp/B0D4876ZRT"/>
    <hyperlink ref="K57" r:id="rId6" display="Clothing, Shoes &amp; Jewelry:Women:Clothing:Active:Active Shirts &amp; Tees:Tank Tops" tooltip="https://www.amazon.com/b?node=23575650011"/>
    <hyperlink ref="L57" r:id="rId7" display="Clothing, Shoes &amp; Jewelry"/>
    <hyperlink ref="AR57" r:id="rId300" display="https://www.amazon.com/gp/help/seller/at-a-glance.html/ref=dp_merchant_link?seller=AX00NMSL0P3ZM" tooltip="https://www.amazon.com/gp/help/seller/at-a-glance.html/ref=dp_merchant_link?seller=AX00NMSL0P3ZM"/>
    <hyperlink ref="B58" r:id="rId301" display="B07FGDYRSP" tooltip="https://www.amazon.com/dp/B07FGDYRSP"/>
    <hyperlink ref="F58" r:id="rId90" display="https://www.amazon.com/stores/icyzone/page/700DD740-73E0-4062-8AD3-7E0EF6C6DB7A?ref_=ast_bln&amp;store_ref=bl_ast_dp_brandLogo_sto" tooltip="https://www.amazon.com/stores/icyzone/page/700DD740-73E0-4062-8AD3-7E0EF6C6DB7A?ref_=ast_bln&amp;store_ref=bl_ast_dp_brandLogo_sto"/>
    <hyperlink ref="H58" r:id="rId302" display="https://www.amazon.com/dp/B07FGDYRSP?psc=1" tooltip="https://www.amazon.com/dp/B07FGDYRSP?psc=1"/>
    <hyperlink ref="I58" r:id="rId303" display="https://m.media-amazon.com/images/I/41kNz4t0BqL._AC_SR600,600_.jpg" tooltip="https://m.media-amazon.com/images/I/41kNz4t0BqL._AC_SR600,600_.jpg"/>
    <hyperlink ref="J58" r:id="rId304" display="B07DW4CQ2F" tooltip="https://www.amazon.com/dp/B07DW4CQ2F"/>
    <hyperlink ref="K58" r:id="rId6" display="Clothing, Shoes &amp; Jewelry:Women:Clothing:Active:Active Shirts &amp; Tees:Tank Tops" tooltip="https://www.amazon.com/b?node=23575650011"/>
    <hyperlink ref="L58" r:id="rId7" display="Clothing, Shoes &amp; Jewelry"/>
    <hyperlink ref="AR58" r:id="rId94" display="https://www.amazon.com/gp/help/seller/at-a-glance.html/ref=dp_merchant_link?seller=A24BCT9INPL20E" tooltip="https://www.amazon.com/gp/help/seller/at-a-glance.html/ref=dp_merchant_link?seller=A24BCT9INPL20E"/>
    <hyperlink ref="B59" r:id="rId305" display="B0C4NBQW9Y" tooltip="https://www.amazon.com/dp/B0C4NBQW9Y"/>
    <hyperlink ref="F59" r:id="rId30" display="https://www.amazon.com/stores/Mathcat/page/1F132CBA-9164-4DF4-8867-E24A0E0291C8?ref_=ast_bln&amp;store_ref=bl_ast_dp_brandLogo_sto" tooltip="https://www.amazon.com/stores/Mathcat/page/1F132CBA-9164-4DF4-8867-E24A0E0291C8?ref_=ast_bln&amp;store_ref=bl_ast_dp_brandLogo_sto"/>
    <hyperlink ref="H59" r:id="rId306" display="https://www.amazon.com/dp/B0C4NBQW9Y?psc=1" tooltip="https://www.amazon.com/dp/B0C4NBQW9Y?psc=1"/>
    <hyperlink ref="I59" r:id="rId307" display="https://m.media-amazon.com/images/I/41GqmQm2hhL._AC_SR600,600_.jpg" tooltip="https://m.media-amazon.com/images/I/41GqmQm2hhL._AC_SR600,600_.jpg"/>
    <hyperlink ref="J59" r:id="rId308" display="B09TW88NL1" tooltip="https://www.amazon.com/dp/B09TW88NL1"/>
    <hyperlink ref="K59" r:id="rId6" display="Clothing, Shoes &amp; Jewelry:Women:Clothing:Active:Active Shirts &amp; Tees:Tank Tops" tooltip="https://www.amazon.com/b?node=23575650011"/>
    <hyperlink ref="L59" r:id="rId7" display="Clothing, Shoes &amp; Jewelry"/>
    <hyperlink ref="AR59" r:id="rId34" display="https://www.amazon.com/gp/help/seller/at-a-glance.html/ref=dp_merchant_link?seller=A3RSU166TSH1QC" tooltip="https://www.amazon.com/gp/help/seller/at-a-glance.html/ref=dp_merchant_link?seller=A3RSU166TSH1QC"/>
    <hyperlink ref="B60" r:id="rId309" display="B0C12T5LM4" tooltip="https://www.amazon.com/dp/B0C12T5LM4"/>
    <hyperlink ref="F60" r:id="rId221" display="https://www.amazon.com/stores/UnderArmour/page/4750579C-0CF4-4BF9-B7E8-F782E52D7683?ref_=ast_bln&amp;store_ref=bl_ast_dp_brandLogo_sto" tooltip="https://www.amazon.com/stores/UnderArmour/page/4750579C-0CF4-4BF9-B7E8-F782E52D7683?ref_=ast_bln&amp;store_ref=bl_ast_dp_brandLogo_sto"/>
    <hyperlink ref="H60" r:id="rId310" display="https://www.amazon.com/dp/B0C12T5LM4?psc=1" tooltip="https://www.amazon.com/dp/B0C12T5LM4?psc=1"/>
    <hyperlink ref="I60" r:id="rId311" display="https://m.media-amazon.com/images/I/316j9bv-2GL._AC_SR600,600_.jpg" tooltip="https://m.media-amazon.com/images/I/316j9bv-2GL._AC_SR600,600_.jpg"/>
    <hyperlink ref="J60" r:id="rId312" display="B0D9199BYS" tooltip="https://www.amazon.com/dp/B0D9199BYS"/>
    <hyperlink ref="K60" r:id="rId6" display="Clothing, Shoes &amp; Jewelry:Women:Clothing:Active:Active Shirts &amp; Tees:Tank Tops" tooltip="https://www.amazon.com/b?node=23575650011"/>
    <hyperlink ref="L60" r:id="rId7" display="Clothing, Shoes &amp; Jewelry"/>
    <hyperlink ref="B61" r:id="rId313" display="B09Y189Y97" tooltip="https://www.amazon.com/dp/B09Y189Y97"/>
    <hyperlink ref="F61" r:id="rId60" display="https://www.amazon.com/stores/ATTRACO/page/5100F4CC-BD4B-4C9B-B3B6-ADF858C56105?ref_=ast_bln&amp;store_ref=bl_ast_dp_brandLogo_sto" tooltip="https://www.amazon.com/stores/ATTRACO/page/5100F4CC-BD4B-4C9B-B3B6-ADF858C56105?ref_=ast_bln&amp;store_ref=bl_ast_dp_brandLogo_sto"/>
    <hyperlink ref="H61" r:id="rId314" display="https://www.amazon.com/dp/B09Y189Y97?psc=1" tooltip="https://www.amazon.com/dp/B09Y189Y97?psc=1"/>
    <hyperlink ref="I61" r:id="rId315" display="https://m.media-amazon.com/images/I/31ig4cqaakL._AC_SR600,600_.jpg" tooltip="https://m.media-amazon.com/images/I/31ig4cqaakL._AC_SR600,600_.jpg"/>
    <hyperlink ref="J61" r:id="rId316" display="B09YQDF2YN" tooltip="https://www.amazon.com/dp/B09YQDF2YN"/>
    <hyperlink ref="K61" r:id="rId6" display="Clothing, Shoes &amp; Jewelry:Women:Clothing:Active:Active Shirts &amp; Tees:Tank Tops" tooltip="https://www.amazon.com/b?node=23575650011"/>
    <hyperlink ref="L61" r:id="rId7" display="Clothing, Shoes &amp; Jewelry"/>
    <hyperlink ref="AR61" r:id="rId64" display="https://www.amazon.com/gp/help/seller/at-a-glance.html/ref=dp_merchant_link?seller=APE2BZYQAOKSP" tooltip="https://www.amazon.com/gp/help/seller/at-a-glance.html/ref=dp_merchant_link?seller=APE2BZYQAOKSP"/>
    <hyperlink ref="B62" r:id="rId317" display="B0BP1FH62Q" tooltip="https://www.amazon.com/dp/B0BP1FH62Q"/>
    <hyperlink ref="F62" r:id="rId178" display="https://www.amazon.com/stores/Joyspels/page/54FCF92F-4764-4024-A8B8-1EDC1CCC931E?ref_=ast_bln&amp;store_ref=bl_ast_dp_brandLogo_sto" tooltip="https://www.amazon.com/stores/Joyspels/page/54FCF92F-4764-4024-A8B8-1EDC1CCC931E?ref_=ast_bln&amp;store_ref=bl_ast_dp_brandLogo_sto"/>
    <hyperlink ref="H62" r:id="rId318" display="https://www.amazon.com/dp/B0BP1FH62Q?psc=1" tooltip="https://www.amazon.com/dp/B0BP1FH62Q?psc=1"/>
    <hyperlink ref="I62" r:id="rId319" display="https://m.media-amazon.com/images/I/416N6s3I+VL._AC_SR600,600_.jpg" tooltip="https://m.media-amazon.com/images/I/416N6s3I+VL._AC_SR600,600_.jpg"/>
    <hyperlink ref="J62" r:id="rId320" display="B0BP1GVMQZ" tooltip="https://www.amazon.com/dp/B0BP1GVMQZ"/>
    <hyperlink ref="K62" r:id="rId6" display="Clothing, Shoes &amp; Jewelry:Women:Clothing:Active:Active Shirts &amp; Tees:Tank Tops" tooltip="https://www.amazon.com/b?node=23575650011"/>
    <hyperlink ref="L62" r:id="rId7" display="Clothing, Shoes &amp; Jewelry"/>
    <hyperlink ref="AR62" r:id="rId182" display="https://www.amazon.com/gp/help/seller/at-a-glance.html/ref=dp_merchant_link?seller=A18IA2MBVZ2X62" tooltip="https://www.amazon.com/gp/help/seller/at-a-glance.html/ref=dp_merchant_link?seller=A18IA2MBVZ2X62"/>
    <hyperlink ref="B63" r:id="rId321" display="B0DBZD9PHZ" tooltip="https://www.amazon.com/dp/B0DBZD9PHZ"/>
    <hyperlink ref="F63" r:id="rId322" display="https://www.amazon.com/stores/Hragc/page/466AF72A-24AF-4924-BB6C-0BC8D6DF346C?ref_=ast_bln" tooltip="https://www.amazon.com/stores/Hragc/page/466AF72A-24AF-4924-BB6C-0BC8D6DF346C?ref_=ast_bln"/>
    <hyperlink ref="H63" r:id="rId323" display="https://www.amazon.com/dp/B0DBZD9PHZ?psc=1" tooltip="https://www.amazon.com/dp/B0DBZD9PHZ?psc=1"/>
    <hyperlink ref="I63" r:id="rId324" display="https://images-na.ssl-images-amazon.com/images/I/61rEl3umwDL._AC_US600_.jpg" tooltip="https://images-na.ssl-images-amazon.com/images/I/61rEl3umwDL._AC_US600_.jpg"/>
    <hyperlink ref="J63" r:id="rId325" display="B0DBZ99SVK" tooltip="https://www.amazon.com/dp/B0DBZ99SVK"/>
    <hyperlink ref="K63" r:id="rId6" display="Clothing, Shoes &amp; Jewelry:Women:Clothing:Active:Active Shirts &amp; Tees:Tank Tops" tooltip="https://www.amazon.com/b?node=23575650011"/>
    <hyperlink ref="L63" r:id="rId7" display="Clothing, Shoes &amp; Jewelry"/>
    <hyperlink ref="AR63" r:id="rId326" display="https://www.amazon.com/gp/help/seller/at-a-glance.html/ref=dp_merchant_link?seller=AFMBZRUDFS19D" tooltip="https://www.amazon.com/gp/help/seller/at-a-glance.html/ref=dp_merchant_link?seller=AFMBZRUDFS19D"/>
    <hyperlink ref="B64" r:id="rId327" display="B0BYZP52VH" tooltip="https://www.amazon.com/dp/B0BYZP52VH"/>
    <hyperlink ref="F64" r:id="rId30" display="https://www.amazon.com/stores/Mathcat/page/1F132CBA-9164-4DF4-8867-E24A0E0291C8?ref_=ast_bln&amp;store_ref=bl_ast_dp_brandLogo_sto" tooltip="https://www.amazon.com/stores/Mathcat/page/1F132CBA-9164-4DF4-8867-E24A0E0291C8?ref_=ast_bln&amp;store_ref=bl_ast_dp_brandLogo_sto"/>
    <hyperlink ref="H64" r:id="rId328" display="https://www.amazon.com/dp/B0BYZP52VH?psc=1" tooltip="https://www.amazon.com/dp/B0BYZP52VH?psc=1"/>
    <hyperlink ref="I64" r:id="rId329" display="https://m.media-amazon.com/images/I/31Fh+DaKKEL._AC_SR600,600_.jpg" tooltip="https://m.media-amazon.com/images/I/31Fh+DaKKEL._AC_SR600,600_.jpg"/>
    <hyperlink ref="J64" r:id="rId330" display="B0BYZNL97W" tooltip="https://www.amazon.com/dp/B0BYZNL97W"/>
    <hyperlink ref="K64" r:id="rId6" display="Clothing, Shoes &amp; Jewelry:Women:Clothing:Active:Active Shirts &amp; Tees:Tank Tops" tooltip="https://www.amazon.com/b?node=23575650011"/>
    <hyperlink ref="L64" r:id="rId7" display="Clothing, Shoes &amp; Jewelry"/>
    <hyperlink ref="AR64" r:id="rId34" display="https://www.amazon.com/gp/help/seller/at-a-glance.html/ref=dp_merchant_link?seller=A3RSU166TSH1QC" tooltip="https://www.amazon.com/gp/help/seller/at-a-glance.html/ref=dp_merchant_link?seller=A3RSU166TSH1QC"/>
    <hyperlink ref="B65" r:id="rId331" display="B0B9T24MSK" tooltip="https://www.amazon.com/dp/B0B9T24MSK"/>
    <hyperlink ref="F65" r:id="rId184" display="https://www.amazon.com/sphinx-cat/b/ref=bl_sl_s_ap_web_19183874011?ie=UTF8&amp;node=19183874011&amp;field-lbr_brands_browse-bin=sphinx+cat" tooltip="https://www.amazon.com/sphinx-cat/b/ref=bl_sl_s_ap_web_19183874011?ie=UTF8&amp;node=19183874011&amp;field-lbr_brands_browse-bin=sphinx+cat"/>
    <hyperlink ref="H65" r:id="rId332" display="https://www.amazon.com/dp/B0B9T24MSK?psc=1" tooltip="https://www.amazon.com/dp/B0B9T24MSK?psc=1"/>
    <hyperlink ref="I65" r:id="rId333" display="https://m.media-amazon.com/images/I/31vTldklhXL._AC_SR600,600_.jpg" tooltip="https://m.media-amazon.com/images/I/31vTldklhXL._AC_SR600,600_.jpg"/>
    <hyperlink ref="J65" r:id="rId334" display="B09PT8ZRS3" tooltip="https://www.amazon.com/dp/B09PT8ZRS3"/>
    <hyperlink ref="K65" r:id="rId6" display="Clothing, Shoes &amp; Jewelry:Women:Clothing:Active:Active Shirts &amp; Tees:Tank Tops" tooltip="https://www.amazon.com/b?node=23575650011"/>
    <hyperlink ref="L65" r:id="rId7" display="Clothing, Shoes &amp; Jewelry"/>
    <hyperlink ref="AR65" r:id="rId189" display="https://www.amazon.com/gp/help/seller/at-a-glance.html/ref=dp_merchant_link?seller=A1G8L2XUV3HSNH" tooltip="https://www.amazon.com/gp/help/seller/at-a-glance.html/ref=dp_merchant_link?seller=A1G8L2XUV3HSNH"/>
    <hyperlink ref="B66" r:id="rId335" display="B0D6YRL44H" tooltip="https://www.amazon.com/dp/B0D6YRL44H"/>
    <hyperlink ref="F66" r:id="rId336" display="https://www.amazon.com/stores/JarofLove/page/4640E5A7-34B3-4E5C-81B1-133AB5A40ABD?ref_=ast_bln&amp;store_ref=bl_ast_dp_brandLogo_sto" tooltip="https://www.amazon.com/stores/JarofLove/page/4640E5A7-34B3-4E5C-81B1-133AB5A40ABD?ref_=ast_bln&amp;store_ref=bl_ast_dp_brandLogo_sto"/>
    <hyperlink ref="H66" r:id="rId337" display="https://www.amazon.com/dp/B0D6YRL44H?psc=1" tooltip="https://www.amazon.com/dp/B0D6YRL44H?psc=1"/>
    <hyperlink ref="I66" r:id="rId338" display="https://m.media-amazon.com/images/I/41IST2BREXL._AC_SR600,600_.jpg" tooltip="https://m.media-amazon.com/images/I/41IST2BREXL._AC_SR600,600_.jpg"/>
    <hyperlink ref="J66" r:id="rId339" display="B0DBL8NBDL" tooltip="https://www.amazon.com/dp/B0DBL8NBDL"/>
    <hyperlink ref="K66" r:id="rId6" display="Clothing, Shoes &amp; Jewelry:Women:Clothing:Active:Active Shirts &amp; Tees:Tank Tops" tooltip="https://www.amazon.com/b?node=23575650011"/>
    <hyperlink ref="L66" r:id="rId7" display="Clothing, Shoes &amp; Jewelry"/>
    <hyperlink ref="AR66" r:id="rId340" display="https://www.amazon.com/gp/help/seller/at-a-glance.html/ref=dp_merchant_link?seller=AAQ3G1ZNTCFFU" tooltip="https://www.amazon.com/gp/help/seller/at-a-glance.html/ref=dp_merchant_link?seller=AAQ3G1ZNTCFFU"/>
    <hyperlink ref="B67" r:id="rId341" display="B0CTDDN74H" tooltip="https://www.amazon.com/dp/B0CTDDN74H"/>
    <hyperlink ref="F67" r:id="rId342" display="https://www.amazon.com/stores/Hiwzffy/page/0E999CED-1253-446A-99A2-E1F89E8109CB?ref_=ast_bln" tooltip="https://www.amazon.com/stores/Hiwzffy/page/0E999CED-1253-446A-99A2-E1F89E8109CB?ref_=ast_bln"/>
    <hyperlink ref="H67" r:id="rId343" display="https://www.amazon.com/dp/B0CTDDN74H?psc=1" tooltip="https://www.amazon.com/dp/B0CTDDN74H?psc=1"/>
    <hyperlink ref="I67" r:id="rId344" display="https://m.media-amazon.com/images/I/31+sN0SWe7L._AC_SR600,600_.jpg" tooltip="https://m.media-amazon.com/images/I/31+sN0SWe7L._AC_SR600,600_.jpg"/>
    <hyperlink ref="J67" r:id="rId345" display="B0CTCZTYGV" tooltip="https://www.amazon.com/dp/B0CTCZTYGV"/>
    <hyperlink ref="K67" r:id="rId6" display="Clothing, Shoes &amp; Jewelry:Women:Clothing:Active:Active Shirts &amp; Tees:Tank Tops" tooltip="https://www.amazon.com/b?node=23575650011"/>
    <hyperlink ref="L67" r:id="rId7" display="Clothing, Shoes &amp; Jewelry"/>
    <hyperlink ref="AR67" r:id="rId346" display="https://www.amazon.com/gp/help/seller/at-a-glance.html/ref=dp_merchant_link?seller=A1CUN78WUCCP7Z" tooltip="https://www.amazon.com/gp/help/seller/at-a-glance.html/ref=dp_merchant_link?seller=A1CUN78WUCCP7Z"/>
    <hyperlink ref="B68" r:id="rId347" display="B07R2JFNGV" tooltip="https://www.amazon.com/dp/B07R2JFNGV"/>
    <hyperlink ref="F68" r:id="rId286" display="https://www.amazon.com/stores/Bestisun/page/B9E60706-212A-4D26-9B9D-2808CE81D2FC?ref_=ast_bln&amp;store_ref=bl_ast_dp_brandLogo_sto" tooltip="https://www.amazon.com/stores/Bestisun/page/B9E60706-212A-4D26-9B9D-2808CE81D2FC?ref_=ast_bln&amp;store_ref=bl_ast_dp_brandLogo_sto"/>
    <hyperlink ref="H68" r:id="rId348" display="https://www.amazon.com/dp/B07R2JFNGV?psc=1" tooltip="https://www.amazon.com/dp/B07R2JFNGV?psc=1"/>
    <hyperlink ref="I68" r:id="rId349" display="https://m.media-amazon.com/images/I/31piq2TBefL._AC_SR600,600_.jpg" tooltip="https://m.media-amazon.com/images/I/31piq2TBefL._AC_SR600,600_.jpg"/>
    <hyperlink ref="J68" r:id="rId350" display="B07QZD83GP" tooltip="https://www.amazon.com/dp/B07QZD83GP"/>
    <hyperlink ref="K68" r:id="rId6" display="Clothing, Shoes &amp; Jewelry:Women:Clothing:Active:Active Shirts &amp; Tees:Tank Tops" tooltip="https://www.amazon.com/b?node=23575650011"/>
    <hyperlink ref="L68" r:id="rId7" display="Clothing, Shoes &amp; Jewelry"/>
    <hyperlink ref="AR68" r:id="rId290" display="https://www.amazon.com/gp/help/seller/at-a-glance.html/ref=dp_merchant_link?seller=ARIK0ZVGOK8ND" tooltip="https://www.amazon.com/gp/help/seller/at-a-glance.html/ref=dp_merchant_link?seller=ARIK0ZVGOK8ND"/>
    <hyperlink ref="B69" r:id="rId351" display="B0BW8HC4VS" tooltip="https://www.amazon.com/dp/B0BW8HC4VS"/>
    <hyperlink ref="F69" r:id="rId352" display="https://www.amazon.com/stores/LASLULU/page/5CF9E229-4A56-44CC-A695-13A36C59741A?ref_=ast_bln&amp;store_ref=bl_ast_dp_brandLogo_sto" tooltip="https://www.amazon.com/stores/LASLULU/page/5CF9E229-4A56-44CC-A695-13A36C59741A?ref_=ast_bln&amp;store_ref=bl_ast_dp_brandLogo_sto"/>
    <hyperlink ref="H69" r:id="rId353" display="https://www.amazon.com/dp/B0BW8HC4VS?psc=1" tooltip="https://www.amazon.com/dp/B0BW8HC4VS?psc=1"/>
    <hyperlink ref="I69" r:id="rId354" display="https://images-na.ssl-images-amazon.com/images/I/61o+I-kIC+L._AC_US600_.jpg" tooltip="https://images-na.ssl-images-amazon.com/images/I/61o+I-kIC+L._AC_US600_.jpg"/>
    <hyperlink ref="J69" r:id="rId355" display="B0BW8F34FN" tooltip="https://www.amazon.com/dp/B0BW8F34FN"/>
    <hyperlink ref="K69" r:id="rId6" display="Clothing, Shoes &amp; Jewelry:Women:Clothing:Active:Active Shirts &amp; Tees:Tank Tops" tooltip="https://www.amazon.com/b?node=23575650011"/>
    <hyperlink ref="L69" r:id="rId7" display="Clothing, Shoes &amp; Jewelry"/>
    <hyperlink ref="AR69" r:id="rId356" display="https://www.amazon.com/gp/help/seller/at-a-glance.html/ref=dp_merchant_link?seller=AZGV1IEN6OI6N" tooltip="https://www.amazon.com/gp/help/seller/at-a-glance.html/ref=dp_merchant_link?seller=AZGV1IEN6OI6N"/>
    <hyperlink ref="B70" r:id="rId357" display="B0CP6SXS1T" tooltip="https://www.amazon.com/dp/B0CP6SXS1T"/>
    <hyperlink ref="F70" r:id="rId24" display="https://www.amazon.com/stores/OQQ/page/F480BC96-6404-4EE6-B706-2D8C860FF032?ref_=ast_bln&amp;store_ref=bl_ast_dp_brandLogo_sto" tooltip="https://www.amazon.com/stores/OQQ/page/F480BC96-6404-4EE6-B706-2D8C860FF032?ref_=ast_bln&amp;store_ref=bl_ast_dp_brandLogo_sto"/>
    <hyperlink ref="H70" r:id="rId358" display="https://www.amazon.com/dp/B0CP6SXS1T?psc=1" tooltip="https://www.amazon.com/dp/B0CP6SXS1T?psc=1"/>
    <hyperlink ref="I70" r:id="rId359" display="https://m.media-amazon.com/images/I/31AgD0NoW+L._AC_SR600,600_.jpg" tooltip="https://m.media-amazon.com/images/I/31AgD0NoW+L._AC_SR600,600_.jpg"/>
    <hyperlink ref="J70" r:id="rId360" display="B0CP78PRK2" tooltip="https://www.amazon.com/dp/B0CP78PRK2"/>
    <hyperlink ref="K70" r:id="rId6" display="Clothing, Shoes &amp; Jewelry:Women:Clothing:Active:Active Shirts &amp; Tees:Tank Tops" tooltip="https://www.amazon.com/b?node=23575650011"/>
    <hyperlink ref="L70" r:id="rId7" display="Clothing, Shoes &amp; Jewelry"/>
    <hyperlink ref="AR70" r:id="rId28" display="https://www.amazon.com/gp/help/seller/at-a-glance.html/ref=dp_merchant_link?seller=A3V4TQXRZY9U20" tooltip="https://www.amazon.com/gp/help/seller/at-a-glance.html/ref=dp_merchant_link?seller=A3V4TQXRZY9U20"/>
    <hyperlink ref="B71" r:id="rId361" display="B0D1DKS951" tooltip="https://www.amazon.com/dp/B0D1DKS951"/>
    <hyperlink ref="F71" r:id="rId362" display="https://www.amazon.com/stores/LibertyBrandsUS/page/86B8F426-1D1E-4E88-9059-DDB4DF1E042E?ref_=ast_bln" tooltip="https://www.amazon.com/stores/LibertyBrandsUS/page/86B8F426-1D1E-4E88-9059-DDB4DF1E042E?ref_=ast_bln"/>
    <hyperlink ref="H71" r:id="rId363" display="https://www.amazon.com/dp/B0D1DKS951?psc=1" tooltip="https://www.amazon.com/dp/B0D1DKS951?psc=1"/>
    <hyperlink ref="I71" r:id="rId364" display="https://m.media-amazon.com/images/I/41LCmbYvW-L._AC_SR600,600_.jpg" tooltip="https://m.media-amazon.com/images/I/41LCmbYvW-L._AC_SR600,600_.jpg"/>
    <hyperlink ref="J71" r:id="rId365" display="B0C45219G2" tooltip="https://www.amazon.com/dp/B0C45219G2"/>
    <hyperlink ref="K71" r:id="rId6" display="Clothing, Shoes &amp; Jewelry:Women:Clothing:Active:Active Shirts &amp; Tees:Tank Tops" tooltip="https://www.amazon.com/b?node=23575650011"/>
    <hyperlink ref="L71" r:id="rId7" display="Clothing, Shoes &amp; Jewelry"/>
    <hyperlink ref="AR71" r:id="rId366" display="https://www.amazon.com/gp/help/seller/at-a-glance.html/ref=dp_merchant_link?seller=A1E4Y5YJSDRM31" tooltip="https://www.amazon.com/gp/help/seller/at-a-glance.html/ref=dp_merchant_link?seller=A1E4Y5YJSDRM31"/>
    <hyperlink ref="B72" r:id="rId367" display="B07YCD7JLF" tooltip="https://www.amazon.com/dp/B07YCD7JLF"/>
    <hyperlink ref="F72" r:id="rId368" display="https://www.amazon.com/stores/RUNNINGGIRL/page/B7ACC67E-2539-43EF-98B5-E77ACC4F1B02?ref_=ast_bln&amp;store_ref=bl_ast_dp_brandLogo_sto" tooltip="https://www.amazon.com/stores/RUNNINGGIRL/page/B7ACC67E-2539-43EF-98B5-E77ACC4F1B02?ref_=ast_bln&amp;store_ref=bl_ast_dp_brandLogo_sto"/>
    <hyperlink ref="H72" r:id="rId369" display="https://www.amazon.com/dp/B07YCD7JLF?psc=1" tooltip="https://www.amazon.com/dp/B07YCD7JLF?psc=1"/>
    <hyperlink ref="I72" r:id="rId370" display="https://m.media-amazon.com/images/I/419uWYA2FSL._AC_SR600,600_.jpg" tooltip="https://m.media-amazon.com/images/I/419uWYA2FSL._AC_SR600,600_.jpg"/>
    <hyperlink ref="J72" r:id="rId371" display="B07QCSDVYS" tooltip="https://www.amazon.com/dp/B07QCSDVYS"/>
    <hyperlink ref="K72" r:id="rId6" display="Clothing, Shoes &amp; Jewelry:Women:Clothing:Active:Active Shirts &amp; Tees:Tank Tops" tooltip="https://www.amazon.com/b?node=23575650011"/>
    <hyperlink ref="L72" r:id="rId7" display="Clothing, Shoes &amp; Jewelry"/>
    <hyperlink ref="AR72" r:id="rId372" display="https://www.amazon.com/gp/help/seller/at-a-glance.html/ref=dp_merchant_link?seller=A175AG80UVDQ2Q" tooltip="https://www.amazon.com/gp/help/seller/at-a-glance.html/ref=dp_merchant_link?seller=A175AG80UVDQ2Q"/>
    <hyperlink ref="B73" r:id="rId373" display="B0C44F1WS2" tooltip="https://www.amazon.com/dp/B0C44F1WS2"/>
    <hyperlink ref="F73" r:id="rId374" display="https://www.amazon.com/stores/LibertyBrandsUS/page/86B8F426-1D1E-4E88-9059-DDB4DF1E042E?ref_=ast_bln&amp;store_ref=bl_ast_dp_brandLogo_sto" tooltip="https://www.amazon.com/stores/LibertyBrandsUS/page/86B8F426-1D1E-4E88-9059-DDB4DF1E042E?ref_=ast_bln&amp;store_ref=bl_ast_dp_brandLogo_sto"/>
    <hyperlink ref="H73" r:id="rId375" display="https://www.amazon.com/dp/B0C44F1WS2?psc=1" tooltip="https://www.amazon.com/dp/B0C44F1WS2?psc=1"/>
    <hyperlink ref="I73" r:id="rId376" display="https://images-na.ssl-images-amazon.com/images/I/813qJr9yaOL._AC_US600_.jpg" tooltip="https://images-na.ssl-images-amazon.com/images/I/813qJr9yaOL._AC_US600_.jpg"/>
    <hyperlink ref="J73" r:id="rId377" display="B09K4J9BXH" tooltip="https://www.amazon.com/dp/B09K4J9BXH"/>
    <hyperlink ref="K73" r:id="rId6" display="Clothing, Shoes &amp; Jewelry:Women:Clothing:Active:Active Shirts &amp; Tees:Tank Tops" tooltip="https://www.amazon.com/b?node=23575650011"/>
    <hyperlink ref="L73" r:id="rId7" display="Clothing, Shoes &amp; Jewelry"/>
    <hyperlink ref="AR73" r:id="rId366" display="https://www.amazon.com/gp/help/seller/at-a-glance.html/ref=dp_merchant_link?seller=A1E4Y5YJSDRM31" tooltip="https://www.amazon.com/gp/help/seller/at-a-glance.html/ref=dp_merchant_link?seller=A1E4Y5YJSDRM31"/>
    <hyperlink ref="B74" r:id="rId378" display="B0CLD3B3DM" tooltip="https://www.amazon.com/dp/B0CLD3B3DM"/>
    <hyperlink ref="F74" r:id="rId120" display="https://www.amazon.com/stores/baleaf/page/243A5985-DEA3-405F-83ED-364B4A3733C5?ref_=ast_bln&amp;store_ref=bl_ast_dp_brandLogo_sto" tooltip="https://www.amazon.com/stores/baleaf/page/243A5985-DEA3-405F-83ED-364B4A3733C5?ref_=ast_bln&amp;store_ref=bl_ast_dp_brandLogo_sto"/>
    <hyperlink ref="H74" r:id="rId379" display="https://www.amazon.com/dp/B0CLD3B3DM?psc=1" tooltip="https://www.amazon.com/dp/B0CLD3B3DM?psc=1"/>
    <hyperlink ref="I74" r:id="rId380" display="https://m.media-amazon.com/images/I/319Mc5BCpZL._AC_SR600,600_.jpg" tooltip="https://m.media-amazon.com/images/I/319Mc5BCpZL._AC_SR600,600_.jpg"/>
    <hyperlink ref="J74" r:id="rId381" display="B0CLD4M6ZK" tooltip="https://www.amazon.com/dp/B0CLD4M6ZK"/>
    <hyperlink ref="K74" r:id="rId6" display="Clothing, Shoes &amp; Jewelry:Women:Clothing:Active:Active Shirts &amp; Tees:Tank Tops" tooltip="https://www.amazon.com/b?node=23575650011"/>
    <hyperlink ref="L74" r:id="rId7" display="Clothing, Shoes &amp; Jewelry"/>
    <hyperlink ref="AR74" r:id="rId124" display="https://www.amazon.com/gp/help/seller/at-a-glance.html/ref=dp_merchant_link?seller=AUCI3SOXHH004" tooltip="https://www.amazon.com/gp/help/seller/at-a-glance.html/ref=dp_merchant_link?seller=AUCI3SOXHH004"/>
    <hyperlink ref="B75" r:id="rId382" display="B0BTN88Y7R" tooltip="https://www.amazon.com/dp/B0BTN88Y7R"/>
    <hyperlink ref="F75" r:id="rId10" display="https://www.amazon.com/stores/CRZYOGA/page/F2232413-0F7D-4831-81A1-9FDFCFE5C54D?ref_=ast_bln&amp;store_ref=bl_ast_dp_brandLogo_sto" tooltip="https://www.amazon.com/stores/CRZYOGA/page/F2232413-0F7D-4831-81A1-9FDFCFE5C54D?ref_=ast_bln&amp;store_ref=bl_ast_dp_brandLogo_sto"/>
    <hyperlink ref="H75" r:id="rId383" display="https://www.amazon.com/dp/B0BTN88Y7R?psc=1" tooltip="https://www.amazon.com/dp/B0BTN88Y7R?psc=1"/>
    <hyperlink ref="I75" r:id="rId384" display="https://images-na.ssl-images-amazon.com/images/I/71QBkIl4DHL._AC_US600_.jpg" tooltip="https://images-na.ssl-images-amazon.com/images/I/71QBkIl4DHL._AC_US600_.jpg"/>
    <hyperlink ref="J75" r:id="rId385" display="B0BTN6VM3W" tooltip="https://www.amazon.com/dp/B0BTN6VM3W"/>
    <hyperlink ref="K75" r:id="rId6" display="Clothing, Shoes &amp; Jewelry:Women:Clothing:Active:Active Shirts &amp; Tees:Tank Tops" tooltip="https://www.amazon.com/b?node=23575650011"/>
    <hyperlink ref="L75" r:id="rId7" display="Clothing, Shoes &amp; Jewelry"/>
    <hyperlink ref="AR75" r:id="rId14" display="https://www.amazon.com/gp/help/seller/at-a-glance.html/ref=dp_merchant_link?seller=A1CX3Y6OPGB2MO" tooltip="https://www.amazon.com/gp/help/seller/at-a-glance.html/ref=dp_merchant_link?seller=A1CX3Y6OPGB2MO"/>
    <hyperlink ref="B76" r:id="rId386" display="B0CVV57XYC" tooltip="https://www.amazon.com/dp/B0CVV57XYC"/>
    <hyperlink ref="F76" r:id="rId132" display="https://www.amazon.com/stores/YYV/page/B3CF9010-49D8-40BA-A05B-B68D02D8F2EC?ref_=ast_bln&amp;store_ref=bl_ast_dp_brandLogo_sto" tooltip="https://www.amazon.com/stores/YYV/page/B3CF9010-49D8-40BA-A05B-B68D02D8F2EC?ref_=ast_bln&amp;store_ref=bl_ast_dp_brandLogo_sto"/>
    <hyperlink ref="H76" r:id="rId387" display="https://www.amazon.com/dp/B0CVV57XYC?psc=1" tooltip="https://www.amazon.com/dp/B0CVV57XYC?psc=1"/>
    <hyperlink ref="I76" r:id="rId388" display="https://m.media-amazon.com/images/I/41Yov4doBhL._AC_SR600,600_.jpg" tooltip="https://m.media-amazon.com/images/I/41Yov4doBhL._AC_SR600,600_.jpg"/>
    <hyperlink ref="J76" r:id="rId389" display="B0CVV2K9CS" tooltip="https://www.amazon.com/dp/B0CVV2K9CS"/>
    <hyperlink ref="K76" r:id="rId6" display="Clothing, Shoes &amp; Jewelry:Women:Clothing:Active:Active Shirts &amp; Tees:Tank Tops" tooltip="https://www.amazon.com/b?node=23575650011"/>
    <hyperlink ref="L76" r:id="rId7" display="Clothing, Shoes &amp; Jewelry"/>
    <hyperlink ref="AR76" r:id="rId136" display="https://www.amazon.com/gp/help/seller/at-a-glance.html/ref=dp_merchant_link?seller=A1OH9F3A55BKR7" tooltip="https://www.amazon.com/gp/help/seller/at-a-glance.html/ref=dp_merchant_link?seller=A1OH9F3A55BKR7"/>
    <hyperlink ref="B77" r:id="rId390" display="B0CTCPNWW8" tooltip="https://www.amazon.com/dp/B0CTCPNWW8"/>
    <hyperlink ref="F77" r:id="rId226" display="https://www.amazon.com/SVALIY/b/ref=bl_sl_s_ap_web_18229911011?ie=UTF8&amp;node=18229911011&amp;field-lbr_brands_browse-bin=SVALIY" tooltip="https://www.amazon.com/SVALIY/b/ref=bl_sl_s_ap_web_18229911011?ie=UTF8&amp;node=18229911011&amp;field-lbr_brands_browse-bin=SVALIY"/>
    <hyperlink ref="H77" r:id="rId391" display="https://www.amazon.com/dp/B0CTCPNWW8?psc=1" tooltip="https://www.amazon.com/dp/B0CTCPNWW8?psc=1"/>
    <hyperlink ref="I77" r:id="rId392" display="https://m.media-amazon.com/images/I/419WR3mxCDL._AC_SR600,600_.jpg" tooltip="https://m.media-amazon.com/images/I/419WR3mxCDL._AC_SR600,600_.jpg"/>
    <hyperlink ref="J77" r:id="rId393" display="B0CTCQSJR2" tooltip="https://www.amazon.com/dp/B0CTCQSJR2"/>
    <hyperlink ref="K77" r:id="rId6" display="Clothing, Shoes &amp; Jewelry:Women:Clothing:Active:Active Shirts &amp; Tees:Tank Tops" tooltip="https://www.amazon.com/b?node=23575650011"/>
    <hyperlink ref="L77" r:id="rId7" display="Clothing, Shoes &amp; Jewelry"/>
    <hyperlink ref="AR77" r:id="rId230" display="https://www.amazon.com/gp/help/seller/at-a-glance.html/ref=dp_merchant_link?seller=A30RISEUMG8SY4" tooltip="https://www.amazon.com/gp/help/seller/at-a-glance.html/ref=dp_merchant_link?seller=A30RISEUMG8SY4"/>
    <hyperlink ref="B78" r:id="rId394" display="B0CYGT3C65" tooltip="https://www.amazon.com/dp/B0CYGT3C65"/>
    <hyperlink ref="F78" r:id="rId78" display="https://www.amazon.com/stores/TheGymPeople/page/A339D2ED-083D-46D9-B99E-841F768AA99E?ref_=ast_bln&amp;store_ref=bl_ast_dp_brandLogo_sto" tooltip="https://www.amazon.com/stores/TheGymPeople/page/A339D2ED-083D-46D9-B99E-841F768AA99E?ref_=ast_bln&amp;store_ref=bl_ast_dp_brandLogo_sto"/>
    <hyperlink ref="H78" r:id="rId395" display="https://www.amazon.com/dp/B0CYGT3C65?psc=1" tooltip="https://www.amazon.com/dp/B0CYGT3C65?psc=1"/>
    <hyperlink ref="I78" r:id="rId396" display="https://images-na.ssl-images-amazon.com/images/I/71y5uo6f-cL._AC_US600_.jpg" tooltip="https://images-na.ssl-images-amazon.com/images/I/71y5uo6f-cL._AC_US600_.jpg"/>
    <hyperlink ref="J78" r:id="rId397" display="B0CYGQ7WP1" tooltip="https://www.amazon.com/dp/B0CYGQ7WP1"/>
    <hyperlink ref="K78" r:id="rId6" display="Clothing, Shoes &amp; Jewelry:Women:Clothing:Active:Active Shirts &amp; Tees:Tank Tops" tooltip="https://www.amazon.com/b?node=23575650011"/>
    <hyperlink ref="L78" r:id="rId7" display="Clothing, Shoes &amp; Jewelry"/>
    <hyperlink ref="AR78" r:id="rId82" display="https://www.amazon.com/gp/help/seller/at-a-glance.html/ref=dp_merchant_link?seller=AO3VMGXHKLO96" tooltip="https://www.amazon.com/gp/help/seller/at-a-glance.html/ref=dp_merchant_link?seller=AO3VMGXHKLO96"/>
    <hyperlink ref="B79" r:id="rId398" display="B08K3SZQGL" tooltip="https://www.amazon.com/dp/B08K3SZQGL"/>
    <hyperlink ref="F79" r:id="rId399" display="https://www.amazon.com/stores/TommieCopper/page/70DECED9-40DC-41C3-A3A2-FD4EDBBE175E?ref_=ast_bln&amp;store_ref=bl_ast_dp_brandLogo_sto" tooltip="https://www.amazon.com/stores/TommieCopper/page/70DECED9-40DC-41C3-A3A2-FD4EDBBE175E?ref_=ast_bln&amp;store_ref=bl_ast_dp_brandLogo_sto"/>
    <hyperlink ref="H79" r:id="rId400" display="https://www.amazon.com/dp/B08K3SZQGL?psc=1" tooltip="https://www.amazon.com/dp/B08K3SZQGL?psc=1"/>
    <hyperlink ref="I79" r:id="rId401" display="https://m.media-amazon.com/images/I/41vROWA2OTL._AC_SR600,600_.jpg" tooltip="https://m.media-amazon.com/images/I/41vROWA2OTL._AC_SR600,600_.jpg"/>
    <hyperlink ref="J79" r:id="rId402" display="B08MWYR3GP" tooltip="https://www.amazon.com/dp/B08MWYR3GP"/>
    <hyperlink ref="K79" r:id="rId6" display="Clothing, Shoes &amp; Jewelry:Women:Clothing:Active:Active Shirts &amp; Tees:Tank Tops" tooltip="https://www.amazon.com/b?node=23575650011"/>
    <hyperlink ref="L79" r:id="rId7" display="Clothing, Shoes &amp; Jewelry"/>
    <hyperlink ref="AR79" r:id="rId403" display="https://www.amazon.com/gp/help/seller/at-a-glance.html/ref=dp_merchant_link?seller=AVZRFC68CM6GS" tooltip="https://www.amazon.com/gp/help/seller/at-a-glance.html/ref=dp_merchant_link?seller=AVZRFC68CM6GS"/>
    <hyperlink ref="B80" r:id="rId404" display="B086N35814" tooltip="https://www.amazon.com/dp/B086N35814"/>
    <hyperlink ref="F80" r:id="rId42" display="https://www.amazon.com/stores/ICTIVE/page/631E69AD-BAAF-489B-B8B8-E0BDFA538784?ref_=ast_bln&amp;store_ref=bl_ast_dp_brandLogo_sto" tooltip="https://www.amazon.com/stores/ICTIVE/page/631E69AD-BAAF-489B-B8B8-E0BDFA538784?ref_=ast_bln&amp;store_ref=bl_ast_dp_brandLogo_sto"/>
    <hyperlink ref="H80" r:id="rId405" display="https://www.amazon.com/dp/B086N35814?psc=1" tooltip="https://www.amazon.com/dp/B086N35814?psc=1"/>
    <hyperlink ref="I80" r:id="rId406" display="https://m.media-amazon.com/images/I/31pAEgZWcEL._AC_SR600,600_.jpg" tooltip="https://m.media-amazon.com/images/I/31pAEgZWcEL._AC_SR600,600_.jpg"/>
    <hyperlink ref="J80" r:id="rId407" display="B07572YBCZ" tooltip="https://www.amazon.com/dp/B07572YBCZ"/>
    <hyperlink ref="K80" r:id="rId6" display="Clothing, Shoes &amp; Jewelry:Women:Clothing:Active:Active Shirts &amp; Tees:Tank Tops" tooltip="https://www.amazon.com/b?node=23575650011"/>
    <hyperlink ref="L80" r:id="rId7" display="Clothing, Shoes &amp; Jewelry"/>
    <hyperlink ref="AR80" r:id="rId46" display="https://www.amazon.com/gp/help/seller/at-a-glance.html/ref=dp_merchant_link?seller=A1G74W3VJGHK92" tooltip="https://www.amazon.com/gp/help/seller/at-a-glance.html/ref=dp_merchant_link?seller=A1G74W3VJGHK92"/>
    <hyperlink ref="B81" r:id="rId408" display="B08QRRRDFL" tooltip="https://www.amazon.com/dp/B08QRRRDFL"/>
    <hyperlink ref="F81" r:id="rId409" display="https://www.amazon.com/stores/FashionSoftComfy/page/F94BEF6B-74D5-4AC1-BD71-9F0F0A2A23DC?ref_=ast_bln&amp;store_ref=bl_ast_dp_brandLogo_sto" tooltip="https://www.amazon.com/stores/FashionSoftComfy/page/F94BEF6B-74D5-4AC1-BD71-9F0F0A2A23DC?ref_=ast_bln&amp;store_ref=bl_ast_dp_brandLogo_sto"/>
    <hyperlink ref="H81" r:id="rId410" display="https://www.amazon.com/dp/B08QRRRDFL?psc=1" tooltip="https://www.amazon.com/dp/B08QRRRDFL?psc=1"/>
    <hyperlink ref="I81" r:id="rId411" display="https://m.media-amazon.com/images/I/4152XHYrHDL._AC_SR600,600_.jpg" tooltip="https://m.media-amazon.com/images/I/4152XHYrHDL._AC_SR600,600_.jpg"/>
    <hyperlink ref="J81" r:id="rId412" display="B08QRRZ5GF" tooltip="https://www.amazon.com/dp/B08QRRZ5GF"/>
    <hyperlink ref="K81" r:id="rId6" display="Clothing, Shoes &amp; Jewelry:Women:Clothing:Active:Active Shirts &amp; Tees:Tank Tops" tooltip="https://www.amazon.com/b?node=23575650011"/>
    <hyperlink ref="L81" r:id="rId7" display="Clothing, Shoes &amp; Jewelry"/>
    <hyperlink ref="AR81" r:id="rId413" display="https://www.amazon.com/gp/help/seller/at-a-glance.html/ref=dp_merchant_link?seller=A2TF1X0GE0FZU3" tooltip="https://www.amazon.com/gp/help/seller/at-a-glance.html/ref=dp_merchant_link?seller=A2TF1X0GE0FZU3"/>
    <hyperlink ref="B82" r:id="rId414" display="B0CLGQ8LY5" tooltip="https://www.amazon.com/dp/B0CLGQ8LY5"/>
    <hyperlink ref="F82" r:id="rId415" display="https://www.amazon.com/stores/BeautifulComfortableSimple/page/D495F3C2-CF99-413E-B5CA-5535D1642B73?ref_=ast_bln&amp;store_ref=bl_ast_dp_brandLogo_sto" tooltip="https://www.amazon.com/stores/BeautifulComfortableSimple/page/D495F3C2-CF99-413E-B5CA-5535D1642B73?ref_=ast_bln&amp;store_ref=bl_ast_dp_brandLogo_sto"/>
    <hyperlink ref="H82" r:id="rId416" display="https://www.amazon.com/dp/B0CLGQ8LY5?psc=1" tooltip="https://www.amazon.com/dp/B0CLGQ8LY5?psc=1"/>
    <hyperlink ref="I82" r:id="rId417" display="https://images-na.ssl-images-amazon.com/images/I/81yPtmxDFbL._AC_US600_.jpg" tooltip="https://images-na.ssl-images-amazon.com/images/I/81yPtmxDFbL._AC_US600_.jpg"/>
    <hyperlink ref="J82" r:id="rId418" display="B0CLGQGRPH" tooltip="https://www.amazon.com/dp/B0CLGQGRPH"/>
    <hyperlink ref="K82" r:id="rId6" display="Clothing, Shoes &amp; Jewelry:Women:Clothing:Active:Active Shirts &amp; Tees:Tank Tops" tooltip="https://www.amazon.com/b?node=23575650011"/>
    <hyperlink ref="L82" r:id="rId7" display="Clothing, Shoes &amp; Jewelry"/>
    <hyperlink ref="AR82" r:id="rId419" display="https://www.amazon.com/gp/help/seller/at-a-glance.html/ref=dp_merchant_link?seller=AMHZIN0PH11X" tooltip="https://www.amazon.com/gp/help/seller/at-a-glance.html/ref=dp_merchant_link?seller=AMHZIN0PH11X"/>
    <hyperlink ref="B83" r:id="rId420" display="B0DD36X6TZ" tooltip="https://www.amazon.com/dp/B0DD36X6TZ"/>
    <hyperlink ref="F83" r:id="rId10" display="https://www.amazon.com/stores/CRZYOGA/page/F2232413-0F7D-4831-81A1-9FDFCFE5C54D?ref_=ast_bln&amp;store_ref=bl_ast_dp_brandLogo_sto" tooltip="https://www.amazon.com/stores/CRZYOGA/page/F2232413-0F7D-4831-81A1-9FDFCFE5C54D?ref_=ast_bln&amp;store_ref=bl_ast_dp_brandLogo_sto"/>
    <hyperlink ref="H83" r:id="rId421" display="https://www.amazon.com/dp/B0DD36X6TZ?psc=1" tooltip="https://www.amazon.com/dp/B0DD36X6TZ?psc=1"/>
    <hyperlink ref="I83" r:id="rId422" display="https://images-na.ssl-images-amazon.com/images/I/71xWuOTEWgL._AC_US600_.jpg" tooltip="https://images-na.ssl-images-amazon.com/images/I/71xWuOTEWgL._AC_US600_.jpg"/>
    <hyperlink ref="J83" r:id="rId423" display="B0DCVLQ71G" tooltip="https://www.amazon.com/dp/B0DCVLQ71G"/>
    <hyperlink ref="K83" r:id="rId6" display="Clothing, Shoes &amp; Jewelry:Women:Clothing:Active:Active Shirts &amp; Tees:Tank Tops" tooltip="https://www.amazon.com/b?node=23575650011"/>
    <hyperlink ref="L83" r:id="rId7" display="Clothing, Shoes &amp; Jewelry"/>
    <hyperlink ref="AR83" r:id="rId14" display="https://www.amazon.com/gp/help/seller/at-a-glance.html/ref=dp_merchant_link?seller=A1CX3Y6OPGB2MO" tooltip="https://www.amazon.com/gp/help/seller/at-a-glance.html/ref=dp_merchant_link?seller=A1CX3Y6OPGB2MO"/>
    <hyperlink ref="B84" r:id="rId424" display="B0CBTSFQ7D" tooltip="https://www.amazon.com/dp/B0CBTSFQ7D"/>
    <hyperlink ref="F84" r:id="rId425" display="https://www.amazon.com/stores/ODODOS/page/4EE07D3A-483C-4E62-A43F-1E8D9A75F92A?ref_=ast_bln&amp;store_ref=bl_ast_dp_brandLogo_sto" tooltip="https://www.amazon.com/stores/ODODOS/page/4EE07D3A-483C-4E62-A43F-1E8D9A75F92A?ref_=ast_bln&amp;store_ref=bl_ast_dp_brandLogo_sto"/>
    <hyperlink ref="H84" r:id="rId426" display="https://www.amazon.com/dp/B0CBTSFQ7D?psc=1" tooltip="https://www.amazon.com/dp/B0CBTSFQ7D?psc=1"/>
    <hyperlink ref="I84" r:id="rId427" display="https://m.media-amazon.com/images/I/31D8XSS3G-L._AC_SR600,600_.jpg" tooltip="https://m.media-amazon.com/images/I/31D8XSS3G-L._AC_SR600,600_.jpg"/>
    <hyperlink ref="J84" r:id="rId428" display="B0DB5KDBL6" tooltip="https://www.amazon.com/dp/B0DB5KDBL6"/>
    <hyperlink ref="K84" r:id="rId6" display="Clothing, Shoes &amp; Jewelry:Women:Clothing:Active:Active Shirts &amp; Tees:Tank Tops" tooltip="https://www.amazon.com/b?node=23575650011"/>
    <hyperlink ref="L84" r:id="rId7" display="Clothing, Shoes &amp; Jewelry"/>
    <hyperlink ref="AR84" r:id="rId429" display="https://www.amazon.com/gp/help/seller/at-a-glance.html/ref=dp_merchant_link?seller=A1HPK4MEBNYOYY" tooltip="https://www.amazon.com/gp/help/seller/at-a-glance.html/ref=dp_merchant_link?seller=A1HPK4MEBNYOYY"/>
    <hyperlink ref="B85" r:id="rId430" display="B08CGVL5WM" tooltip="https://www.amazon.com/dp/B08CGVL5WM"/>
    <hyperlink ref="F85" r:id="rId96" display="https://www.amazon.com/stores/Mippo/page/17F99944-3549-45FB-8E4A-290E96BF2B86?ref_=ast_bln&amp;store_ref=bl_ast_dp_brandLogo_sto" tooltip="https://www.amazon.com/stores/Mippo/page/17F99944-3549-45FB-8E4A-290E96BF2B86?ref_=ast_bln&amp;store_ref=bl_ast_dp_brandLogo_sto"/>
    <hyperlink ref="H85" r:id="rId431" display="https://www.amazon.com/dp/B08CGVL5WM?psc=1" tooltip="https://www.amazon.com/dp/B08CGVL5WM?psc=1"/>
    <hyperlink ref="I85" r:id="rId432" display="https://images-na.ssl-images-amazon.com/images/I/51x1JTJ3d9L._AC_US600_.jpg" tooltip="https://images-na.ssl-images-amazon.com/images/I/51x1JTJ3d9L._AC_US600_.jpg"/>
    <hyperlink ref="J85" r:id="rId433" display="B07QW5BWSH" tooltip="https://www.amazon.com/dp/B07QW5BWSH"/>
    <hyperlink ref="K85" r:id="rId6" display="Clothing, Shoes &amp; Jewelry:Women:Clothing:Active:Active Shirts &amp; Tees:Tank Tops" tooltip="https://www.amazon.com/b?node=23575650011"/>
    <hyperlink ref="L85" r:id="rId7" display="Clothing, Shoes &amp; Jewelry"/>
    <hyperlink ref="AR85" r:id="rId100" display="https://www.amazon.com/gp/help/seller/at-a-glance.html/ref=dp_merchant_link?seller=A36ZAC1EOE5YGO" tooltip="https://www.amazon.com/gp/help/seller/at-a-glance.html/ref=dp_merchant_link?seller=A36ZAC1EOE5YGO"/>
    <hyperlink ref="B86" r:id="rId434" display="B07PHMYRWB" tooltip="https://www.amazon.com/dp/B07PHMYRWB"/>
    <hyperlink ref="F86" r:id="rId286" display="https://www.amazon.com/stores/Bestisun/page/B9E60706-212A-4D26-9B9D-2808CE81D2FC?ref_=ast_bln&amp;store_ref=bl_ast_dp_brandLogo_sto" tooltip="https://www.amazon.com/stores/Bestisun/page/B9E60706-212A-4D26-9B9D-2808CE81D2FC?ref_=ast_bln&amp;store_ref=bl_ast_dp_brandLogo_sto"/>
    <hyperlink ref="H86" r:id="rId435" display="https://www.amazon.com/dp/B07PHMYRWB?psc=1" tooltip="https://www.amazon.com/dp/B07PHMYRWB?psc=1"/>
    <hyperlink ref="I86" r:id="rId436" display="https://m.media-amazon.com/images/I/41VKEGbDxTL._AC_SR600,600_.jpg" tooltip="https://m.media-amazon.com/images/I/41VKEGbDxTL._AC_SR600,600_.jpg"/>
    <hyperlink ref="J86" r:id="rId437" display="B07PGLNLK3" tooltip="https://www.amazon.com/dp/B07PGLNLK3"/>
    <hyperlink ref="K86" r:id="rId6" display="Clothing, Shoes &amp; Jewelry:Women:Clothing:Active:Active Shirts &amp; Tees:Tank Tops" tooltip="https://www.amazon.com/b?node=23575650011"/>
    <hyperlink ref="L86" r:id="rId7" display="Clothing, Shoes &amp; Jewelry"/>
    <hyperlink ref="AR86" r:id="rId290" display="https://www.amazon.com/gp/help/seller/at-a-glance.html/ref=dp_merchant_link?seller=ARIK0ZVGOK8ND" tooltip="https://www.amazon.com/gp/help/seller/at-a-glance.html/ref=dp_merchant_link?seller=ARIK0ZVGOK8ND"/>
    <hyperlink ref="B87" r:id="rId438" display="B0BD3K5PD8" tooltip="https://www.amazon.com/dp/B0BD3K5PD8"/>
    <hyperlink ref="F87" r:id="rId10" display="https://www.amazon.com/stores/CRZYOGA/page/F2232413-0F7D-4831-81A1-9FDFCFE5C54D?ref_=ast_bln&amp;store_ref=bl_ast_dp_brandLogo_sto" tooltip="https://www.amazon.com/stores/CRZYOGA/page/F2232413-0F7D-4831-81A1-9FDFCFE5C54D?ref_=ast_bln&amp;store_ref=bl_ast_dp_brandLogo_sto"/>
    <hyperlink ref="H87" r:id="rId439" display="https://www.amazon.com/dp/B0BD3K5PD8?psc=1" tooltip="https://www.amazon.com/dp/B0BD3K5PD8?psc=1"/>
    <hyperlink ref="I87" r:id="rId440" display="https://images-na.ssl-images-amazon.com/images/I/71T3jhChn1L._AC_US600_.jpg" tooltip="https://images-na.ssl-images-amazon.com/images/I/71T3jhChn1L._AC_US600_.jpg"/>
    <hyperlink ref="J87" r:id="rId441" display="B0BTCM12L3" tooltip="https://www.amazon.com/dp/B0BTCM12L3"/>
    <hyperlink ref="K87" r:id="rId6" display="Clothing, Shoes &amp; Jewelry:Women:Clothing:Active:Active Shirts &amp; Tees:Tank Tops" tooltip="https://www.amazon.com/b?node=23575650011"/>
    <hyperlink ref="L87" r:id="rId7" display="Clothing, Shoes &amp; Jewelry"/>
    <hyperlink ref="AR87" r:id="rId14" display="https://www.amazon.com/gp/help/seller/at-a-glance.html/ref=dp_merchant_link?seller=A1CX3Y6OPGB2MO" tooltip="https://www.amazon.com/gp/help/seller/at-a-glance.html/ref=dp_merchant_link?seller=A1CX3Y6OPGB2MO"/>
    <hyperlink ref="B88" r:id="rId442" display="B07QPTBNGQ" tooltip="https://www.amazon.com/dp/B07QPTBNGQ"/>
    <hyperlink ref="F88" r:id="rId90" display="https://www.amazon.com/stores/icyzone/page/700DD740-73E0-4062-8AD3-7E0EF6C6DB7A?ref_=ast_bln&amp;store_ref=bl_ast_dp_brandLogo_sto" tooltip="https://www.amazon.com/stores/icyzone/page/700DD740-73E0-4062-8AD3-7E0EF6C6DB7A?ref_=ast_bln&amp;store_ref=bl_ast_dp_brandLogo_sto"/>
    <hyperlink ref="H88" r:id="rId443" display="https://www.amazon.com/dp/B07QPTBNGQ?psc=1" tooltip="https://www.amazon.com/dp/B07QPTBNGQ?psc=1"/>
    <hyperlink ref="I88" r:id="rId444" display="https://m.media-amazon.com/images/I/41gzAqOq9DL._AC_SR600,600_.jpg" tooltip="https://m.media-amazon.com/images/I/41gzAqOq9DL._AC_SR600,600_.jpg"/>
    <hyperlink ref="J88" r:id="rId445" display="B07G82DC3B" tooltip="https://www.amazon.com/dp/B07G82DC3B"/>
    <hyperlink ref="K88" r:id="rId6" display="Clothing, Shoes &amp; Jewelry:Women:Clothing:Active:Active Shirts &amp; Tees:Tank Tops" tooltip="https://www.amazon.com/b?node=23575650011"/>
    <hyperlink ref="L88" r:id="rId7" display="Clothing, Shoes &amp; Jewelry"/>
    <hyperlink ref="AR88" r:id="rId94" display="https://www.amazon.com/gp/help/seller/at-a-glance.html/ref=dp_merchant_link?seller=A24BCT9INPL20E" tooltip="https://www.amazon.com/gp/help/seller/at-a-glance.html/ref=dp_merchant_link?seller=A24BCT9INPL20E"/>
    <hyperlink ref="B89" r:id="rId446" display="B088WLTJ64" tooltip="https://www.amazon.com/dp/B088WLTJ64"/>
    <hyperlink ref="F89" r:id="rId286" display="https://www.amazon.com/stores/Bestisun/page/B9E60706-212A-4D26-9B9D-2808CE81D2FC?ref_=ast_bln&amp;store_ref=bl_ast_dp_brandLogo_sto" tooltip="https://www.amazon.com/stores/Bestisun/page/B9E60706-212A-4D26-9B9D-2808CE81D2FC?ref_=ast_bln&amp;store_ref=bl_ast_dp_brandLogo_sto"/>
    <hyperlink ref="H89" r:id="rId447" display="https://www.amazon.com/dp/B088WLTJ64?psc=1" tooltip="https://www.amazon.com/dp/B088WLTJ64?psc=1"/>
    <hyperlink ref="I89" r:id="rId448" display="https://m.media-amazon.com/images/I/41hoSOdJlqL._AC_SR600,600_.jpg" tooltip="https://m.media-amazon.com/images/I/41hoSOdJlqL._AC_SR600,600_.jpg"/>
    <hyperlink ref="J89" r:id="rId449" display="B088WGWKC7" tooltip="https://www.amazon.com/dp/B088WGWKC7"/>
    <hyperlink ref="K89" r:id="rId6" display="Clothing, Shoes &amp; Jewelry:Women:Clothing:Active:Active Shirts &amp; Tees:Tank Tops" tooltip="https://www.amazon.com/b?node=23575650011"/>
    <hyperlink ref="L89" r:id="rId7" display="Clothing, Shoes &amp; Jewelry"/>
    <hyperlink ref="AR89" r:id="rId290" display="https://www.amazon.com/gp/help/seller/at-a-glance.html/ref=dp_merchant_link?seller=ARIK0ZVGOK8ND" tooltip="https://www.amazon.com/gp/help/seller/at-a-glance.html/ref=dp_merchant_link?seller=ARIK0ZVGOK8ND"/>
    <hyperlink ref="B90" r:id="rId450" display="B0CMH5GM1Y" tooltip="https://www.amazon.com/dp/B0CMH5GM1Y"/>
    <hyperlink ref="F90" r:id="rId425" display="https://www.amazon.com/stores/ODODOS/page/4EE07D3A-483C-4E62-A43F-1E8D9A75F92A?ref_=ast_bln&amp;store_ref=bl_ast_dp_brandLogo_sto" tooltip="https://www.amazon.com/stores/ODODOS/page/4EE07D3A-483C-4E62-A43F-1E8D9A75F92A?ref_=ast_bln&amp;store_ref=bl_ast_dp_brandLogo_sto"/>
    <hyperlink ref="H90" r:id="rId451" display="https://www.amazon.com/dp/B0CMH5GM1Y?psc=1" tooltip="https://www.amazon.com/dp/B0CMH5GM1Y?psc=1"/>
    <hyperlink ref="I90" r:id="rId452" display="https://m.media-amazon.com/images/I/31V8rhqybbL._AC_SR600,600_.jpg" tooltip="https://m.media-amazon.com/images/I/31V8rhqybbL._AC_SR600,600_.jpg"/>
    <hyperlink ref="J90" r:id="rId453" display="B0CYQB4J7R" tooltip="https://www.amazon.com/dp/B0CYQB4J7R"/>
    <hyperlink ref="K90" r:id="rId6" display="Clothing, Shoes &amp; Jewelry:Women:Clothing:Active:Active Shirts &amp; Tees:Tank Tops" tooltip="https://www.amazon.com/b?node=23575650011"/>
    <hyperlink ref="L90" r:id="rId7" display="Clothing, Shoes &amp; Jewelry"/>
    <hyperlink ref="AR90" r:id="rId429" display="https://www.amazon.com/gp/help/seller/at-a-glance.html/ref=dp_merchant_link?seller=A1HPK4MEBNYOYY" tooltip="https://www.amazon.com/gp/help/seller/at-a-glance.html/ref=dp_merchant_link?seller=A1HPK4MEBNYOYY"/>
    <hyperlink ref="B91" r:id="rId454" display="B07MBCGHWD" tooltip="https://www.amazon.com/dp/B07MBCGHWD"/>
    <hyperlink ref="F91" r:id="rId455" display="https://www.amazon.com/stores/SexyBasics/page/41586B5A-7169-4159-BC2B-27D44E3974C8?ref_=ast_bln&amp;store_ref=bl_ast_dp_brandLogo_sto" tooltip="https://www.amazon.com/stores/SexyBasics/page/41586B5A-7169-4159-BC2B-27D44E3974C8?ref_=ast_bln&amp;store_ref=bl_ast_dp_brandLogo_sto"/>
    <hyperlink ref="H91" r:id="rId456" display="https://www.amazon.com/dp/B07MBCGHWD?psc=1" tooltip="https://www.amazon.com/dp/B07MBCGHWD?psc=1"/>
    <hyperlink ref="I91" r:id="rId457" display="https://m.media-amazon.com/images/I/41gsDMfYI-L._AC_SR600,600_.jpg" tooltip="https://m.media-amazon.com/images/I/41gsDMfYI-L._AC_SR600,600_.jpg"/>
    <hyperlink ref="J91" r:id="rId458" display="B07GBHW7NH" tooltip="https://www.amazon.com/dp/B07GBHW7NH"/>
    <hyperlink ref="K91" r:id="rId6" display="Clothing, Shoes &amp; Jewelry:Women:Clothing:Active:Active Shirts &amp; Tees:Tank Tops" tooltip="https://www.amazon.com/b?node=23575650011"/>
    <hyperlink ref="L91" r:id="rId7" display="Clothing, Shoes &amp; Jewelry"/>
    <hyperlink ref="AR91" r:id="rId459" display="https://www.amazon.com/gp/help/seller/at-a-glance.html/ref=dp_merchant_link?seller=A21SJT5YHO64UG" tooltip="https://www.amazon.com/gp/help/seller/at-a-glance.html/ref=dp_merchant_link?seller=A21SJT5YHO64UG"/>
    <hyperlink ref="B92" r:id="rId460" display="B09Q2X4GKC" tooltip="https://www.amazon.com/dp/B09Q2X4GKC"/>
    <hyperlink ref="F92" r:id="rId352" display="https://www.amazon.com/stores/LASLULU/page/5CF9E229-4A56-44CC-A695-13A36C59741A?ref_=ast_bln&amp;store_ref=bl_ast_dp_brandLogo_sto" tooltip="https://www.amazon.com/stores/LASLULU/page/5CF9E229-4A56-44CC-A695-13A36C59741A?ref_=ast_bln&amp;store_ref=bl_ast_dp_brandLogo_sto"/>
    <hyperlink ref="H92" r:id="rId461" display="https://www.amazon.com/dp/B09Q2X4GKC?psc=1" tooltip="https://www.amazon.com/dp/B09Q2X4GKC?psc=1"/>
    <hyperlink ref="I92" r:id="rId462" display="https://images-na.ssl-images-amazon.com/images/I/61TOgTxZRyL._AC_US600_.jpg" tooltip="https://images-na.ssl-images-amazon.com/images/I/61TOgTxZRyL._AC_US600_.jpg"/>
    <hyperlink ref="J92" r:id="rId460" display="B09Q2X4GKC" tooltip="https://www.amazon.com/dp/B09Q2X4GKC"/>
    <hyperlink ref="K92" r:id="rId6" display="Clothing, Shoes &amp; Jewelry:Women:Clothing:Active:Active Shirts &amp; Tees:Tank Tops" tooltip="https://www.amazon.com/b?node=23575650011"/>
    <hyperlink ref="L92" r:id="rId7" display="Clothing, Shoes &amp; Jewelry"/>
    <hyperlink ref="AR92" r:id="rId356" display="https://www.amazon.com/gp/help/seller/at-a-glance.html/ref=dp_merchant_link?seller=AZGV1IEN6OI6N" tooltip="https://www.amazon.com/gp/help/seller/at-a-glance.html/ref=dp_merchant_link?seller=AZGV1IEN6OI6N"/>
    <hyperlink ref="B93" r:id="rId463" display="B0CPDYNZKL" tooltip="https://www.amazon.com/dp/B0CPDYNZKL"/>
    <hyperlink ref="F93" r:id="rId10" display="https://www.amazon.com/stores/CRZYOGA/page/F2232413-0F7D-4831-81A1-9FDFCFE5C54D?ref_=ast_bln&amp;store_ref=bl_ast_dp_brandLogo_sto" tooltip="https://www.amazon.com/stores/CRZYOGA/page/F2232413-0F7D-4831-81A1-9FDFCFE5C54D?ref_=ast_bln&amp;store_ref=bl_ast_dp_brandLogo_sto"/>
    <hyperlink ref="H93" r:id="rId464" display="https://www.amazon.com/dp/B0CPDYNZKL?psc=1" tooltip="https://www.amazon.com/dp/B0CPDYNZKL?psc=1"/>
    <hyperlink ref="I93" r:id="rId465" display="https://m.media-amazon.com/images/I/41FDQuBcFML._AC_SR600,600_.jpg" tooltip="https://m.media-amazon.com/images/I/41FDQuBcFML._AC_SR600,600_.jpg"/>
    <hyperlink ref="J93" r:id="rId466" display="B0CP9D57PZ" tooltip="https://www.amazon.com/dp/B0CP9D57PZ"/>
    <hyperlink ref="K93" r:id="rId6" display="Clothing, Shoes &amp; Jewelry:Women:Clothing:Active:Active Shirts &amp; Tees:Tank Tops" tooltip="https://www.amazon.com/b?node=23575650011"/>
    <hyperlink ref="L93" r:id="rId7" display="Clothing, Shoes &amp; Jewelry"/>
    <hyperlink ref="AR93" r:id="rId14" display="https://www.amazon.com/gp/help/seller/at-a-glance.html/ref=dp_merchant_link?seller=A1CX3Y6OPGB2MO" tooltip="https://www.amazon.com/gp/help/seller/at-a-glance.html/ref=dp_merchant_link?seller=A1CX3Y6OPGB2MO"/>
    <hyperlink ref="B94" r:id="rId467" display="B08Q7JN5F4" tooltip="https://www.amazon.com/dp/B08Q7JN5F4"/>
    <hyperlink ref="F94" r:id="rId468" display="https://www.amazon.com/stores/Cadmus/page/C6C47BA1-A38D-4DCA-88C8-58D9088E24A0?ref_=ast_bln" tooltip="https://www.amazon.com/stores/Cadmus/page/C6C47BA1-A38D-4DCA-88C8-58D9088E24A0?ref_=ast_bln"/>
    <hyperlink ref="H94" r:id="rId469" display="https://www.amazon.com/dp/B08Q7JN5F4?psc=1" tooltip="https://www.amazon.com/dp/B08Q7JN5F4?psc=1"/>
    <hyperlink ref="I94" r:id="rId470" display="https://m.media-amazon.com/images/I/31qTkqqQbCS._AC_SR600,600_.jpg" tooltip="https://m.media-amazon.com/images/I/31qTkqqQbCS._AC_SR600,600_.jpg"/>
    <hyperlink ref="J94" r:id="rId467" display="B08Q7JN5F4" tooltip="https://www.amazon.com/dp/B08Q7JN5F4"/>
    <hyperlink ref="K94" r:id="rId6" display="Clothing, Shoes &amp; Jewelry:Women:Clothing:Active:Active Shirts &amp; Tees:Tank Tops" tooltip="https://www.amazon.com/b?node=23575650011"/>
    <hyperlink ref="L94" r:id="rId7" display="Clothing, Shoes &amp; Jewelry"/>
    <hyperlink ref="AR94" r:id="rId471" display="https://www.amazon.com/gp/help/seller/at-a-glance.html/ref=dp_merchant_link?seller=ANHWNEOH68L68" tooltip="https://www.amazon.com/gp/help/seller/at-a-glance.html/ref=dp_merchant_link?seller=ANHWNEOH68L68"/>
    <hyperlink ref="B95" r:id="rId472" display="B0C6FGMHCT" tooltip="https://www.amazon.com/dp/B0C6FGMHCT"/>
    <hyperlink ref="F95" r:id="rId24" display="https://www.amazon.com/stores/OQQ/page/F480BC96-6404-4EE6-B706-2D8C860FF032?ref_=ast_bln&amp;store_ref=bl_ast_dp_brandLogo_sto" tooltip="https://www.amazon.com/stores/OQQ/page/F480BC96-6404-4EE6-B706-2D8C860FF032?ref_=ast_bln&amp;store_ref=bl_ast_dp_brandLogo_sto"/>
    <hyperlink ref="H95" r:id="rId473" display="https://www.amazon.com/dp/B0C6FGMHCT?psc=1" tooltip="https://www.amazon.com/dp/B0C6FGMHCT?psc=1"/>
    <hyperlink ref="I95" r:id="rId474" display="https://m.media-amazon.com/images/I/41tZtDJAY-L._AIweblab959719,T4_AC_SR38,50_.jpg?aicid=AUI-3.1" tooltip="https://m.media-amazon.com/images/I/41tZtDJAY-L._AIweblab959719,T4_AC_SR38,50_.jpg?aicid=AUI-3.1"/>
    <hyperlink ref="J95" r:id="rId472" display="B0C6FGMHCT" tooltip="https://www.amazon.com/dp/B0C6FGMHCT"/>
    <hyperlink ref="K95" r:id="rId6" display="Clothing, Shoes &amp; Jewelry:Women:Clothing:Active:Active Shirts &amp; Tees:Tank Tops" tooltip="https://www.amazon.com/b?node=23575650011"/>
    <hyperlink ref="L95" r:id="rId7" display="Clothing, Shoes &amp; Jewelry"/>
    <hyperlink ref="AR95" r:id="rId28" display="https://www.amazon.com/gp/help/seller/at-a-glance.html/ref=dp_merchant_link?seller=A3V4TQXRZY9U20" tooltip="https://www.amazon.com/gp/help/seller/at-a-glance.html/ref=dp_merchant_link?seller=A3V4TQXRZY9U20"/>
    <hyperlink ref="B96" r:id="rId475" display="B08TC6CW81" tooltip="https://www.amazon.com/dp/B08TC6CW81"/>
    <hyperlink ref="F96" r:id="rId120" display="https://www.amazon.com/stores/baleaf/page/243A5985-DEA3-405F-83ED-364B4A3733C5?ref_=ast_bln&amp;store_ref=bl_ast_dp_brandLogo_sto" tooltip="https://www.amazon.com/stores/baleaf/page/243A5985-DEA3-405F-83ED-364B4A3733C5?ref_=ast_bln&amp;store_ref=bl_ast_dp_brandLogo_sto"/>
    <hyperlink ref="H96" r:id="rId476" display="https://www.amazon.com/dp/B08TC6CW81?psc=1" tooltip="https://www.amazon.com/dp/B08TC6CW81?psc=1"/>
    <hyperlink ref="I96" r:id="rId477" display="https://images-na.ssl-images-amazon.com/images/I/61W6Xe9v8nL._AC_US600_.jpg" tooltip="https://images-na.ssl-images-amazon.com/images/I/61W6Xe9v8nL._AC_US600_.jpg"/>
    <hyperlink ref="J96" r:id="rId475" display="B08TC6CW81" tooltip="https://www.amazon.com/dp/B08TC6CW81"/>
    <hyperlink ref="K96" r:id="rId6" display="Clothing, Shoes &amp; Jewelry:Women:Clothing:Active:Active Shirts &amp; Tees:Tank Tops" tooltip="https://www.amazon.com/b?node=23575650011"/>
    <hyperlink ref="L96" r:id="rId7" display="Clothing, Shoes &amp; Jewelry"/>
    <hyperlink ref="AR96" r:id="rId124" display="https://www.amazon.com/gp/help/seller/at-a-glance.html/ref=dp_merchant_link?seller=AUCI3SOXHH004" tooltip="https://www.amazon.com/gp/help/seller/at-a-glance.html/ref=dp_merchant_link?seller=AUCI3SOXHH004"/>
    <hyperlink ref="B97" r:id="rId478" display="B0BPHJDP27" tooltip="https://www.amazon.com/dp/B0BPHJDP27"/>
    <hyperlink ref="F97" r:id="rId10" display="https://www.amazon.com/stores/CRZYOGA/page/F2232413-0F7D-4831-81A1-9FDFCFE5C54D?ref_=ast_bln&amp;store_ref=bl_ast_dp_brandLogo_sto" tooltip="https://www.amazon.com/stores/CRZYOGA/page/F2232413-0F7D-4831-81A1-9FDFCFE5C54D?ref_=ast_bln&amp;store_ref=bl_ast_dp_brandLogo_sto"/>
    <hyperlink ref="H97" r:id="rId479" display="https://www.amazon.com/dp/B0BPHJDP27?psc=1" tooltip="https://www.amazon.com/dp/B0BPHJDP27?psc=1"/>
    <hyperlink ref="I97" r:id="rId480" display="https://images-na.ssl-images-amazon.com/images/I/81ymN7wtvnL._AC_US600_.jpg" tooltip="https://images-na.ssl-images-amazon.com/images/I/81ymN7wtvnL._AC_US600_.jpg"/>
    <hyperlink ref="J97" r:id="rId478" display="B0BPHJDP27" tooltip="https://www.amazon.com/dp/B0BPHJDP27"/>
    <hyperlink ref="K97" r:id="rId6" display="Clothing, Shoes &amp; Jewelry:Women:Clothing:Active:Active Shirts &amp; Tees:Tank Tops" tooltip="https://www.amazon.com/b?node=23575650011"/>
    <hyperlink ref="L97" r:id="rId7" display="Clothing, Shoes &amp; Jewelry"/>
    <hyperlink ref="AR97" r:id="rId14" display="https://www.amazon.com/gp/help/seller/at-a-glance.html/ref=dp_merchant_link?seller=A1CX3Y6OPGB2MO" tooltip="https://www.amazon.com/gp/help/seller/at-a-glance.html/ref=dp_merchant_link?seller=A1CX3Y6OPGB2MO"/>
    <hyperlink ref="B98" r:id="rId481" display="B0CTMXNKCZ" tooltip="https://www.amazon.com/dp/B0CTMXNKCZ"/>
    <hyperlink ref="F98" r:id="rId108" display="https://www.amazon.com/stores/OLCHEE/page/CBAA9A8C-AE5A-4C46-AE08-6B11FFCEA312?ref_=ast_bln&amp;store_ref=bl_ast_dp_brandLogo_sto" tooltip="https://www.amazon.com/stores/OLCHEE/page/CBAA9A8C-AE5A-4C46-AE08-6B11FFCEA312?ref_=ast_bln&amp;store_ref=bl_ast_dp_brandLogo_sto"/>
    <hyperlink ref="H98" r:id="rId482" display="https://www.amazon.com/dp/B0CTMXNKCZ?psc=1" tooltip="https://www.amazon.com/dp/B0CTMXNKCZ?psc=1"/>
    <hyperlink ref="I98" r:id="rId483" display="https://images-na.ssl-images-amazon.com/images/I/71T31k6lt9L._AC_US600_.jpg" tooltip="https://images-na.ssl-images-amazon.com/images/I/71T31k6lt9L._AC_US600_.jpg"/>
    <hyperlink ref="J98" r:id="rId481" display="B0CTMXNKCZ" tooltip="https://www.amazon.com/dp/B0CTMXNKCZ"/>
    <hyperlink ref="K98" r:id="rId6" display="Clothing, Shoes &amp; Jewelry:Women:Clothing:Active:Active Shirts &amp; Tees:Tank Tops" tooltip="https://www.amazon.com/b?node=23575650011"/>
    <hyperlink ref="L98" r:id="rId7" display="Clothing, Shoes &amp; Jewelry"/>
    <hyperlink ref="AR98" r:id="rId112" display="https://www.amazon.com/gp/help/seller/at-a-glance.html/ref=dp_merchant_link?seller=A13L03SHQKPLB" tooltip="https://www.amazon.com/gp/help/seller/at-a-glance.html/ref=dp_merchant_link?seller=A13L03SHQKPLB"/>
    <hyperlink ref="B99" r:id="rId484" display="B0B3Y8GZNK" tooltip="https://www.amazon.com/dp/B0B3Y8GZNK"/>
    <hyperlink ref="F99" r:id="rId485" display="https://www.amazon.com/stores/Oalka/page/D6A38ABA-9F69-4831-9A9C-55DA3AC21E1D?ref_=ast_bln&amp;store_ref=bl_ast_dp_brandLogo_sto" tooltip="https://www.amazon.com/stores/Oalka/page/D6A38ABA-9F69-4831-9A9C-55DA3AC21E1D?ref_=ast_bln&amp;store_ref=bl_ast_dp_brandLogo_sto"/>
    <hyperlink ref="H99" r:id="rId486" display="https://www.amazon.com/dp/B0B3Y8GZNK?psc=1" tooltip="https://www.amazon.com/dp/B0B3Y8GZNK?psc=1"/>
    <hyperlink ref="I99" r:id="rId487" display="https://images-na.ssl-images-amazon.com/images/I/71ZIrCGcOSL._AC_US600_.jpg" tooltip="https://images-na.ssl-images-amazon.com/images/I/71ZIrCGcOSL._AC_US600_.jpg"/>
    <hyperlink ref="J99" r:id="rId484" display="B0B3Y8GZNK" tooltip="https://www.amazon.com/dp/B0B3Y8GZNK"/>
    <hyperlink ref="K99" r:id="rId6" display="Clothing, Shoes &amp; Jewelry:Women:Clothing:Active:Active Shirts &amp; Tees:Tank Tops" tooltip="https://www.amazon.com/b?node=23575650011"/>
    <hyperlink ref="L99" r:id="rId7" display="Clothing, Shoes &amp; Jewelry"/>
    <hyperlink ref="AR99" r:id="rId488" display="https://www.amazon.com/gp/help/seller/at-a-glance.html/ref=dp_merchant_link?seller=A3PS6Y91HTF7A3" tooltip="https://www.amazon.com/gp/help/seller/at-a-glance.html/ref=dp_merchant_link?seller=A3PS6Y91HTF7A3"/>
    <hyperlink ref="B100" r:id="rId489" display="B0BLS5YDKG" tooltip="https://www.amazon.com/dp/B0BLS5YDKG"/>
    <hyperlink ref="F100" r:id="rId490" display="https://www.amazon.com/stores/OYOANGLE/page/F1C7E3DD-FEE7-4C15-8821-3B4A02151751?ref_=ast_bln&amp;store_ref=bl_ast_dp_brandLogo_sto" tooltip="https://www.amazon.com/stores/OYOANGLE/page/F1C7E3DD-FEE7-4C15-8821-3B4A02151751?ref_=ast_bln&amp;store_ref=bl_ast_dp_brandLogo_sto"/>
    <hyperlink ref="H100" r:id="rId491" display="https://www.amazon.com/dp/B0BLS5YDKG?psc=1" tooltip="https://www.amazon.com/dp/B0BLS5YDKG?psc=1"/>
    <hyperlink ref="I100" r:id="rId492" display="https://m.media-amazon.com/images/I/41LVhTOUAQL._AC_SR600,600_.jpg" tooltip="https://m.media-amazon.com/images/I/41LVhTOUAQL._AC_SR600,600_.jpg"/>
    <hyperlink ref="J100" r:id="rId489" display="B0BLS5YDKG" tooltip="https://www.amazon.com/dp/B0BLS5YDKG"/>
    <hyperlink ref="K100" r:id="rId493" display="Clothing, Shoes &amp; Jewelry:Women:Clothing:Tops, Tees &amp; Blouses:Tanks &amp; Camis" tooltip="https://www.amazon.com/b?node=2368344011"/>
    <hyperlink ref="L100" r:id="rId7" display="Clothing, Shoes &amp; Jewelry"/>
    <hyperlink ref="AR100" r:id="rId494" display="https://www.amazon.com/gp/help/seller/at-a-glance.html/ref=dp_merchant_link?seller=A19FFR8R0QPQHY" tooltip="https://www.amazon.com/gp/help/seller/at-a-glance.html/ref=dp_merchant_link?seller=A19FFR8R0QPQHY"/>
    <hyperlink ref="B101" r:id="rId495" display="B0D8QK8MVL" tooltip="https://www.amazon.com/dp/B0D8QK8MVL"/>
    <hyperlink ref="F101" r:id="rId415" display="https://www.amazon.com/stores/BeautifulComfortableSimple/page/D495F3C2-CF99-413E-B5CA-5535D1642B73?ref_=ast_bln&amp;store_ref=bl_ast_dp_brandLogo_sto" tooltip="https://www.amazon.com/stores/BeautifulComfortableSimple/page/D495F3C2-CF99-413E-B5CA-5535D1642B73?ref_=ast_bln&amp;store_ref=bl_ast_dp_brandLogo_sto"/>
    <hyperlink ref="H101" r:id="rId496" display="https://www.amazon.com/dp/B0D8QK8MVL?psc=1" tooltip="https://www.amazon.com/dp/B0D8QK8MVL?psc=1"/>
    <hyperlink ref="I101" r:id="rId497" display="https://m.media-amazon.com/images/I/414aWWB7MOL._AC_SR600,600_.jpg" tooltip="https://m.media-amazon.com/images/I/414aWWB7MOL._AC_SR600,600_.jpg"/>
    <hyperlink ref="J101" r:id="rId495" display="B0D8QK8MVL" tooltip="https://www.amazon.com/dp/B0D8QK8MVL"/>
    <hyperlink ref="K101" r:id="rId6" display="Clothing, Shoes &amp; Jewelry:Women:Clothing:Active:Active Shirts &amp; Tees:Tank Tops" tooltip="https://www.amazon.com/b?node=23575650011"/>
    <hyperlink ref="L101" r:id="rId7" display="Clothing, Shoes &amp; Jewelry"/>
    <hyperlink ref="AR101" r:id="rId419" display="https://www.amazon.com/gp/help/seller/at-a-glance.html/ref=dp_merchant_link?seller=AMHZIN0PH11X" tooltip="https://www.amazon.com/gp/help/seller/at-a-glance.html/ref=dp_merchant_link?seller=AMHZIN0PH11X"/>
  </hyperlink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1" sqref="A1"/>
    </sheetView>
  </sheetViews>
  <sheetFormatPr defaultColWidth="9" defaultRowHeight="14.4" outlineLevelRow="6"/>
  <cols>
    <col min="1" max="1" width="150" style="3" customWidth="1"/>
  </cols>
  <sheetData>
    <row r="1" s="1" customFormat="1" ht="45" customHeight="1" spans="1:1">
      <c r="A1" s="4" t="s">
        <v>1441</v>
      </c>
    </row>
    <row r="2" s="1" customFormat="1" ht="45" customHeight="1" spans="1:1">
      <c r="A2" s="4" t="s">
        <v>1442</v>
      </c>
    </row>
    <row r="3" s="1" customFormat="1" ht="100" customHeight="1" spans="1:1">
      <c r="A3" s="4" t="s">
        <v>1443</v>
      </c>
    </row>
    <row r="4" s="1" customFormat="1" ht="45" customHeight="1" spans="1:1">
      <c r="A4" s="4" t="s">
        <v>1444</v>
      </c>
    </row>
    <row r="5" s="1" customFormat="1" ht="45" customHeight="1" spans="1:1">
      <c r="A5" s="4" t="s">
        <v>1445</v>
      </c>
    </row>
    <row r="6" s="2" customFormat="1" ht="45" customHeight="1" spans="1:1">
      <c r="A6" s="5" t="s">
        <v>1446</v>
      </c>
    </row>
    <row r="7" ht="45" customHeight="1" spans="1:1">
      <c r="A7" s="6" t="s">
        <v>1447</v>
      </c>
    </row>
  </sheetData>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US</vt:lpstr>
      <vt:lpstr>Note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8207429812</cp:lastModifiedBy>
  <dcterms:created xsi:type="dcterms:W3CDTF">2024-11-01T08:21:00Z</dcterms:created>
  <dcterms:modified xsi:type="dcterms:W3CDTF">2024-11-01T08:21:56Z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34ECEE1C58B24BD497C04E8F61FB8226_12</vt:lpwstr>
  </property>
  <property fmtid="{D5CDD505-2E9C-101B-9397-08002B2CF9AE}" pid="3" name="KSOProductBuildVer">
    <vt:lpwstr>2052-12.1.0.18608</vt:lpwstr>
  </property>
</Properties>
</file>