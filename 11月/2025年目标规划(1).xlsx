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 activeTab="3"/>
  </bookViews>
  <sheets>
    <sheet name="Hashtag" sheetId="1" r:id="rId1"/>
    <sheet name="人力预算" sheetId="4" r:id="rId2"/>
    <sheet name="预算规划" sheetId="3" r:id="rId3"/>
    <sheet name="Campaig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<sst xmlns="http://schemas.openxmlformats.org/spreadsheetml/2006/main" count="323" uniqueCount="175">
  <si>
    <t>只计算，IG，TT，YT</t>
  </si>
  <si>
    <t>品牌</t>
  </si>
  <si>
    <t>私域发帖总数</t>
  </si>
  <si>
    <t>官号发帖</t>
  </si>
  <si>
    <t>SNS总和</t>
  </si>
  <si>
    <t>红人每月发帖</t>
  </si>
  <si>
    <t>红人和SNS增量总计</t>
  </si>
  <si>
    <t>今年每月增加</t>
  </si>
  <si>
    <t>社媒总量实际统计</t>
  </si>
  <si>
    <t>目前hashtag数据</t>
  </si>
  <si>
    <t>2024年总值</t>
  </si>
  <si>
    <t>系数</t>
  </si>
  <si>
    <t>2025年目标（2024*1.5）</t>
  </si>
  <si>
    <t>平均每月增加</t>
  </si>
  <si>
    <t>instagram</t>
  </si>
  <si>
    <t>tiktok</t>
  </si>
  <si>
    <t>youtube</t>
  </si>
  <si>
    <t>备注：预算需求</t>
  </si>
  <si>
    <t>Coofandy</t>
  </si>
  <si>
    <t>Ekouaer</t>
  </si>
  <si>
    <t>Avidlove</t>
  </si>
  <si>
    <t>Zeagoo</t>
  </si>
  <si>
    <t>Arshiner</t>
  </si>
  <si>
    <t>竞品需求</t>
  </si>
  <si>
    <t>Pinspark</t>
  </si>
  <si>
    <t>合计</t>
  </si>
  <si>
    <t>11月</t>
  </si>
  <si>
    <t>12月</t>
  </si>
  <si>
    <t>25年平均每月增加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</si>
  <si>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</si>
  <si>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</si>
  <si>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</si>
  <si>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</si>
  <si>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</si>
  <si>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</si>
  <si>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</si>
  <si>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</si>
  <si>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</si>
  <si>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</si>
  <si>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社媒每月新增</t>
  </si>
  <si>
    <t>12个月新增</t>
  </si>
  <si>
    <t>25年同比增长帖子数</t>
  </si>
  <si>
    <t>25年同比年度增长帖子数</t>
  </si>
  <si>
    <t>帖子单价USD</t>
  </si>
  <si>
    <t>帖子总价人民币</t>
  </si>
  <si>
    <t>人数</t>
  </si>
  <si>
    <t>结构</t>
  </si>
  <si>
    <t>年度人力</t>
  </si>
  <si>
    <t>人力预算占比</t>
  </si>
  <si>
    <t>年度固有成本</t>
  </si>
  <si>
    <t>固定成本合计</t>
  </si>
  <si>
    <t>经理-组长-运营</t>
  </si>
  <si>
    <t>品牌人力成本</t>
  </si>
  <si>
    <t>设计成本</t>
  </si>
  <si>
    <t>短视频+带货视频拍摄</t>
  </si>
  <si>
    <t>代理运营费</t>
  </si>
  <si>
    <t>支持部门结算</t>
  </si>
  <si>
    <t>KOC</t>
  </si>
  <si>
    <t>coofandy</t>
  </si>
  <si>
    <t>tiktok运营</t>
  </si>
  <si>
    <t>ekouaer</t>
  </si>
  <si>
    <t>私域</t>
  </si>
  <si>
    <t>avidlove</t>
  </si>
  <si>
    <t>编导</t>
  </si>
  <si>
    <t>zeagoo</t>
  </si>
  <si>
    <t>剪辑</t>
  </si>
  <si>
    <t>arshiner</t>
  </si>
  <si>
    <t>pinterest</t>
  </si>
  <si>
    <t>pinspark</t>
  </si>
  <si>
    <t>亚马逊post</t>
  </si>
  <si>
    <t>备注：人力摊算按照实际业务工资发放在整体工资中占比</t>
  </si>
  <si>
    <t>24年预算</t>
  </si>
  <si>
    <t>24年实际推广预算</t>
  </si>
  <si>
    <t>2015年预算同比</t>
  </si>
  <si>
    <t>25年渠道预算</t>
  </si>
  <si>
    <t>25年预算占比</t>
  </si>
  <si>
    <t>25年预算</t>
  </si>
  <si>
    <t>人力总消耗预算</t>
  </si>
  <si>
    <t>推广预算</t>
  </si>
  <si>
    <t>旗舰店铺follow花费</t>
  </si>
  <si>
    <t>社媒剩余推广费用</t>
  </si>
  <si>
    <t>社媒hashtag额外花费</t>
  </si>
  <si>
    <t>Intagram费用</t>
  </si>
  <si>
    <t>新渠道测试费用</t>
  </si>
  <si>
    <t>目标</t>
  </si>
  <si>
    <t>年度自然涨粉</t>
  </si>
  <si>
    <t>年度广告涨粉</t>
  </si>
  <si>
    <t>年度自然高级互动</t>
  </si>
  <si>
    <t>年度广告高级互动</t>
  </si>
  <si>
    <t>粉丝广告占比</t>
  </si>
  <si>
    <t>粉丝广告费用</t>
  </si>
  <si>
    <t>互动广告占比</t>
  </si>
  <si>
    <t>互动广告费用</t>
  </si>
  <si>
    <t>占比</t>
  </si>
  <si>
    <t>费用</t>
  </si>
  <si>
    <t>24年粉丝数</t>
  </si>
  <si>
    <t>24年高级互动数量</t>
  </si>
  <si>
    <t>每月新增hashtag数</t>
  </si>
  <si>
    <t>新增粉丝量</t>
  </si>
  <si>
    <t>活跃粉丝占比</t>
  </si>
  <si>
    <t>年度高级互动数</t>
  </si>
  <si>
    <t>年度粉丝增幅</t>
  </si>
  <si>
    <t>年度互动增幅</t>
  </si>
  <si>
    <t>年度增长系数</t>
  </si>
  <si>
    <t>24年平均月度增长</t>
  </si>
  <si>
    <t>Instagram</t>
  </si>
  <si>
    <t>Facebook小组</t>
  </si>
  <si>
    <t>reddit</t>
  </si>
  <si>
    <t>Instagram CPF</t>
  </si>
  <si>
    <t>Instagram涨粉量</t>
  </si>
  <si>
    <t>24年平均月度高级互动</t>
  </si>
  <si>
    <t>Instagram CPE</t>
  </si>
  <si>
    <t>Instagram广告高级互动量</t>
  </si>
  <si>
    <t>备注：仅社媒推广费用</t>
  </si>
  <si>
    <t>各个品牌的发帖数</t>
  </si>
  <si>
    <t>2024年全年</t>
  </si>
  <si>
    <t>总曝光</t>
  </si>
  <si>
    <t>IG渠道曝光</t>
  </si>
  <si>
    <t>自然占比</t>
  </si>
  <si>
    <t>自然</t>
  </si>
  <si>
    <t>IG广告曝光</t>
  </si>
  <si>
    <t>其他曝光</t>
  </si>
  <si>
    <t>纯自然曝光</t>
  </si>
  <si>
    <t>自然曝光占比</t>
  </si>
  <si>
    <t>粉丝数</t>
  </si>
  <si>
    <t>每月净增粉丝数</t>
  </si>
  <si>
    <t>年度费用RMB</t>
  </si>
  <si>
    <t>月度费用RMB</t>
  </si>
  <si>
    <t>月度广告涨粉</t>
  </si>
  <si>
    <t>平均涨粉成本</t>
  </si>
  <si>
    <t>月度实际推广</t>
  </si>
  <si>
    <t>月度实际推广RMB</t>
  </si>
  <si>
    <t>IG月度高级互动</t>
  </si>
  <si>
    <t>IG自然高级互动</t>
  </si>
  <si>
    <t>广告高级互动</t>
  </si>
  <si>
    <t>自然高级互动占比</t>
  </si>
  <si>
    <t>年均高级互动系数</t>
  </si>
  <si>
    <t>24年合计</t>
  </si>
  <si>
    <t>主动行建议</t>
  </si>
  <si>
    <t>24年推广预算合计</t>
  </si>
  <si>
    <t>季度</t>
  </si>
  <si>
    <t>campaign预算</t>
  </si>
  <si>
    <t>Q1</t>
  </si>
  <si>
    <t>Q2</t>
  </si>
  <si>
    <t>Q3</t>
  </si>
  <si>
    <t>Q4</t>
  </si>
  <si>
    <t>活动名称</t>
  </si>
  <si>
    <t>New  Year</t>
  </si>
  <si>
    <t>Valentine's Day</t>
  </si>
  <si>
    <t>NYFW SS FASHION TREND</t>
  </si>
  <si>
    <t>Wedding season+Graduation season
Anniversary</t>
  </si>
  <si>
    <t>Father's Day</t>
  </si>
  <si>
    <t>Prime Day+Independence Day(7.1-7.4)</t>
  </si>
  <si>
    <t>Oktoberfest-DE</t>
  </si>
  <si>
    <t>New York Fashion Week+Fall prime day</t>
  </si>
  <si>
    <t>Halloween+Black Friday &amp; 
Cyber Monday+Christmas</t>
  </si>
  <si>
    <t>时间段</t>
  </si>
  <si>
    <t>1.1-2.9</t>
  </si>
  <si>
    <t>2.1-2.14</t>
  </si>
  <si>
    <t>2.15-3.31</t>
  </si>
  <si>
    <t>4.15-6.15</t>
  </si>
  <si>
    <t>6.1-6.30</t>
  </si>
  <si>
    <t>7.1-7.30</t>
  </si>
  <si>
    <t>Sept/Oct</t>
  </si>
  <si>
    <t>2025.9.1-10.21</t>
  </si>
  <si>
    <t>10.22-10.31</t>
  </si>
  <si>
    <t>天数</t>
  </si>
  <si>
    <t>级别</t>
  </si>
  <si>
    <t>A+</t>
  </si>
  <si>
    <t>C</t>
  </si>
  <si>
    <t>B</t>
  </si>
  <si>
    <t>S</t>
  </si>
  <si>
    <t>campaign预算占比</t>
  </si>
  <si>
    <t>预算</t>
  </si>
  <si>
    <t>CPM=3，CPF=1，CPE=0.05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</si>
</sst>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_ * #,##0_ ;_ * \-#,##0_ ;_ * &quot;-&quot;??_ ;_ @_ "/>
    <numFmt numFmtId="178" formatCode="yyyy/m/d;@"/>
    <numFmt numFmtId="179" formatCode="_ * #,##0.00_ ;_ * \-#,##0.00_ ;_ * &quot;-&quot;??.0_ ;_ @_ "/>
    <numFmt numFmtId="180" formatCode="0_ "/>
    <numFmt numFmtId="181" formatCode="_ * #,##0.0_ ;_ * \-#,##0.0_ ;_ 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0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11" applyNumberFormat="0" applyAlignment="0" applyProtection="0">
      <alignment vertical="center"/>
    </xf>
    <xf numFmtId="0" fontId="19" fillId="15" borderId="12" applyNumberFormat="0" applyAlignment="0" applyProtection="0">
      <alignment vertical="center"/>
    </xf>
    <xf numFmtId="0" fontId="20" fillId="15" borderId="11" applyNumberFormat="0" applyAlignment="0" applyProtection="0">
      <alignment vertical="center"/>
    </xf>
    <xf numFmtId="0" fontId="21" fillId="16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6" borderId="2" xfId="0" applyFont="1" applyFill="1" applyBorder="1">
      <alignment vertical="center"/>
    </xf>
    <xf numFmtId="176" fontId="3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0" fontId="1" fillId="5" borderId="2" xfId="0" applyFont="1" applyFill="1" applyBorder="1">
      <alignment vertical="center"/>
    </xf>
    <xf numFmtId="0" fontId="1" fillId="7" borderId="2" xfId="0" applyFont="1" applyFill="1" applyBorder="1">
      <alignment vertical="center"/>
    </xf>
    <xf numFmtId="0" fontId="1" fillId="6" borderId="2" xfId="0" applyFont="1" applyFill="1" applyBorder="1">
      <alignment vertical="center"/>
    </xf>
    <xf numFmtId="9" fontId="1" fillId="0" borderId="0" xfId="3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177" fontId="1" fillId="0" borderId="2" xfId="0" applyNumberFormat="1" applyFont="1" applyBorder="1">
      <alignment vertical="center"/>
    </xf>
    <xf numFmtId="177" fontId="1" fillId="4" borderId="2" xfId="0" applyNumberFormat="1" applyFont="1" applyFill="1" applyBorder="1">
      <alignment vertical="center"/>
    </xf>
    <xf numFmtId="9" fontId="1" fillId="6" borderId="2" xfId="3" applyFont="1" applyFill="1" applyBorder="1">
      <alignment vertical="center"/>
    </xf>
    <xf numFmtId="177" fontId="1" fillId="0" borderId="2" xfId="3" applyNumberFormat="1" applyFont="1" applyFill="1" applyBorder="1" applyAlignment="1" applyProtection="1">
      <alignment vertical="center"/>
    </xf>
    <xf numFmtId="9" fontId="1" fillId="8" borderId="2" xfId="0" applyNumberFormat="1" applyFont="1" applyFill="1" applyBorder="1">
      <alignment vertical="center"/>
    </xf>
    <xf numFmtId="177" fontId="1" fillId="0" borderId="2" xfId="0" applyNumberFormat="1" applyFont="1" applyFill="1" applyBorder="1">
      <alignment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2" xfId="3" applyNumberFormat="1" applyFont="1" applyFill="1" applyBorder="1">
      <alignment vertical="center"/>
    </xf>
    <xf numFmtId="0" fontId="4" fillId="0" borderId="0" xfId="0" applyFont="1" applyFill="1">
      <alignment vertical="center"/>
    </xf>
    <xf numFmtId="0" fontId="1" fillId="0" borderId="2" xfId="0" applyFont="1" applyBorder="1">
      <alignment vertical="center"/>
    </xf>
    <xf numFmtId="9" fontId="1" fillId="0" borderId="2" xfId="0" applyNumberFormat="1" applyFont="1" applyBorder="1">
      <alignment vertical="center"/>
    </xf>
    <xf numFmtId="0" fontId="1" fillId="4" borderId="2" xfId="0" applyFont="1" applyFill="1" applyBorder="1">
      <alignment vertical="center"/>
    </xf>
    <xf numFmtId="177" fontId="4" fillId="4" borderId="2" xfId="0" applyNumberFormat="1" applyFont="1" applyFill="1" applyBorder="1">
      <alignment vertical="center"/>
    </xf>
    <xf numFmtId="177" fontId="1" fillId="0" borderId="2" xfId="0" applyNumberFormat="1" applyFont="1" applyBorder="1" applyAlignment="1">
      <alignment horizontal="left" vertical="center"/>
    </xf>
    <xf numFmtId="177" fontId="4" fillId="0" borderId="0" xfId="0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vertical="center"/>
    </xf>
    <xf numFmtId="9" fontId="1" fillId="0" borderId="2" xfId="3" applyFont="1" applyBorder="1">
      <alignment vertical="center"/>
    </xf>
    <xf numFmtId="177" fontId="1" fillId="9" borderId="2" xfId="0" applyNumberFormat="1" applyFont="1" applyFill="1" applyBorder="1">
      <alignment vertical="center"/>
    </xf>
    <xf numFmtId="9" fontId="1" fillId="4" borderId="2" xfId="3" applyFont="1" applyFill="1" applyBorder="1">
      <alignment vertical="center"/>
    </xf>
    <xf numFmtId="0" fontId="1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vertical="center"/>
    </xf>
    <xf numFmtId="9" fontId="1" fillId="4" borderId="2" xfId="3" applyNumberFormat="1" applyFont="1" applyFill="1" applyBorder="1" applyAlignment="1">
      <alignment horizontal="left" vertical="center"/>
    </xf>
    <xf numFmtId="177" fontId="1" fillId="4" borderId="2" xfId="0" applyNumberFormat="1" applyFont="1" applyFill="1" applyBorder="1" applyAlignment="1">
      <alignment horizontal="left" vertical="center"/>
    </xf>
    <xf numFmtId="9" fontId="1" fillId="3" borderId="2" xfId="3" applyFont="1" applyFill="1" applyBorder="1" applyAlignment="1">
      <alignment horizontal="left" vertical="center"/>
    </xf>
    <xf numFmtId="177" fontId="1" fillId="3" borderId="2" xfId="0" applyNumberFormat="1" applyFont="1" applyFill="1" applyBorder="1" applyAlignment="1">
      <alignment horizontal="left" vertical="center"/>
    </xf>
    <xf numFmtId="9" fontId="1" fillId="10" borderId="2" xfId="3" applyFont="1" applyFill="1" applyBorder="1" applyAlignment="1">
      <alignment horizontal="left" vertical="center"/>
    </xf>
    <xf numFmtId="177" fontId="1" fillId="10" borderId="2" xfId="0" applyNumberFormat="1" applyFont="1" applyFill="1" applyBorder="1" applyAlignment="1">
      <alignment horizontal="left" vertical="center"/>
    </xf>
    <xf numFmtId="9" fontId="1" fillId="3" borderId="2" xfId="3" applyNumberFormat="1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6" fillId="4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179" fontId="1" fillId="0" borderId="2" xfId="0" applyNumberFormat="1" applyFont="1" applyBorder="1">
      <alignment vertical="center"/>
    </xf>
    <xf numFmtId="0" fontId="7" fillId="0" borderId="5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77" fontId="1" fillId="4" borderId="2" xfId="3" applyNumberFormat="1" applyFont="1" applyFill="1" applyBorder="1" applyAlignment="1">
      <alignment horizontal="left" vertical="center"/>
    </xf>
    <xf numFmtId="9" fontId="1" fillId="2" borderId="2" xfId="3" applyNumberFormat="1" applyFont="1" applyFill="1" applyBorder="1" applyAlignment="1">
      <alignment horizontal="left" vertical="center"/>
    </xf>
    <xf numFmtId="9" fontId="1" fillId="2" borderId="2" xfId="3" applyFont="1" applyFill="1" applyBorder="1" applyAlignment="1">
      <alignment horizontal="left" vertical="center"/>
    </xf>
    <xf numFmtId="9" fontId="1" fillId="4" borderId="2" xfId="3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11" borderId="2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5" borderId="2" xfId="0" applyFont="1" applyFill="1" applyBorder="1">
      <alignment vertical="center"/>
    </xf>
    <xf numFmtId="0" fontId="1" fillId="11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0" xfId="0" applyNumberFormat="1" applyFont="1">
      <alignment vertical="center"/>
    </xf>
    <xf numFmtId="43" fontId="1" fillId="0" borderId="0" xfId="0" applyNumberFormat="1" applyFont="1">
      <alignment vertical="center"/>
    </xf>
    <xf numFmtId="0" fontId="1" fillId="10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3" fontId="1" fillId="11" borderId="2" xfId="3" applyNumberFormat="1" applyFont="1" applyFill="1" applyBorder="1" applyAlignment="1">
      <alignment horizontal="center" vertical="center"/>
    </xf>
    <xf numFmtId="9" fontId="1" fillId="0" borderId="0" xfId="3" applyFo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9" fontId="1" fillId="0" borderId="2" xfId="3" applyNumberFormat="1" applyFont="1" applyBorder="1">
      <alignment vertical="center"/>
    </xf>
    <xf numFmtId="177" fontId="1" fillId="0" borderId="2" xfId="3" applyNumberFormat="1" applyFont="1" applyBorder="1">
      <alignment vertical="center"/>
    </xf>
    <xf numFmtId="177" fontId="1" fillId="0" borderId="2" xfId="0" applyNumberFormat="1" applyFont="1" applyFill="1" applyBorder="1" applyAlignment="1">
      <alignment vertical="center"/>
    </xf>
    <xf numFmtId="0" fontId="8" fillId="0" borderId="0" xfId="0" applyFo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180" fontId="6" fillId="4" borderId="2" xfId="0" applyNumberFormat="1" applyFont="1" applyFill="1" applyBorder="1" applyAlignment="1">
      <alignment vertical="center"/>
    </xf>
    <xf numFmtId="180" fontId="9" fillId="12" borderId="2" xfId="0" applyNumberFormat="1" applyFont="1" applyFill="1" applyBorder="1" applyAlignment="1">
      <alignment vertical="center"/>
    </xf>
    <xf numFmtId="180" fontId="6" fillId="0" borderId="2" xfId="0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177" fontId="6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180" fontId="6" fillId="12" borderId="2" xfId="0" applyNumberFormat="1" applyFont="1" applyFill="1" applyBorder="1" applyAlignment="1">
      <alignment vertical="center"/>
    </xf>
    <xf numFmtId="177" fontId="6" fillId="0" borderId="2" xfId="0" applyNumberFormat="1" applyFont="1" applyFill="1" applyBorder="1" applyAlignment="1">
      <alignment vertical="center"/>
    </xf>
    <xf numFmtId="177" fontId="6" fillId="0" borderId="2" xfId="0" applyNumberFormat="1" applyFont="1" applyFill="1" applyBorder="1" applyAlignment="1">
      <alignment horizontal="left" vertical="center"/>
    </xf>
    <xf numFmtId="0" fontId="1" fillId="4" borderId="0" xfId="0" applyFont="1" applyFill="1">
      <alignment vertical="center"/>
    </xf>
    <xf numFmtId="180" fontId="1" fillId="0" borderId="0" xfId="0" applyNumberFormat="1" applyFont="1">
      <alignment vertical="center"/>
    </xf>
    <xf numFmtId="177" fontId="1" fillId="4" borderId="0" xfId="0" applyNumberFormat="1" applyFont="1" applyFill="1">
      <alignment vertical="center"/>
    </xf>
    <xf numFmtId="180" fontId="6" fillId="4" borderId="0" xfId="0" applyNumberFormat="1" applyFont="1" applyFill="1" applyAlignment="1">
      <alignment vertical="center"/>
    </xf>
    <xf numFmtId="180" fontId="6" fillId="12" borderId="0" xfId="0" applyNumberFormat="1" applyFont="1" applyFill="1" applyAlignment="1">
      <alignment vertical="center"/>
    </xf>
    <xf numFmtId="177" fontId="6" fillId="0" borderId="0" xfId="0" applyNumberFormat="1" applyFont="1" applyFill="1" applyAlignment="1">
      <alignment vertical="center"/>
    </xf>
    <xf numFmtId="181" fontId="6" fillId="0" borderId="0" xfId="0" applyNumberFormat="1" applyFont="1" applyFill="1" applyAlignment="1">
      <alignment vertical="center"/>
    </xf>
    <xf numFmtId="181" fontId="6" fillId="5" borderId="0" xfId="0" applyNumberFormat="1" applyFont="1" applyFill="1" applyAlignment="1">
      <alignment vertical="center"/>
    </xf>
    <xf numFmtId="180" fontId="6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zoomScale="80" zoomScaleNormal="80" workbookViewId="0">
      <pane xSplit="1" ySplit="2" topLeftCell="B3" activePane="bottomRight" state="frozen"/>
      <selection/>
      <selection pane="topRight"/>
      <selection pane="bottomLeft"/>
      <selection pane="bottomRight" activeCell="C8" sqref="C8"/>
    </sheetView>
  </sheetViews>
  <sheetFormatPr defaultColWidth="8.72727272727273" defaultRowHeight="16.5"/>
  <cols>
    <col min="1" max="1" width="8.72727272727273" style="22"/>
    <col min="2" max="2" width="19.8818181818182" style="22" customWidth="1"/>
    <col min="3" max="3" width="11.5909090909091" style="22" customWidth="1"/>
    <col min="4" max="4" width="10.1818181818182" style="22" customWidth="1"/>
    <col min="5" max="5" width="15.2727272727273" style="22"/>
    <col min="6" max="6" width="18.4090909090909" style="22" customWidth="1"/>
    <col min="7" max="7" width="13.3636363636364" style="22" customWidth="1"/>
    <col min="8" max="8" width="13.5272727272727" style="22" customWidth="1"/>
    <col min="9" max="9" width="9.18181818181818" style="22" customWidth="1"/>
    <col min="10" max="10" width="10.2727272727273" style="22" customWidth="1"/>
    <col min="11" max="11" width="9.27272727272727" style="22" customWidth="1"/>
    <col min="12" max="12" width="8.90909090909091" style="22" customWidth="1"/>
    <col min="13" max="13" width="7.90909090909091" style="22" customWidth="1"/>
    <col min="14" max="14" width="8.54545454545454" style="22" customWidth="1"/>
    <col min="15" max="15" width="9.45454545454546" style="22" customWidth="1"/>
    <col min="16" max="16" width="9.18181818181818" style="22" customWidth="1"/>
    <col min="17" max="17" width="8.90909090909091" style="22" customWidth="1"/>
    <col min="18" max="16384" width="8.72727272727273" style="22"/>
  </cols>
  <sheetData>
    <row r="1" spans="1:16">
      <c r="A1" s="97" t="s">
        <v>0</v>
      </c>
      <c r="B1" s="98"/>
      <c r="C1" s="98"/>
      <c r="D1" s="98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7">
      <c r="A2" s="60" t="s">
        <v>1</v>
      </c>
      <c r="B2" s="99" t="s">
        <v>2</v>
      </c>
      <c r="C2" s="99" t="s">
        <v>3</v>
      </c>
      <c r="D2" s="99" t="s">
        <v>4</v>
      </c>
      <c r="E2" s="99" t="s">
        <v>5</v>
      </c>
      <c r="F2" s="99" t="s">
        <v>6</v>
      </c>
      <c r="G2" s="100" t="s">
        <v>7</v>
      </c>
      <c r="H2" s="99" t="s">
        <v>8</v>
      </c>
      <c r="I2" s="99" t="s">
        <v>9</v>
      </c>
      <c r="J2" s="112" t="s">
        <v>10</v>
      </c>
      <c r="K2" s="112" t="s">
        <v>11</v>
      </c>
      <c r="L2" s="112" t="s">
        <v>12</v>
      </c>
      <c r="M2" s="113" t="s">
        <v>13</v>
      </c>
      <c r="N2" s="89" t="s">
        <v>14</v>
      </c>
      <c r="O2" s="89" t="s">
        <v>15</v>
      </c>
      <c r="P2" s="89" t="s">
        <v>16</v>
      </c>
      <c r="Q2" s="59" t="s">
        <v>17</v>
      </c>
    </row>
    <row r="3" spans="1:16">
      <c r="A3" s="61" t="s">
        <v>18</v>
      </c>
      <c r="B3" s="101">
        <v>16</v>
      </c>
      <c r="C3" s="102">
        <v>100</v>
      </c>
      <c r="D3" s="102">
        <f t="shared" ref="D3:D8" si="0">SUM(B3:C3)</f>
        <v>116</v>
      </c>
      <c r="E3" s="102">
        <v>417</v>
      </c>
      <c r="F3" s="102">
        <f t="shared" ref="F3:F9" si="1">D3+E3</f>
        <v>533</v>
      </c>
      <c r="G3" s="103">
        <v>600</v>
      </c>
      <c r="H3" s="102"/>
      <c r="I3" s="107">
        <f t="shared" ref="I3:I7" si="2">SUM(N3:P3)</f>
        <v>17818</v>
      </c>
      <c r="J3" s="114">
        <f>I3+2*G3</f>
        <v>19018</v>
      </c>
      <c r="K3" s="115">
        <v>1.4</v>
      </c>
      <c r="L3" s="114">
        <f>J3*K3</f>
        <v>26625.2</v>
      </c>
      <c r="M3" s="103">
        <f>(L3-J3)/12</f>
        <v>633.933333333333</v>
      </c>
      <c r="N3" s="89">
        <v>12000</v>
      </c>
      <c r="O3" s="89">
        <v>4960</v>
      </c>
      <c r="P3" s="89">
        <v>858</v>
      </c>
    </row>
    <row r="4" spans="1:16">
      <c r="A4" s="63" t="s">
        <v>19</v>
      </c>
      <c r="B4" s="101">
        <v>220</v>
      </c>
      <c r="C4" s="102">
        <v>100</v>
      </c>
      <c r="D4" s="102">
        <f t="shared" si="0"/>
        <v>320</v>
      </c>
      <c r="E4" s="102">
        <v>594</v>
      </c>
      <c r="F4" s="102">
        <f t="shared" si="1"/>
        <v>914</v>
      </c>
      <c r="G4" s="103">
        <v>700</v>
      </c>
      <c r="H4" s="102"/>
      <c r="I4" s="107">
        <f t="shared" si="2"/>
        <v>18836</v>
      </c>
      <c r="J4" s="114">
        <f t="shared" ref="J3:J8" si="3">I4+2*G4</f>
        <v>20236</v>
      </c>
      <c r="K4" s="115">
        <v>1.5</v>
      </c>
      <c r="L4" s="114">
        <f>J4*K4</f>
        <v>30354</v>
      </c>
      <c r="M4" s="103">
        <f>(L4-J4)/12</f>
        <v>843.166666666667</v>
      </c>
      <c r="N4" s="89">
        <v>10900</v>
      </c>
      <c r="O4" s="89">
        <v>6836</v>
      </c>
      <c r="P4" s="89">
        <v>1100</v>
      </c>
    </row>
    <row r="5" spans="1:16">
      <c r="A5" s="63" t="s">
        <v>20</v>
      </c>
      <c r="B5" s="101">
        <v>21</v>
      </c>
      <c r="C5" s="102">
        <v>100</v>
      </c>
      <c r="D5" s="102">
        <f t="shared" si="0"/>
        <v>121</v>
      </c>
      <c r="E5" s="102">
        <v>168</v>
      </c>
      <c r="F5" s="102">
        <f t="shared" si="1"/>
        <v>289</v>
      </c>
      <c r="G5" s="103">
        <v>300</v>
      </c>
      <c r="H5" s="102">
        <v>921</v>
      </c>
      <c r="I5" s="107">
        <v>12530</v>
      </c>
      <c r="J5" s="114">
        <f t="shared" si="3"/>
        <v>13130</v>
      </c>
      <c r="K5" s="115">
        <v>1.4</v>
      </c>
      <c r="L5" s="114">
        <f>J5*K5</f>
        <v>18382</v>
      </c>
      <c r="M5" s="103">
        <f t="shared" ref="M3:M8" si="4">(L5-J5)/12</f>
        <v>437.666666666667</v>
      </c>
      <c r="N5" s="89">
        <v>9400</v>
      </c>
      <c r="O5" s="89">
        <v>2193</v>
      </c>
      <c r="P5" s="89">
        <v>937</v>
      </c>
    </row>
    <row r="6" spans="1:16">
      <c r="A6" s="63" t="s">
        <v>21</v>
      </c>
      <c r="B6" s="101">
        <v>12</v>
      </c>
      <c r="C6" s="102">
        <v>100</v>
      </c>
      <c r="D6" s="102">
        <f t="shared" si="0"/>
        <v>112</v>
      </c>
      <c r="E6" s="102">
        <v>306</v>
      </c>
      <c r="F6" s="102">
        <f t="shared" si="1"/>
        <v>418</v>
      </c>
      <c r="G6" s="103">
        <v>300</v>
      </c>
      <c r="H6" s="102"/>
      <c r="I6" s="107">
        <f t="shared" si="2"/>
        <v>12591</v>
      </c>
      <c r="J6" s="114">
        <f t="shared" si="3"/>
        <v>13191</v>
      </c>
      <c r="K6" s="115">
        <v>1.4</v>
      </c>
      <c r="L6" s="114">
        <f t="shared" ref="L3:L8" si="5">J6*K6</f>
        <v>18467.4</v>
      </c>
      <c r="M6" s="103">
        <f t="shared" si="4"/>
        <v>439.7</v>
      </c>
      <c r="N6" s="89">
        <v>7500</v>
      </c>
      <c r="O6" s="89">
        <v>4270</v>
      </c>
      <c r="P6" s="89">
        <v>821</v>
      </c>
    </row>
    <row r="7" spans="1:17">
      <c r="A7" s="61" t="s">
        <v>22</v>
      </c>
      <c r="B7" s="101">
        <v>32</v>
      </c>
      <c r="C7" s="102">
        <v>100</v>
      </c>
      <c r="D7" s="102">
        <f t="shared" si="0"/>
        <v>132</v>
      </c>
      <c r="E7" s="104">
        <v>100</v>
      </c>
      <c r="F7" s="102">
        <f t="shared" si="1"/>
        <v>232</v>
      </c>
      <c r="G7" s="103">
        <v>200</v>
      </c>
      <c r="H7" s="102"/>
      <c r="I7" s="107">
        <f t="shared" si="2"/>
        <v>1613</v>
      </c>
      <c r="J7" s="114">
        <f t="shared" si="3"/>
        <v>2013</v>
      </c>
      <c r="K7" s="116">
        <v>3.5</v>
      </c>
      <c r="L7" s="114">
        <f t="shared" si="5"/>
        <v>7045.5</v>
      </c>
      <c r="M7" s="103">
        <v>200</v>
      </c>
      <c r="N7" s="89">
        <v>1000</v>
      </c>
      <c r="O7" s="89">
        <v>278</v>
      </c>
      <c r="P7" s="89">
        <v>335</v>
      </c>
      <c r="Q7" s="22" t="s">
        <v>23</v>
      </c>
    </row>
    <row r="8" spans="1:17">
      <c r="A8" s="61" t="s">
        <v>24</v>
      </c>
      <c r="B8" s="101">
        <v>18</v>
      </c>
      <c r="C8" s="102">
        <v>100</v>
      </c>
      <c r="D8" s="102">
        <f t="shared" si="0"/>
        <v>118</v>
      </c>
      <c r="E8" s="102">
        <v>93</v>
      </c>
      <c r="F8" s="102">
        <f t="shared" si="1"/>
        <v>211</v>
      </c>
      <c r="G8" s="103">
        <v>100</v>
      </c>
      <c r="H8" s="102">
        <v>447</v>
      </c>
      <c r="I8" s="107">
        <v>2020</v>
      </c>
      <c r="J8" s="114">
        <f t="shared" si="3"/>
        <v>2220</v>
      </c>
      <c r="K8" s="116">
        <v>4</v>
      </c>
      <c r="L8" s="114">
        <f t="shared" si="5"/>
        <v>8880</v>
      </c>
      <c r="M8" s="103">
        <f t="shared" si="4"/>
        <v>555</v>
      </c>
      <c r="N8" s="89">
        <v>938</v>
      </c>
      <c r="O8" s="89">
        <v>844</v>
      </c>
      <c r="P8" s="89">
        <v>238</v>
      </c>
      <c r="Q8" s="22" t="s">
        <v>23</v>
      </c>
    </row>
    <row r="9" spans="1:16">
      <c r="A9" s="61" t="s">
        <v>25</v>
      </c>
      <c r="B9" s="101">
        <f>B3+B4+B5+B6+B7+B8</f>
        <v>319</v>
      </c>
      <c r="C9" s="101">
        <f>C3+C4+C5+C6+C7+C8</f>
        <v>600</v>
      </c>
      <c r="D9" s="101">
        <f>D3+D4+D5+D6+D7+D8</f>
        <v>919</v>
      </c>
      <c r="E9" s="101">
        <f>E3+E4+E5+E6+E7+E8</f>
        <v>1678</v>
      </c>
      <c r="F9" s="101">
        <f t="shared" si="1"/>
        <v>2597</v>
      </c>
      <c r="G9" s="103">
        <f>SUM(G3:G8)</f>
        <v>2200</v>
      </c>
      <c r="H9" s="101"/>
      <c r="I9" s="101"/>
      <c r="J9" s="117"/>
      <c r="K9" s="117"/>
      <c r="L9" s="117"/>
      <c r="M9" s="103">
        <f>SUM(M3:M8)</f>
        <v>3109.46666666667</v>
      </c>
      <c r="N9" s="89"/>
      <c r="O9" s="89"/>
      <c r="P9" s="89"/>
    </row>
    <row r="12" spans="1:18">
      <c r="A12" s="60" t="s">
        <v>1</v>
      </c>
      <c r="B12" s="99" t="s">
        <v>9</v>
      </c>
      <c r="C12" s="100" t="s">
        <v>7</v>
      </c>
      <c r="D12" s="105" t="s">
        <v>26</v>
      </c>
      <c r="E12" s="105" t="s">
        <v>27</v>
      </c>
      <c r="F12" s="106" t="s">
        <v>28</v>
      </c>
      <c r="G12" s="105" t="s">
        <v>29</v>
      </c>
      <c r="H12" s="105" t="s">
        <v>30</v>
      </c>
      <c r="I12" s="105" t="s">
        <v>31</v>
      </c>
      <c r="J12" s="105" t="s">
        <v>32</v>
      </c>
      <c r="K12" s="105" t="s">
        <v>33</v>
      </c>
      <c r="L12" s="105" t="s">
        <v>34</v>
      </c>
      <c r="M12" s="105" t="s">
        <v>35</v>
      </c>
      <c r="N12" s="105" t="s">
        <v>36</v>
      </c>
      <c r="O12" s="105" t="s">
        <v>37</v>
      </c>
      <c r="P12" s="105" t="s">
        <v>38</v>
      </c>
      <c r="Q12" s="105" t="s">
        <v>26</v>
      </c>
      <c r="R12" s="105" t="s">
        <v>27</v>
      </c>
    </row>
    <row r="13" spans="1:18">
      <c r="A13" s="61" t="s">
        <v>18</v>
      </c>
      <c r="B13" s="107">
        <v>17818</v>
      </c>
      <c r="C13" s="103">
        <v>600</v>
      </c>
      <c r="D13" s="93">
        <f>B13+C13</f>
        <v>18418</v>
      </c>
      <c r="E13" s="93">
        <f>D13+C13</f>
        <v>19018</v>
      </c>
      <c r="F13" s="103">
        <v>633.933333333333</v>
      </c>
      <c r="G13" s="108">
        <f t="shared" ref="G13:G18" si="6">E13+F13</f>
        <v>19651.9333333333</v>
      </c>
      <c r="H13" s="108">
        <f t="shared" ref="H13:H18" si="7">G13+F13</f>
        <v>20285.8666666667</v>
      </c>
      <c r="I13" s="108">
        <f t="shared" ref="I13:I18" si="8">H13+F13</f>
        <v>20919.8</v>
      </c>
      <c r="J13" s="108">
        <f t="shared" ref="J13:J18" si="9">I13+F13</f>
        <v>21553.7333333333</v>
      </c>
      <c r="K13" s="108">
        <f t="shared" ref="K13:K18" si="10">J13+F13</f>
        <v>22187.6666666667</v>
      </c>
      <c r="L13" s="108">
        <f t="shared" ref="L13:L18" si="11">K13+F13</f>
        <v>22821.6</v>
      </c>
      <c r="M13" s="108">
        <f t="shared" ref="M13:M18" si="12">L13+F13</f>
        <v>23455.5333333333</v>
      </c>
      <c r="N13" s="108">
        <f t="shared" ref="N13:N18" si="13">M13+F13</f>
        <v>24089.4666666667</v>
      </c>
      <c r="O13" s="108">
        <f t="shared" ref="O13:O18" si="14">N13+F13</f>
        <v>24723.4</v>
      </c>
      <c r="P13" s="108">
        <f t="shared" ref="P13:P18" si="15">O13+F13</f>
        <v>25357.3333333333</v>
      </c>
      <c r="Q13" s="108">
        <f t="shared" ref="Q13:Q18" si="16">P13+F13</f>
        <v>25991.2666666667</v>
      </c>
      <c r="R13" s="108">
        <f t="shared" ref="R13:R18" si="17">Q13+F13</f>
        <v>26625.2</v>
      </c>
    </row>
    <row r="14" spans="1:18">
      <c r="A14" s="63" t="s">
        <v>19</v>
      </c>
      <c r="B14" s="107">
        <v>18836</v>
      </c>
      <c r="C14" s="103">
        <v>700</v>
      </c>
      <c r="D14" s="93">
        <f t="shared" ref="D13:D18" si="18">B14+C14</f>
        <v>19536</v>
      </c>
      <c r="E14" s="93">
        <f t="shared" ref="E13:E18" si="19">D14+C14</f>
        <v>20236</v>
      </c>
      <c r="F14" s="103">
        <v>843.166666666667</v>
      </c>
      <c r="G14" s="108">
        <f t="shared" si="6"/>
        <v>21079.1666666667</v>
      </c>
      <c r="H14" s="108">
        <f t="shared" si="7"/>
        <v>21922.3333333333</v>
      </c>
      <c r="I14" s="108">
        <f t="shared" si="8"/>
        <v>22765.5</v>
      </c>
      <c r="J14" s="108">
        <f t="shared" si="9"/>
        <v>23608.6666666667</v>
      </c>
      <c r="K14" s="108">
        <f t="shared" si="10"/>
        <v>24451.8333333333</v>
      </c>
      <c r="L14" s="108">
        <f t="shared" si="11"/>
        <v>25295</v>
      </c>
      <c r="M14" s="108">
        <f t="shared" si="12"/>
        <v>26138.1666666667</v>
      </c>
      <c r="N14" s="108">
        <f t="shared" si="13"/>
        <v>26981.3333333333</v>
      </c>
      <c r="O14" s="108">
        <f t="shared" si="14"/>
        <v>27824.5</v>
      </c>
      <c r="P14" s="108">
        <f t="shared" si="15"/>
        <v>28667.6666666667</v>
      </c>
      <c r="Q14" s="108">
        <f t="shared" si="16"/>
        <v>29510.8333333333</v>
      </c>
      <c r="R14" s="108">
        <f t="shared" si="17"/>
        <v>30354</v>
      </c>
    </row>
    <row r="15" spans="1:18">
      <c r="A15" s="63" t="s">
        <v>20</v>
      </c>
      <c r="B15" s="107">
        <v>12530</v>
      </c>
      <c r="C15" s="103">
        <v>300</v>
      </c>
      <c r="D15" s="93">
        <f t="shared" si="18"/>
        <v>12830</v>
      </c>
      <c r="E15" s="93">
        <f t="shared" si="19"/>
        <v>13130</v>
      </c>
      <c r="F15" s="103">
        <v>437.666666666667</v>
      </c>
      <c r="G15" s="108">
        <f t="shared" si="6"/>
        <v>13567.6666666667</v>
      </c>
      <c r="H15" s="108">
        <f t="shared" si="7"/>
        <v>14005.3333333333</v>
      </c>
      <c r="I15" s="108">
        <f t="shared" si="8"/>
        <v>14443</v>
      </c>
      <c r="J15" s="108">
        <f t="shared" si="9"/>
        <v>14880.6666666667</v>
      </c>
      <c r="K15" s="108">
        <f t="shared" si="10"/>
        <v>15318.3333333333</v>
      </c>
      <c r="L15" s="108">
        <f t="shared" si="11"/>
        <v>15756</v>
      </c>
      <c r="M15" s="108">
        <f t="shared" si="12"/>
        <v>16193.6666666667</v>
      </c>
      <c r="N15" s="108">
        <f t="shared" si="13"/>
        <v>16631.3333333333</v>
      </c>
      <c r="O15" s="108">
        <f t="shared" si="14"/>
        <v>17069</v>
      </c>
      <c r="P15" s="108">
        <f t="shared" si="15"/>
        <v>17506.6666666667</v>
      </c>
      <c r="Q15" s="108">
        <f t="shared" si="16"/>
        <v>17944.3333333333</v>
      </c>
      <c r="R15" s="108">
        <f t="shared" si="17"/>
        <v>18382</v>
      </c>
    </row>
    <row r="16" spans="1:18">
      <c r="A16" s="63" t="s">
        <v>21</v>
      </c>
      <c r="B16" s="107">
        <v>12591</v>
      </c>
      <c r="C16" s="103">
        <v>300</v>
      </c>
      <c r="D16" s="93">
        <f t="shared" si="18"/>
        <v>12891</v>
      </c>
      <c r="E16" s="93">
        <f t="shared" si="19"/>
        <v>13191</v>
      </c>
      <c r="F16" s="103">
        <v>439.7</v>
      </c>
      <c r="G16" s="108">
        <f t="shared" si="6"/>
        <v>13630.7</v>
      </c>
      <c r="H16" s="108">
        <f t="shared" si="7"/>
        <v>14070.4</v>
      </c>
      <c r="I16" s="108">
        <f t="shared" si="8"/>
        <v>14510.1</v>
      </c>
      <c r="J16" s="108">
        <f t="shared" si="9"/>
        <v>14949.8</v>
      </c>
      <c r="K16" s="108">
        <f t="shared" si="10"/>
        <v>15389.5</v>
      </c>
      <c r="L16" s="108">
        <f t="shared" si="11"/>
        <v>15829.2</v>
      </c>
      <c r="M16" s="108">
        <f t="shared" si="12"/>
        <v>16268.9</v>
      </c>
      <c r="N16" s="108">
        <f t="shared" si="13"/>
        <v>16708.6</v>
      </c>
      <c r="O16" s="108">
        <f t="shared" si="14"/>
        <v>17148.3</v>
      </c>
      <c r="P16" s="108">
        <f t="shared" si="15"/>
        <v>17588</v>
      </c>
      <c r="Q16" s="108">
        <f t="shared" si="16"/>
        <v>18027.7</v>
      </c>
      <c r="R16" s="108">
        <f t="shared" si="17"/>
        <v>18467.4</v>
      </c>
    </row>
    <row r="17" spans="1:18">
      <c r="A17" s="61" t="s">
        <v>22</v>
      </c>
      <c r="B17" s="107">
        <v>1613</v>
      </c>
      <c r="C17" s="103">
        <v>200</v>
      </c>
      <c r="D17" s="93">
        <f t="shared" si="18"/>
        <v>1813</v>
      </c>
      <c r="E17" s="93">
        <f t="shared" si="19"/>
        <v>2013</v>
      </c>
      <c r="F17" s="103">
        <v>200</v>
      </c>
      <c r="G17" s="108">
        <f t="shared" si="6"/>
        <v>2213</v>
      </c>
      <c r="H17" s="108">
        <f t="shared" si="7"/>
        <v>2413</v>
      </c>
      <c r="I17" s="108">
        <f t="shared" si="8"/>
        <v>2613</v>
      </c>
      <c r="J17" s="108">
        <f t="shared" si="9"/>
        <v>2813</v>
      </c>
      <c r="K17" s="108">
        <f t="shared" si="10"/>
        <v>3013</v>
      </c>
      <c r="L17" s="108">
        <f t="shared" si="11"/>
        <v>3213</v>
      </c>
      <c r="M17" s="108">
        <f t="shared" si="12"/>
        <v>3413</v>
      </c>
      <c r="N17" s="108">
        <f t="shared" si="13"/>
        <v>3613</v>
      </c>
      <c r="O17" s="108">
        <f t="shared" si="14"/>
        <v>3813</v>
      </c>
      <c r="P17" s="108">
        <f t="shared" si="15"/>
        <v>4013</v>
      </c>
      <c r="Q17" s="108">
        <f t="shared" si="16"/>
        <v>4213</v>
      </c>
      <c r="R17" s="108">
        <f t="shared" si="17"/>
        <v>4413</v>
      </c>
    </row>
    <row r="18" spans="1:18">
      <c r="A18" s="61" t="s">
        <v>24</v>
      </c>
      <c r="B18" s="107">
        <v>2020</v>
      </c>
      <c r="C18" s="103">
        <v>100</v>
      </c>
      <c r="D18" s="93">
        <f t="shared" si="18"/>
        <v>2120</v>
      </c>
      <c r="E18" s="93">
        <f t="shared" si="19"/>
        <v>2220</v>
      </c>
      <c r="F18" s="103">
        <v>555</v>
      </c>
      <c r="G18" s="108">
        <f t="shared" si="6"/>
        <v>2775</v>
      </c>
      <c r="H18" s="108">
        <f t="shared" si="7"/>
        <v>3330</v>
      </c>
      <c r="I18" s="108">
        <f t="shared" si="8"/>
        <v>3885</v>
      </c>
      <c r="J18" s="108">
        <f t="shared" si="9"/>
        <v>4440</v>
      </c>
      <c r="K18" s="108">
        <f t="shared" si="10"/>
        <v>4995</v>
      </c>
      <c r="L18" s="108">
        <f t="shared" si="11"/>
        <v>5550</v>
      </c>
      <c r="M18" s="108">
        <f t="shared" si="12"/>
        <v>6105</v>
      </c>
      <c r="N18" s="108">
        <f t="shared" si="13"/>
        <v>6660</v>
      </c>
      <c r="O18" s="108">
        <f t="shared" si="14"/>
        <v>7215</v>
      </c>
      <c r="P18" s="108">
        <f t="shared" si="15"/>
        <v>7770</v>
      </c>
      <c r="Q18" s="108">
        <f t="shared" si="16"/>
        <v>8325</v>
      </c>
      <c r="R18" s="108">
        <f t="shared" si="17"/>
        <v>8880</v>
      </c>
    </row>
    <row r="20" spans="3:8">
      <c r="C20" s="106" t="s">
        <v>39</v>
      </c>
      <c r="D20" s="106" t="s">
        <v>40</v>
      </c>
      <c r="E20" s="106" t="s">
        <v>41</v>
      </c>
      <c r="F20" s="106" t="s">
        <v>42</v>
      </c>
      <c r="G20" s="109" t="s">
        <v>43</v>
      </c>
      <c r="H20" s="109" t="s">
        <v>44</v>
      </c>
    </row>
    <row r="21" spans="2:8">
      <c r="B21" s="61" t="s">
        <v>18</v>
      </c>
      <c r="C21" s="110">
        <f>B3*1.4+C3</f>
        <v>122.4</v>
      </c>
      <c r="D21" s="81">
        <f>C21*12</f>
        <v>1468.8</v>
      </c>
      <c r="E21" s="22">
        <f t="shared" ref="E21:E26" si="20">C21-B3-C3</f>
        <v>6.40000000000001</v>
      </c>
      <c r="F21" s="22">
        <f t="shared" ref="F21:F26" si="21">E21*12</f>
        <v>76.8000000000001</v>
      </c>
      <c r="G21" s="22">
        <v>50</v>
      </c>
      <c r="H21" s="111">
        <f t="shared" ref="H21:H27" si="22">F21*G21*7</f>
        <v>26880</v>
      </c>
    </row>
    <row r="22" spans="2:8">
      <c r="B22" s="63" t="s">
        <v>19</v>
      </c>
      <c r="C22" s="110">
        <f>B4*1.4+C4</f>
        <v>408</v>
      </c>
      <c r="D22" s="81">
        <f>C22*12</f>
        <v>4896</v>
      </c>
      <c r="E22" s="22">
        <f t="shared" si="20"/>
        <v>88</v>
      </c>
      <c r="F22" s="22">
        <f t="shared" si="21"/>
        <v>1056</v>
      </c>
      <c r="G22" s="22">
        <v>40</v>
      </c>
      <c r="H22" s="111">
        <f t="shared" si="22"/>
        <v>295680</v>
      </c>
    </row>
    <row r="23" spans="2:8">
      <c r="B23" s="63" t="s">
        <v>20</v>
      </c>
      <c r="C23" s="110">
        <f t="shared" ref="C21:C26" si="23">B5*1.4+C5</f>
        <v>129.4</v>
      </c>
      <c r="D23" s="81">
        <f t="shared" ref="D23:D28" si="24">C23*12</f>
        <v>1552.8</v>
      </c>
      <c r="E23" s="22">
        <f t="shared" si="20"/>
        <v>8.40000000000001</v>
      </c>
      <c r="F23" s="22">
        <f t="shared" si="21"/>
        <v>100.8</v>
      </c>
      <c r="G23" s="22">
        <v>40</v>
      </c>
      <c r="H23" s="111">
        <f t="shared" si="22"/>
        <v>28224</v>
      </c>
    </row>
    <row r="24" spans="2:8">
      <c r="B24" s="63" t="s">
        <v>21</v>
      </c>
      <c r="C24" s="110">
        <f t="shared" si="23"/>
        <v>116.8</v>
      </c>
      <c r="D24" s="81">
        <f t="shared" si="24"/>
        <v>1401.6</v>
      </c>
      <c r="E24" s="22">
        <f t="shared" si="20"/>
        <v>4.8</v>
      </c>
      <c r="F24" s="22">
        <f t="shared" si="21"/>
        <v>57.6</v>
      </c>
      <c r="G24" s="22">
        <v>40</v>
      </c>
      <c r="H24" s="111">
        <f t="shared" si="22"/>
        <v>16128</v>
      </c>
    </row>
    <row r="25" spans="2:8">
      <c r="B25" s="61" t="s">
        <v>22</v>
      </c>
      <c r="C25" s="110">
        <f t="shared" si="23"/>
        <v>144.8</v>
      </c>
      <c r="D25" s="81">
        <f t="shared" si="24"/>
        <v>1737.6</v>
      </c>
      <c r="E25" s="22">
        <f t="shared" si="20"/>
        <v>12.8</v>
      </c>
      <c r="F25" s="22">
        <f t="shared" si="21"/>
        <v>153.6</v>
      </c>
      <c r="G25" s="22">
        <v>30</v>
      </c>
      <c r="H25" s="111">
        <f t="shared" si="22"/>
        <v>32256</v>
      </c>
    </row>
    <row r="26" spans="2:8">
      <c r="B26" s="61" t="s">
        <v>24</v>
      </c>
      <c r="C26" s="110">
        <f t="shared" si="23"/>
        <v>125.2</v>
      </c>
      <c r="D26" s="81">
        <f t="shared" si="24"/>
        <v>1502.4</v>
      </c>
      <c r="E26" s="22">
        <f t="shared" si="20"/>
        <v>7.2</v>
      </c>
      <c r="F26" s="22">
        <f t="shared" si="21"/>
        <v>86.4</v>
      </c>
      <c r="G26" s="22">
        <v>40</v>
      </c>
      <c r="H26" s="111">
        <f t="shared" si="22"/>
        <v>24192</v>
      </c>
    </row>
    <row r="27" spans="3:8">
      <c r="C27" s="110">
        <f t="shared" ref="C27:F27" si="25">SUM(C21:C26)</f>
        <v>1046.6</v>
      </c>
      <c r="D27" s="110">
        <f t="shared" si="25"/>
        <v>12559.2</v>
      </c>
      <c r="E27" s="110">
        <f t="shared" si="25"/>
        <v>127.6</v>
      </c>
      <c r="F27" s="110">
        <f t="shared" si="25"/>
        <v>1531.2</v>
      </c>
      <c r="H27" s="111"/>
    </row>
    <row r="28" spans="3:8">
      <c r="C28" s="110"/>
      <c r="D28" s="81"/>
      <c r="H28" s="11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D19" sqref="D19"/>
    </sheetView>
  </sheetViews>
  <sheetFormatPr defaultColWidth="8.72727272727273" defaultRowHeight="16.5"/>
  <cols>
    <col min="1" max="1" width="8.72727272727273" style="22"/>
    <col min="2" max="2" width="14" style="22" customWidth="1"/>
    <col min="3" max="4" width="14.8181818181818" style="22" customWidth="1"/>
    <col min="5" max="6" width="8.72727272727273" style="22"/>
    <col min="7" max="7" width="12.4545454545455" style="22"/>
    <col min="8" max="8" width="8.72727272727273" style="22"/>
    <col min="9" max="9" width="13" style="22" customWidth="1"/>
    <col min="10" max="10" width="8.72727272727273" style="22"/>
    <col min="11" max="11" width="11.6363636363636" style="22" customWidth="1"/>
    <col min="12" max="12" width="13.2727272727273" style="22" customWidth="1"/>
    <col min="13" max="16384" width="8.72727272727273" style="22"/>
  </cols>
  <sheetData>
    <row r="1" s="22" customFormat="1" spans="1:12">
      <c r="A1" s="22" t="s">
        <v>45</v>
      </c>
      <c r="B1" s="22" t="s">
        <v>46</v>
      </c>
      <c r="C1" s="22" t="s">
        <v>47</v>
      </c>
      <c r="D1" s="23" t="s">
        <v>1</v>
      </c>
      <c r="E1" s="26" t="s">
        <v>48</v>
      </c>
      <c r="F1" s="87" t="s">
        <v>49</v>
      </c>
      <c r="G1" s="88"/>
      <c r="H1" s="88"/>
      <c r="I1" s="88"/>
      <c r="J1" s="88"/>
      <c r="K1" s="95"/>
      <c r="L1" s="96" t="s">
        <v>50</v>
      </c>
    </row>
    <row r="2" s="22" customFormat="1" spans="1:12">
      <c r="A2" s="89">
        <v>9</v>
      </c>
      <c r="B2" s="89" t="s">
        <v>51</v>
      </c>
      <c r="C2" s="90">
        <f>210000*SUM(A2:A9)</f>
        <v>4830000</v>
      </c>
      <c r="D2" s="23"/>
      <c r="E2" s="26"/>
      <c r="F2" s="26" t="s">
        <v>45</v>
      </c>
      <c r="G2" s="45" t="s">
        <v>52</v>
      </c>
      <c r="H2" s="45" t="s">
        <v>53</v>
      </c>
      <c r="I2" s="45" t="s">
        <v>54</v>
      </c>
      <c r="J2" s="45" t="s">
        <v>55</v>
      </c>
      <c r="K2" s="45" t="s">
        <v>56</v>
      </c>
      <c r="L2" s="96"/>
    </row>
    <row r="3" s="22" customFormat="1" spans="1:12">
      <c r="A3" s="89">
        <v>3</v>
      </c>
      <c r="B3" s="89" t="s">
        <v>57</v>
      </c>
      <c r="C3" s="90"/>
      <c r="D3" s="14" t="s">
        <v>58</v>
      </c>
      <c r="E3" s="91">
        <v>0.252471990684148</v>
      </c>
      <c r="F3" s="92">
        <f>SUM(A2:A9)*E3</f>
        <v>5.8068557857354</v>
      </c>
      <c r="G3" s="93">
        <f>C2*E3</f>
        <v>1219439.71500443</v>
      </c>
      <c r="H3" s="93">
        <f t="shared" ref="H3:H7" si="0">7000*12</f>
        <v>84000</v>
      </c>
      <c r="I3" s="93">
        <f>(20000+10000)*12</f>
        <v>360000</v>
      </c>
      <c r="J3" s="93">
        <f t="shared" ref="J3:J7" si="1">1000*12</f>
        <v>12000</v>
      </c>
      <c r="K3" s="93">
        <f t="shared" ref="K3:K7" si="2">4000*12</f>
        <v>48000</v>
      </c>
      <c r="L3" s="28">
        <f t="shared" ref="L3:L8" si="3">SUM(G3:K3)</f>
        <v>1723439.71500443</v>
      </c>
    </row>
    <row r="4" s="22" customFormat="1" spans="1:12">
      <c r="A4" s="89">
        <v>3</v>
      </c>
      <c r="B4" s="89" t="s">
        <v>59</v>
      </c>
      <c r="C4" s="90"/>
      <c r="D4" s="14" t="s">
        <v>60</v>
      </c>
      <c r="E4" s="46">
        <v>0.21779039378938</v>
      </c>
      <c r="F4" s="92">
        <f>SUM(A2:A9)*E4</f>
        <v>5.00917905715574</v>
      </c>
      <c r="G4" s="93">
        <f>C2*E4</f>
        <v>1051927.60200271</v>
      </c>
      <c r="H4" s="93">
        <f t="shared" si="0"/>
        <v>84000</v>
      </c>
      <c r="I4" s="93">
        <f>(20000+10000)*12</f>
        <v>360000</v>
      </c>
      <c r="J4" s="93">
        <f t="shared" si="1"/>
        <v>12000</v>
      </c>
      <c r="K4" s="93">
        <f t="shared" si="2"/>
        <v>48000</v>
      </c>
      <c r="L4" s="28">
        <f t="shared" si="3"/>
        <v>1555927.60200271</v>
      </c>
    </row>
    <row r="5" s="22" customFormat="1" spans="1:12">
      <c r="A5" s="89">
        <v>2</v>
      </c>
      <c r="B5" s="89" t="s">
        <v>61</v>
      </c>
      <c r="C5" s="90"/>
      <c r="D5" s="14" t="s">
        <v>62</v>
      </c>
      <c r="E5" s="46">
        <v>0.182400902981949</v>
      </c>
      <c r="F5" s="92">
        <f>SUM(A2:A9)*E5</f>
        <v>4.19522076858483</v>
      </c>
      <c r="G5" s="93">
        <f>C2*E5</f>
        <v>880996.361402814</v>
      </c>
      <c r="H5" s="93">
        <f t="shared" si="0"/>
        <v>84000</v>
      </c>
      <c r="I5" s="93">
        <f>(20000+10000)*12</f>
        <v>360000</v>
      </c>
      <c r="J5" s="93">
        <f t="shared" si="1"/>
        <v>12000</v>
      </c>
      <c r="K5" s="93">
        <f t="shared" si="2"/>
        <v>48000</v>
      </c>
      <c r="L5" s="28">
        <f t="shared" si="3"/>
        <v>1384996.36140281</v>
      </c>
    </row>
    <row r="6" s="22" customFormat="1" spans="1:12">
      <c r="A6" s="89">
        <v>2</v>
      </c>
      <c r="B6" s="89" t="s">
        <v>63</v>
      </c>
      <c r="C6" s="90"/>
      <c r="D6" s="14" t="s">
        <v>64</v>
      </c>
      <c r="E6" s="46">
        <v>0.145495558251884</v>
      </c>
      <c r="F6" s="92">
        <f>SUM(A2:A9)*E6</f>
        <v>3.34639783979333</v>
      </c>
      <c r="G6" s="93">
        <f>C2*E6</f>
        <v>702743.5463566</v>
      </c>
      <c r="H6" s="93">
        <f t="shared" si="0"/>
        <v>84000</v>
      </c>
      <c r="I6" s="93">
        <f>(10000+10000)*12</f>
        <v>240000</v>
      </c>
      <c r="J6" s="93">
        <f t="shared" si="1"/>
        <v>12000</v>
      </c>
      <c r="K6" s="93">
        <f t="shared" si="2"/>
        <v>48000</v>
      </c>
      <c r="L6" s="28">
        <f t="shared" si="3"/>
        <v>1086743.5463566</v>
      </c>
    </row>
    <row r="7" s="22" customFormat="1" spans="1:12">
      <c r="A7" s="89">
        <v>2</v>
      </c>
      <c r="B7" s="89" t="s">
        <v>65</v>
      </c>
      <c r="C7" s="90"/>
      <c r="D7" s="14" t="s">
        <v>66</v>
      </c>
      <c r="E7" s="46">
        <v>0.125162169809394</v>
      </c>
      <c r="F7" s="92">
        <f>SUM(A2:A9)*E7</f>
        <v>2.87872990561606</v>
      </c>
      <c r="G7" s="93">
        <f>C2*E7</f>
        <v>604533.280179373</v>
      </c>
      <c r="H7" s="93">
        <f t="shared" si="0"/>
        <v>84000</v>
      </c>
      <c r="I7" s="93">
        <f>(5000+0)*12</f>
        <v>60000</v>
      </c>
      <c r="J7" s="93">
        <f t="shared" si="1"/>
        <v>12000</v>
      </c>
      <c r="K7" s="93">
        <f t="shared" si="2"/>
        <v>48000</v>
      </c>
      <c r="L7" s="28">
        <f t="shared" si="3"/>
        <v>808533.280179373</v>
      </c>
    </row>
    <row r="8" s="22" customFormat="1" spans="1:12">
      <c r="A8" s="89">
        <v>1</v>
      </c>
      <c r="B8" s="89" t="s">
        <v>67</v>
      </c>
      <c r="C8" s="90"/>
      <c r="D8" s="14" t="s">
        <v>68</v>
      </c>
      <c r="E8" s="46">
        <v>0.0766789844832441</v>
      </c>
      <c r="F8" s="92">
        <f>SUM(A2:A9)*E8</f>
        <v>1.76361664311461</v>
      </c>
      <c r="G8" s="93">
        <f>C2*E8</f>
        <v>370359.495054069</v>
      </c>
      <c r="H8" s="93">
        <f>6000*12</f>
        <v>72000</v>
      </c>
      <c r="I8" s="93">
        <f>(5000+5000)*12</f>
        <v>120000</v>
      </c>
      <c r="J8" s="93">
        <f>800*12</f>
        <v>9600</v>
      </c>
      <c r="K8" s="93">
        <f>3000*12</f>
        <v>36000</v>
      </c>
      <c r="L8" s="28">
        <f t="shared" si="3"/>
        <v>607959.495054069</v>
      </c>
    </row>
    <row r="9" s="22" customFormat="1" spans="1:4">
      <c r="A9" s="89">
        <v>1</v>
      </c>
      <c r="B9" s="89" t="s">
        <v>69</v>
      </c>
      <c r="C9" s="90"/>
      <c r="D9" s="90"/>
    </row>
    <row r="10" s="22" customFormat="1" spans="5:5">
      <c r="E10" s="94" t="s">
        <v>70</v>
      </c>
    </row>
  </sheetData>
  <mergeCells count="5">
    <mergeCell ref="F1:K1"/>
    <mergeCell ref="C2:C9"/>
    <mergeCell ref="D1:D2"/>
    <mergeCell ref="E1:E2"/>
    <mergeCell ref="L1:L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8"/>
  <sheetViews>
    <sheetView zoomScale="80" zoomScaleNormal="80" workbookViewId="0">
      <pane xSplit="1" ySplit="2" topLeftCell="B3" activePane="bottomRight" state="frozen"/>
      <selection/>
      <selection pane="topRight"/>
      <selection pane="bottomLeft"/>
      <selection pane="bottomRight" activeCell="G29" sqref="G29"/>
    </sheetView>
  </sheetViews>
  <sheetFormatPr defaultColWidth="8.72727272727273" defaultRowHeight="16.5"/>
  <cols>
    <col min="1" max="1" width="11.2545454545455" style="22" customWidth="1"/>
    <col min="2" max="2" width="12.8454545454545" style="22" customWidth="1"/>
    <col min="3" max="3" width="18.3090909090909" style="22" customWidth="1"/>
    <col min="4" max="4" width="15.2181818181818" style="22" customWidth="1"/>
    <col min="5" max="5" width="14.8818181818182" style="22" customWidth="1"/>
    <col min="6" max="6" width="13.1727272727273" style="22" customWidth="1"/>
    <col min="7" max="7" width="16.8181818181818" style="22" customWidth="1"/>
    <col min="8" max="8" width="12.3818181818182" style="22" customWidth="1"/>
    <col min="9" max="9" width="12.7272727272727" style="22" customWidth="1"/>
    <col min="10" max="10" width="12.1545454545455" style="22" customWidth="1"/>
    <col min="11" max="11" width="11.9272727272727" style="22" customWidth="1"/>
    <col min="12" max="12" width="10" style="22" customWidth="1"/>
    <col min="13" max="13" width="11.3636363636364" style="22" customWidth="1"/>
    <col min="14" max="14" width="11.1363636363636" style="22" customWidth="1"/>
    <col min="15" max="15" width="14.2909090909091" style="22" customWidth="1"/>
    <col min="16" max="16" width="12.4636363636364" style="22" customWidth="1"/>
    <col min="17" max="17" width="16.5545454545455" style="22" customWidth="1"/>
    <col min="18" max="18" width="10.3090909090909" style="22" customWidth="1"/>
    <col min="19" max="19" width="12.5272727272727" style="22" customWidth="1"/>
    <col min="20" max="20" width="11.3181818181818" style="22" customWidth="1"/>
    <col min="21" max="21" width="13.1090909090909" style="22" customWidth="1"/>
    <col min="22" max="22" width="12.2181818181818" style="22" customWidth="1"/>
    <col min="23" max="24" width="12.3181818181818" style="22" customWidth="1"/>
    <col min="25" max="25" width="12.2272727272727" style="22" customWidth="1"/>
    <col min="26" max="26" width="11.0090909090909" style="22" customWidth="1"/>
    <col min="27" max="27" width="11.2090909090909" style="22" customWidth="1"/>
    <col min="28" max="28" width="12.0090909090909" style="22" customWidth="1"/>
    <col min="29" max="30" width="11.2090909090909" style="22" customWidth="1"/>
    <col min="31" max="31" width="14.6363636363636" style="22" customWidth="1"/>
    <col min="32" max="32" width="13.7363636363636" style="22" customWidth="1"/>
    <col min="33" max="35" width="15.2727272727273" style="22"/>
    <col min="36" max="36" width="8.17272727272727" style="22" customWidth="1"/>
    <col min="37" max="37" width="8.72727272727273" style="22"/>
    <col min="38" max="38" width="7.97272727272727" style="22" customWidth="1"/>
    <col min="39" max="39" width="8.72727272727273" style="22"/>
    <col min="40" max="40" width="15.2727272727273" style="22"/>
    <col min="41" max="42" width="10.6363636363636" style="22"/>
    <col min="43" max="46" width="8.72727272727273" style="22"/>
    <col min="47" max="47" width="15.2727272727273" style="22"/>
    <col min="48" max="48" width="12.4545454545455" style="22"/>
    <col min="49" max="49" width="15.2727272727273" style="22"/>
    <col min="50" max="50" width="12.6363636363636" style="22"/>
    <col min="51" max="51" width="13.8181818181818" style="22"/>
    <col min="52" max="52" width="12.4545454545455" style="22"/>
    <col min="53" max="53" width="11.1818181818182" style="22"/>
    <col min="54" max="55" width="8.72727272727273" style="22"/>
    <col min="56" max="57" width="12.4545454545455" style="22"/>
    <col min="58" max="16384" width="8.72727272727273" style="22"/>
  </cols>
  <sheetData>
    <row r="1" spans="1:62">
      <c r="A1" s="23" t="s">
        <v>1</v>
      </c>
      <c r="B1" s="23" t="s">
        <v>71</v>
      </c>
      <c r="C1" s="24" t="s">
        <v>72</v>
      </c>
      <c r="D1" s="25" t="s">
        <v>73</v>
      </c>
      <c r="E1" s="26" t="s">
        <v>74</v>
      </c>
      <c r="F1" s="27" t="s">
        <v>75</v>
      </c>
      <c r="G1" s="26" t="s">
        <v>76</v>
      </c>
      <c r="H1" s="23" t="s">
        <v>77</v>
      </c>
      <c r="I1" s="26" t="s">
        <v>48</v>
      </c>
      <c r="J1" s="23" t="s">
        <v>49</v>
      </c>
      <c r="K1" s="23"/>
      <c r="L1" s="23"/>
      <c r="M1" s="23"/>
      <c r="N1" s="23"/>
      <c r="O1" s="44" t="s">
        <v>78</v>
      </c>
      <c r="P1" s="26" t="s">
        <v>79</v>
      </c>
      <c r="Q1" s="24" t="s">
        <v>80</v>
      </c>
      <c r="R1" s="23" t="s">
        <v>81</v>
      </c>
      <c r="S1" s="50" t="s">
        <v>82</v>
      </c>
      <c r="T1" s="50"/>
      <c r="U1" s="50"/>
      <c r="V1" s="50"/>
      <c r="W1" s="50" t="s">
        <v>83</v>
      </c>
      <c r="X1" s="50"/>
      <c r="Y1" s="67" t="s">
        <v>84</v>
      </c>
      <c r="Z1" s="67"/>
      <c r="AA1" s="67"/>
      <c r="AB1" s="67"/>
      <c r="AC1" s="67"/>
      <c r="AD1" s="67"/>
      <c r="AE1" s="67"/>
      <c r="AF1" s="67"/>
      <c r="AG1" s="75" t="s">
        <v>85</v>
      </c>
      <c r="AH1" s="75"/>
      <c r="AI1" s="75"/>
      <c r="AJ1" s="75"/>
      <c r="AK1" s="75"/>
      <c r="AL1" s="75"/>
      <c r="AM1" s="75"/>
      <c r="AN1" s="75"/>
      <c r="AO1" s="83" t="s">
        <v>86</v>
      </c>
      <c r="AP1" s="83"/>
      <c r="AQ1" s="83"/>
      <c r="AR1" s="83"/>
      <c r="AS1" s="83"/>
      <c r="AT1" s="83"/>
      <c r="AU1" s="83"/>
      <c r="AV1" s="84" t="s">
        <v>87</v>
      </c>
      <c r="AW1" s="84"/>
      <c r="AX1" s="84"/>
      <c r="AY1" s="84"/>
      <c r="AZ1" s="84"/>
      <c r="BA1" s="84"/>
      <c r="BB1" s="84"/>
      <c r="BC1" s="84"/>
      <c r="BD1" s="84" t="s">
        <v>88</v>
      </c>
      <c r="BE1" s="84"/>
      <c r="BF1" s="84"/>
      <c r="BG1" s="84"/>
      <c r="BH1" s="84"/>
      <c r="BI1" s="84"/>
      <c r="BJ1" s="84"/>
    </row>
    <row r="2" spans="1:62">
      <c r="A2" s="23"/>
      <c r="B2" s="23"/>
      <c r="C2" s="24"/>
      <c r="D2" s="25"/>
      <c r="E2" s="26"/>
      <c r="F2" s="27"/>
      <c r="G2" s="26"/>
      <c r="H2" s="23"/>
      <c r="I2" s="26"/>
      <c r="J2" s="45" t="s">
        <v>52</v>
      </c>
      <c r="K2" s="45" t="s">
        <v>53</v>
      </c>
      <c r="L2" s="45" t="s">
        <v>54</v>
      </c>
      <c r="M2" s="45" t="s">
        <v>55</v>
      </c>
      <c r="N2" s="45" t="s">
        <v>56</v>
      </c>
      <c r="O2" s="44"/>
      <c r="P2" s="26"/>
      <c r="Q2" s="24"/>
      <c r="R2" s="23"/>
      <c r="S2" s="51" t="s">
        <v>89</v>
      </c>
      <c r="T2" s="51" t="s">
        <v>90</v>
      </c>
      <c r="U2" s="51" t="s">
        <v>91</v>
      </c>
      <c r="V2" s="51" t="s">
        <v>92</v>
      </c>
      <c r="W2" s="51" t="s">
        <v>93</v>
      </c>
      <c r="X2" s="51" t="s">
        <v>94</v>
      </c>
      <c r="Y2" s="68" t="s">
        <v>95</v>
      </c>
      <c r="Z2" s="68" t="s">
        <v>96</v>
      </c>
      <c r="AA2" s="69" t="s">
        <v>97</v>
      </c>
      <c r="AB2" s="69" t="s">
        <v>98</v>
      </c>
      <c r="AC2" s="69" t="s">
        <v>99</v>
      </c>
      <c r="AD2" s="69" t="s">
        <v>100</v>
      </c>
      <c r="AE2" s="70" t="s">
        <v>101</v>
      </c>
      <c r="AF2" s="70" t="s">
        <v>102</v>
      </c>
      <c r="AG2" s="76" t="s">
        <v>103</v>
      </c>
      <c r="AH2" s="77" t="s">
        <v>104</v>
      </c>
      <c r="AI2" s="78" t="s">
        <v>105</v>
      </c>
      <c r="AJ2" s="78" t="s">
        <v>16</v>
      </c>
      <c r="AK2" s="78" t="s">
        <v>106</v>
      </c>
      <c r="AL2" s="78" t="s">
        <v>15</v>
      </c>
      <c r="AM2" s="78" t="s">
        <v>67</v>
      </c>
      <c r="AN2" s="78" t="s">
        <v>107</v>
      </c>
      <c r="AO2" s="77" t="s">
        <v>108</v>
      </c>
      <c r="AP2" s="78" t="s">
        <v>109</v>
      </c>
      <c r="AQ2" s="78" t="s">
        <v>16</v>
      </c>
      <c r="AR2" s="78" t="s">
        <v>106</v>
      </c>
      <c r="AS2" s="78" t="s">
        <v>15</v>
      </c>
      <c r="AT2" s="78" t="s">
        <v>67</v>
      </c>
      <c r="AU2" s="78" t="s">
        <v>107</v>
      </c>
      <c r="AV2" s="76" t="s">
        <v>103</v>
      </c>
      <c r="AW2" s="77" t="s">
        <v>110</v>
      </c>
      <c r="AX2" s="78" t="s">
        <v>105</v>
      </c>
      <c r="AY2" s="78" t="s">
        <v>16</v>
      </c>
      <c r="AZ2" s="78" t="s">
        <v>106</v>
      </c>
      <c r="BA2" s="78" t="s">
        <v>15</v>
      </c>
      <c r="BB2" s="78" t="s">
        <v>67</v>
      </c>
      <c r="BC2" s="78" t="s">
        <v>107</v>
      </c>
      <c r="BD2" s="77" t="s">
        <v>111</v>
      </c>
      <c r="BE2" s="78" t="s">
        <v>112</v>
      </c>
      <c r="BF2" s="78" t="s">
        <v>16</v>
      </c>
      <c r="BG2" s="78" t="s">
        <v>106</v>
      </c>
      <c r="BH2" s="78" t="s">
        <v>15</v>
      </c>
      <c r="BI2" s="78" t="s">
        <v>67</v>
      </c>
      <c r="BJ2" s="78" t="s">
        <v>107</v>
      </c>
    </row>
    <row r="3" spans="1:62">
      <c r="A3" s="14" t="s">
        <v>58</v>
      </c>
      <c r="B3" s="28">
        <v>2124380.76671843</v>
      </c>
      <c r="C3" s="29">
        <f>B21</f>
        <v>1549614.39871023</v>
      </c>
      <c r="D3" s="30">
        <f>(Q3-C3)/C3</f>
        <v>1.25869230946018</v>
      </c>
      <c r="E3" s="31">
        <v>65894273</v>
      </c>
      <c r="F3" s="32">
        <v>0.08</v>
      </c>
      <c r="G3" s="33">
        <f>E3*F3</f>
        <v>5271541.84</v>
      </c>
      <c r="H3" s="34">
        <f>M11</f>
        <v>4830000</v>
      </c>
      <c r="I3" s="46">
        <v>0.252471990684148</v>
      </c>
      <c r="J3" s="28">
        <f>H3*I3</f>
        <v>1219439.71500443</v>
      </c>
      <c r="K3" s="28">
        <f t="shared" ref="K3:K8" si="0">7000*12</f>
        <v>84000</v>
      </c>
      <c r="L3" s="28">
        <f>(20000+10000)*12</f>
        <v>360000</v>
      </c>
      <c r="M3" s="28">
        <f t="shared" ref="M3:M8" si="1">1000*12</f>
        <v>12000</v>
      </c>
      <c r="N3" s="28">
        <f t="shared" ref="N3:N8" si="2">4000*12</f>
        <v>48000</v>
      </c>
      <c r="O3" s="47">
        <f t="shared" ref="O3:O8" si="3">G3-J3-K3-L3-M3-N3</f>
        <v>3548102.12499557</v>
      </c>
      <c r="P3" s="28">
        <f>4000*12</f>
        <v>48000</v>
      </c>
      <c r="Q3" s="29">
        <f t="shared" ref="Q3:Q8" si="4">O3-P3</f>
        <v>3500102.12499557</v>
      </c>
      <c r="R3" s="28">
        <f>Hashtag!H21</f>
        <v>26880</v>
      </c>
      <c r="S3" s="52">
        <v>0.8</v>
      </c>
      <c r="T3" s="53">
        <f t="shared" ref="T3:T8" si="5">(Q3-R3)*S3</f>
        <v>2778577.69999645</v>
      </c>
      <c r="U3" s="54">
        <v>0.1</v>
      </c>
      <c r="V3" s="55">
        <f t="shared" ref="V3:V8" si="6">(Q3-R3)*S3*U3</f>
        <v>277857.769999645</v>
      </c>
      <c r="W3" s="56">
        <f t="shared" ref="W3:W8" si="7">1-S3-U3</f>
        <v>0.0999999999999999</v>
      </c>
      <c r="X3" s="57">
        <f t="shared" ref="X3:X8" si="8">(Q3-R3)*W3</f>
        <v>347322.212499556</v>
      </c>
      <c r="Y3" s="53">
        <v>933619</v>
      </c>
      <c r="Z3" s="53">
        <v>1060000</v>
      </c>
      <c r="AA3" s="53">
        <v>122.4</v>
      </c>
      <c r="AB3" s="53">
        <f>SUM(AI3:AU3)</f>
        <v>355559.508790819</v>
      </c>
      <c r="AC3" s="52">
        <v>0.1898351544</v>
      </c>
      <c r="AD3" s="71">
        <f>SUM(AX3:BJ3)</f>
        <v>4411953.29102894</v>
      </c>
      <c r="AE3" s="72">
        <f>AB3/Y3</f>
        <v>0.380840052302726</v>
      </c>
      <c r="AF3" s="73">
        <f>(AD3-Z3)/Z3</f>
        <v>3.16222008587636</v>
      </c>
      <c r="AG3" s="79">
        <v>2</v>
      </c>
      <c r="AH3" s="80">
        <v>2000</v>
      </c>
      <c r="AI3" s="37">
        <f t="shared" ref="AI3:AI8" si="9">AH3*AG3*12</f>
        <v>48000</v>
      </c>
      <c r="AJ3" s="37">
        <f>100*12</f>
        <v>1200</v>
      </c>
      <c r="AK3" s="37">
        <f>30*12</f>
        <v>360</v>
      </c>
      <c r="AL3" s="37">
        <f>50*12</f>
        <v>600</v>
      </c>
      <c r="AM3" s="37">
        <f t="shared" ref="AM3:AM6" si="10">5*12</f>
        <v>60</v>
      </c>
      <c r="AN3" s="37">
        <v>0</v>
      </c>
      <c r="AO3" s="37">
        <v>1.3</v>
      </c>
      <c r="AP3" s="28">
        <f t="shared" ref="AP3:AP8" si="11">T3/7/AO3</f>
        <v>305338.208790819</v>
      </c>
      <c r="AQ3" s="37">
        <v>0</v>
      </c>
      <c r="AR3" s="37">
        <v>0</v>
      </c>
      <c r="AS3" s="37">
        <v>0</v>
      </c>
      <c r="AT3" s="37">
        <v>0</v>
      </c>
      <c r="AU3" s="37">
        <v>0</v>
      </c>
      <c r="AV3" s="85">
        <f t="shared" ref="AV3:AV8" si="12">(1+AE3)*(1+40%)</f>
        <v>1.93317607322382</v>
      </c>
      <c r="AW3" s="34">
        <f>158*60</f>
        <v>9480</v>
      </c>
      <c r="AX3" s="28">
        <f>AW3*AV3*12</f>
        <v>219918.110089941</v>
      </c>
      <c r="AY3" s="28">
        <f>1200*12</f>
        <v>14400</v>
      </c>
      <c r="AZ3" s="28">
        <f>4000*12</f>
        <v>48000</v>
      </c>
      <c r="BA3" s="28">
        <f>2800*12</f>
        <v>33600</v>
      </c>
      <c r="BB3" s="28">
        <f>100*12</f>
        <v>1200</v>
      </c>
      <c r="BC3" s="28">
        <v>0</v>
      </c>
      <c r="BD3" s="37">
        <v>0.05</v>
      </c>
      <c r="BE3" s="28">
        <f t="shared" ref="BE3:BE8" si="13">T3/12/AX11*BA11*12*0.9+V3/7/BD3</f>
        <v>4094835.130939</v>
      </c>
      <c r="BF3" s="37">
        <v>0</v>
      </c>
      <c r="BG3" s="37">
        <v>0</v>
      </c>
      <c r="BH3" s="37">
        <v>0</v>
      </c>
      <c r="BI3" s="37">
        <v>0</v>
      </c>
      <c r="BJ3" s="37">
        <v>0</v>
      </c>
    </row>
    <row r="4" spans="1:62">
      <c r="A4" s="14" t="s">
        <v>60</v>
      </c>
      <c r="B4" s="28">
        <v>1452142.88436626</v>
      </c>
      <c r="C4" s="29">
        <f t="shared" ref="C3:C8" si="14">B22</f>
        <v>827054.558449367</v>
      </c>
      <c r="D4" s="30">
        <f t="shared" ref="D3:D8" si="15">(Q4-C4)/C4</f>
        <v>0.332813690143972</v>
      </c>
      <c r="E4" s="35">
        <v>46303954</v>
      </c>
      <c r="F4" s="32">
        <v>0.06</v>
      </c>
      <c r="G4" s="33">
        <f t="shared" ref="G3:G7" si="16">E4*F4</f>
        <v>2778237.24</v>
      </c>
      <c r="H4" s="34"/>
      <c r="I4" s="46">
        <v>0.21779039378938</v>
      </c>
      <c r="J4" s="28">
        <f>H3*I4</f>
        <v>1051927.60200271</v>
      </c>
      <c r="K4" s="28">
        <f t="shared" si="0"/>
        <v>84000</v>
      </c>
      <c r="L4" s="28">
        <f>(20000+10000)*12</f>
        <v>360000</v>
      </c>
      <c r="M4" s="28">
        <f t="shared" si="1"/>
        <v>12000</v>
      </c>
      <c r="N4" s="28">
        <f t="shared" si="2"/>
        <v>48000</v>
      </c>
      <c r="O4" s="47">
        <f>G4-J4-K4-L4-M4-N4</f>
        <v>1222309.63799729</v>
      </c>
      <c r="P4" s="28">
        <f>10000*12</f>
        <v>120000</v>
      </c>
      <c r="Q4" s="29">
        <f t="shared" si="4"/>
        <v>1102309.63799729</v>
      </c>
      <c r="R4" s="28">
        <f>Hashtag!H22</f>
        <v>295680</v>
      </c>
      <c r="S4" s="52">
        <v>0.9</v>
      </c>
      <c r="T4" s="53">
        <f t="shared" si="5"/>
        <v>725966.674197565</v>
      </c>
      <c r="U4" s="58">
        <v>0.1</v>
      </c>
      <c r="V4" s="55">
        <f t="shared" si="6"/>
        <v>72596.6674197565</v>
      </c>
      <c r="W4" s="56">
        <f t="shared" si="7"/>
        <v>0</v>
      </c>
      <c r="X4" s="57">
        <f t="shared" si="8"/>
        <v>0</v>
      </c>
      <c r="Y4" s="53">
        <v>1362941</v>
      </c>
      <c r="Z4" s="53">
        <v>1120000</v>
      </c>
      <c r="AA4" s="53">
        <v>408</v>
      </c>
      <c r="AB4" s="53">
        <f t="shared" ref="AB3:AB8" si="17">SUM(AI4:AU4)</f>
        <v>128737.857604128</v>
      </c>
      <c r="AC4" s="74">
        <v>0.5483135038</v>
      </c>
      <c r="AD4" s="71">
        <f t="shared" ref="AD3:AD8" si="18">SUM(AX4:BJ4)</f>
        <v>1810469.86660386</v>
      </c>
      <c r="AE4" s="72">
        <f t="shared" ref="AE3:AE8" si="19">AB4/Y4</f>
        <v>0.0944559284694848</v>
      </c>
      <c r="AF4" s="73">
        <f t="shared" ref="AF3:AF8" si="20">(AD4-Z4)/Z4</f>
        <v>0.616490952324879</v>
      </c>
      <c r="AG4" s="79">
        <v>2.1</v>
      </c>
      <c r="AH4" s="80">
        <v>1500</v>
      </c>
      <c r="AI4" s="37">
        <f t="shared" si="9"/>
        <v>37800</v>
      </c>
      <c r="AJ4" s="37">
        <f>200*12</f>
        <v>2400</v>
      </c>
      <c r="AK4" s="37">
        <f>120*12</f>
        <v>1440</v>
      </c>
      <c r="AL4" s="37">
        <f>600*12</f>
        <v>7200</v>
      </c>
      <c r="AM4" s="37">
        <f>10*12</f>
        <v>120</v>
      </c>
      <c r="AN4" s="37">
        <v>0</v>
      </c>
      <c r="AO4" s="37">
        <v>1.3</v>
      </c>
      <c r="AP4" s="28">
        <f t="shared" si="11"/>
        <v>79776.557604128</v>
      </c>
      <c r="AQ4" s="37">
        <v>0</v>
      </c>
      <c r="AR4" s="37">
        <v>0</v>
      </c>
      <c r="AS4" s="37">
        <v>0</v>
      </c>
      <c r="AT4" s="37">
        <v>0</v>
      </c>
      <c r="AU4" s="37">
        <v>0</v>
      </c>
      <c r="AV4" s="85">
        <f t="shared" si="12"/>
        <v>1.53223829985728</v>
      </c>
      <c r="AW4" s="34">
        <f>139*60</f>
        <v>8340</v>
      </c>
      <c r="AX4" s="28">
        <f t="shared" ref="AX3:AX8" si="21">AW4*AV4*12</f>
        <v>153346.409049716</v>
      </c>
      <c r="AY4" s="28">
        <f>1500*12</f>
        <v>18000</v>
      </c>
      <c r="AZ4" s="28">
        <f>6000*12</f>
        <v>72000</v>
      </c>
      <c r="BA4" s="28">
        <f>5000*12</f>
        <v>60000</v>
      </c>
      <c r="BB4" s="28">
        <f>50*12</f>
        <v>600</v>
      </c>
      <c r="BC4" s="28">
        <v>0</v>
      </c>
      <c r="BD4" s="37">
        <v>0.05</v>
      </c>
      <c r="BE4" s="28">
        <f t="shared" si="13"/>
        <v>1506523.40755415</v>
      </c>
      <c r="BF4" s="37">
        <v>0</v>
      </c>
      <c r="BG4" s="37">
        <v>0</v>
      </c>
      <c r="BH4" s="37">
        <v>0</v>
      </c>
      <c r="BI4" s="37">
        <v>0</v>
      </c>
      <c r="BJ4" s="37">
        <v>0</v>
      </c>
    </row>
    <row r="5" spans="1:62">
      <c r="A5" s="14" t="s">
        <v>62</v>
      </c>
      <c r="B5" s="28">
        <v>1340487.63744147</v>
      </c>
      <c r="C5" s="29">
        <f t="shared" si="14"/>
        <v>789410.798475994</v>
      </c>
      <c r="D5" s="30">
        <f t="shared" si="15"/>
        <v>0.156429124556683</v>
      </c>
      <c r="E5" s="35">
        <v>23458940</v>
      </c>
      <c r="F5" s="32">
        <v>0.1</v>
      </c>
      <c r="G5" s="33">
        <f t="shared" si="16"/>
        <v>2345894</v>
      </c>
      <c r="H5" s="34"/>
      <c r="I5" s="46">
        <v>0.182400902981949</v>
      </c>
      <c r="J5" s="28">
        <f>H3*I5</f>
        <v>880996.361402814</v>
      </c>
      <c r="K5" s="28">
        <f t="shared" si="0"/>
        <v>84000</v>
      </c>
      <c r="L5" s="28">
        <f>(20000+10000)*12</f>
        <v>360000</v>
      </c>
      <c r="M5" s="28">
        <f t="shared" si="1"/>
        <v>12000</v>
      </c>
      <c r="N5" s="28">
        <f t="shared" si="2"/>
        <v>48000</v>
      </c>
      <c r="O5" s="47">
        <f t="shared" si="3"/>
        <v>960897.638597186</v>
      </c>
      <c r="P5" s="28">
        <f>4000*12</f>
        <v>48000</v>
      </c>
      <c r="Q5" s="29">
        <f t="shared" si="4"/>
        <v>912897.638597186</v>
      </c>
      <c r="R5" s="28">
        <f>Hashtag!H23</f>
        <v>28224</v>
      </c>
      <c r="S5" s="52">
        <v>0.8</v>
      </c>
      <c r="T5" s="53">
        <f t="shared" si="5"/>
        <v>707738.910877749</v>
      </c>
      <c r="U5" s="58">
        <v>0.1</v>
      </c>
      <c r="V5" s="55">
        <f t="shared" si="6"/>
        <v>70773.8910877749</v>
      </c>
      <c r="W5" s="56">
        <f t="shared" si="7"/>
        <v>0.0999999999999999</v>
      </c>
      <c r="X5" s="57">
        <f t="shared" si="8"/>
        <v>88467.3638597186</v>
      </c>
      <c r="Y5" s="53">
        <v>683930.4</v>
      </c>
      <c r="Z5" s="53">
        <v>1000000</v>
      </c>
      <c r="AA5" s="53">
        <v>129.4</v>
      </c>
      <c r="AB5" s="53">
        <f t="shared" si="17"/>
        <v>96852.5741855133</v>
      </c>
      <c r="AC5" s="74">
        <v>0.3097745144</v>
      </c>
      <c r="AD5" s="71">
        <f t="shared" si="18"/>
        <v>1530705.17483874</v>
      </c>
      <c r="AE5" s="72">
        <f t="shared" si="19"/>
        <v>0.141611740296254</v>
      </c>
      <c r="AF5" s="73">
        <f t="shared" si="20"/>
        <v>0.530705174838737</v>
      </c>
      <c r="AG5" s="79">
        <v>2</v>
      </c>
      <c r="AH5" s="80">
        <v>1000</v>
      </c>
      <c r="AI5" s="37">
        <f t="shared" si="9"/>
        <v>24000</v>
      </c>
      <c r="AJ5" s="37">
        <f>600*12</f>
        <v>7200</v>
      </c>
      <c r="AK5" s="37">
        <f>100*12</f>
        <v>1200</v>
      </c>
      <c r="AL5" s="37">
        <f>100*12</f>
        <v>1200</v>
      </c>
      <c r="AM5" s="37">
        <f t="shared" si="10"/>
        <v>60</v>
      </c>
      <c r="AN5" s="37">
        <v>0</v>
      </c>
      <c r="AO5" s="37">
        <v>1.6</v>
      </c>
      <c r="AP5" s="28">
        <f t="shared" si="11"/>
        <v>63190.9741855133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85">
        <f t="shared" si="12"/>
        <v>1.59825643641476</v>
      </c>
      <c r="AW5" s="34">
        <f>353*60</f>
        <v>21180</v>
      </c>
      <c r="AX5" s="28">
        <f t="shared" si="21"/>
        <v>406212.855879174</v>
      </c>
      <c r="AY5" s="28">
        <f>2000*12</f>
        <v>24000</v>
      </c>
      <c r="AZ5" s="28">
        <f>14000*12</f>
        <v>168000</v>
      </c>
      <c r="BA5" s="28">
        <f>1000*12</f>
        <v>12000</v>
      </c>
      <c r="BB5" s="28">
        <f>200*12</f>
        <v>2400</v>
      </c>
      <c r="BC5" s="28">
        <v>0</v>
      </c>
      <c r="BD5" s="37">
        <v>0.05</v>
      </c>
      <c r="BE5" s="28">
        <f t="shared" si="13"/>
        <v>918092.268959563</v>
      </c>
      <c r="BF5" s="37">
        <v>0</v>
      </c>
      <c r="BG5" s="37">
        <v>0</v>
      </c>
      <c r="BH5" s="37">
        <v>0</v>
      </c>
      <c r="BI5" s="37">
        <v>0</v>
      </c>
      <c r="BJ5" s="37">
        <v>0</v>
      </c>
    </row>
    <row r="6" spans="1:62">
      <c r="A6" s="14" t="s">
        <v>64</v>
      </c>
      <c r="B6" s="28">
        <v>996846.6767829</v>
      </c>
      <c r="C6" s="29">
        <f t="shared" si="14"/>
        <v>288287.392597075</v>
      </c>
      <c r="D6" s="30">
        <f t="shared" si="15"/>
        <v>0.449399676757283</v>
      </c>
      <c r="E6" s="35">
        <v>15525872</v>
      </c>
      <c r="F6" s="32">
        <v>0.1</v>
      </c>
      <c r="G6" s="33">
        <f t="shared" si="16"/>
        <v>1552587.2</v>
      </c>
      <c r="H6" s="34"/>
      <c r="I6" s="46">
        <v>0.145495558251884</v>
      </c>
      <c r="J6" s="28">
        <f>H3*I6</f>
        <v>702743.5463566</v>
      </c>
      <c r="K6" s="28">
        <f t="shared" si="0"/>
        <v>84000</v>
      </c>
      <c r="L6" s="28">
        <f>(10000+10000)*12</f>
        <v>240000</v>
      </c>
      <c r="M6" s="28">
        <f t="shared" si="1"/>
        <v>12000</v>
      </c>
      <c r="N6" s="28">
        <f t="shared" si="2"/>
        <v>48000</v>
      </c>
      <c r="O6" s="47">
        <f t="shared" si="3"/>
        <v>465843.6536434</v>
      </c>
      <c r="P6" s="28">
        <f>4000*12</f>
        <v>48000</v>
      </c>
      <c r="Q6" s="29">
        <f t="shared" si="4"/>
        <v>417843.6536434</v>
      </c>
      <c r="R6" s="28">
        <f>Hashtag!H24</f>
        <v>16128</v>
      </c>
      <c r="S6" s="52">
        <v>0.85</v>
      </c>
      <c r="T6" s="53">
        <f t="shared" si="5"/>
        <v>341458.30559689</v>
      </c>
      <c r="U6" s="58">
        <v>0.1</v>
      </c>
      <c r="V6" s="55">
        <f t="shared" si="6"/>
        <v>34145.830559689</v>
      </c>
      <c r="W6" s="56">
        <f t="shared" si="7"/>
        <v>0.05</v>
      </c>
      <c r="X6" s="57">
        <f t="shared" si="8"/>
        <v>20085.78268217</v>
      </c>
      <c r="Y6" s="53">
        <v>848645.1</v>
      </c>
      <c r="Z6" s="53">
        <v>310000</v>
      </c>
      <c r="AA6" s="53">
        <v>116.8</v>
      </c>
      <c r="AB6" s="53">
        <f t="shared" si="17"/>
        <v>51264.190724933</v>
      </c>
      <c r="AC6" s="74">
        <v>0.1178342582</v>
      </c>
      <c r="AD6" s="71">
        <f t="shared" si="18"/>
        <v>621522.253153842</v>
      </c>
      <c r="AE6" s="72">
        <f t="shared" si="19"/>
        <v>0.0604071015374189</v>
      </c>
      <c r="AF6" s="73">
        <f t="shared" si="20"/>
        <v>1.00491049404465</v>
      </c>
      <c r="AG6" s="79">
        <v>1.3</v>
      </c>
      <c r="AH6" s="80">
        <v>800</v>
      </c>
      <c r="AI6" s="37">
        <f t="shared" si="9"/>
        <v>12480</v>
      </c>
      <c r="AJ6" s="37">
        <f>50*12</f>
        <v>600</v>
      </c>
      <c r="AK6" s="37">
        <f>50*12</f>
        <v>600</v>
      </c>
      <c r="AL6" s="37">
        <v>0</v>
      </c>
      <c r="AM6" s="37">
        <f t="shared" si="10"/>
        <v>60</v>
      </c>
      <c r="AN6" s="37">
        <v>0</v>
      </c>
      <c r="AO6" s="37">
        <v>1.3</v>
      </c>
      <c r="AP6" s="28">
        <f t="shared" si="11"/>
        <v>37522.890724933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85">
        <f t="shared" si="12"/>
        <v>1.48456994215239</v>
      </c>
      <c r="AW6" s="34">
        <f>58*60</f>
        <v>3480</v>
      </c>
      <c r="AX6" s="28">
        <f t="shared" si="21"/>
        <v>61995.6407842836</v>
      </c>
      <c r="AY6" s="28">
        <f>500*12</f>
        <v>6000</v>
      </c>
      <c r="AZ6" s="28">
        <f>1200*12</f>
        <v>14400</v>
      </c>
      <c r="BA6" s="28">
        <f>500*12</f>
        <v>6000</v>
      </c>
      <c r="BB6" s="28">
        <f>20*12</f>
        <v>240</v>
      </c>
      <c r="BC6" s="28">
        <v>0</v>
      </c>
      <c r="BD6" s="37">
        <v>0.05</v>
      </c>
      <c r="BE6" s="28">
        <f t="shared" si="13"/>
        <v>532886.562369559</v>
      </c>
      <c r="BF6" s="37">
        <v>0</v>
      </c>
      <c r="BG6" s="37">
        <v>0</v>
      </c>
      <c r="BH6" s="37">
        <v>0</v>
      </c>
      <c r="BI6" s="37">
        <v>0</v>
      </c>
      <c r="BJ6" s="37">
        <v>0</v>
      </c>
    </row>
    <row r="7" spans="1:62">
      <c r="A7" s="14" t="s">
        <v>66</v>
      </c>
      <c r="B7" s="28">
        <v>716190.429849636</v>
      </c>
      <c r="C7" s="29">
        <f t="shared" si="14"/>
        <v>666188.135145445</v>
      </c>
      <c r="D7" s="30">
        <f t="shared" si="15"/>
        <v>0.0256362786639141</v>
      </c>
      <c r="E7" s="35">
        <v>6890000</v>
      </c>
      <c r="F7" s="32">
        <v>0.22</v>
      </c>
      <c r="G7" s="33">
        <f t="shared" si="16"/>
        <v>1515800</v>
      </c>
      <c r="H7" s="34"/>
      <c r="I7" s="46">
        <v>0.125162169809394</v>
      </c>
      <c r="J7" s="28">
        <f>H3*I7</f>
        <v>604533.280179373</v>
      </c>
      <c r="K7" s="28">
        <f t="shared" si="0"/>
        <v>84000</v>
      </c>
      <c r="L7" s="28">
        <f>(5000+0)*12</f>
        <v>60000</v>
      </c>
      <c r="M7" s="28">
        <f t="shared" si="1"/>
        <v>12000</v>
      </c>
      <c r="N7" s="28">
        <f t="shared" si="2"/>
        <v>48000</v>
      </c>
      <c r="O7" s="47">
        <f t="shared" si="3"/>
        <v>707266.719820627</v>
      </c>
      <c r="P7" s="28">
        <f>2000*12</f>
        <v>24000</v>
      </c>
      <c r="Q7" s="29">
        <f t="shared" si="4"/>
        <v>683266.719820627</v>
      </c>
      <c r="R7" s="28">
        <f>Hashtag!H25</f>
        <v>32256</v>
      </c>
      <c r="S7" s="52">
        <v>0.9</v>
      </c>
      <c r="T7" s="53">
        <f t="shared" si="5"/>
        <v>585909.647838564</v>
      </c>
      <c r="U7" s="58">
        <v>0.1</v>
      </c>
      <c r="V7" s="55">
        <f t="shared" si="6"/>
        <v>58590.9647838564</v>
      </c>
      <c r="W7" s="56">
        <f t="shared" si="7"/>
        <v>0</v>
      </c>
      <c r="X7" s="57">
        <f t="shared" si="8"/>
        <v>0</v>
      </c>
      <c r="Y7" s="53">
        <v>285878.5</v>
      </c>
      <c r="Z7" s="53">
        <v>200000</v>
      </c>
      <c r="AA7" s="53">
        <v>144.8</v>
      </c>
      <c r="AB7" s="53">
        <f t="shared" si="17"/>
        <v>40090.2035924574</v>
      </c>
      <c r="AC7" s="74">
        <v>0.44625242</v>
      </c>
      <c r="AD7" s="71">
        <f t="shared" si="18"/>
        <v>656649.207557987</v>
      </c>
      <c r="AE7" s="72">
        <f t="shared" si="19"/>
        <v>0.140235112442724</v>
      </c>
      <c r="AF7" s="73">
        <f t="shared" si="20"/>
        <v>2.28324603778993</v>
      </c>
      <c r="AG7" s="79">
        <v>1.2</v>
      </c>
      <c r="AH7" s="80">
        <v>200</v>
      </c>
      <c r="AI7" s="37">
        <f t="shared" si="9"/>
        <v>2880</v>
      </c>
      <c r="AJ7" s="37">
        <f>5*12</f>
        <v>60</v>
      </c>
      <c r="AK7" s="37">
        <f>20*12</f>
        <v>240</v>
      </c>
      <c r="AL7" s="37">
        <f>40*12</f>
        <v>480</v>
      </c>
      <c r="AM7" s="37">
        <f>3*12</f>
        <v>36</v>
      </c>
      <c r="AN7" s="37">
        <v>0</v>
      </c>
      <c r="AO7" s="37">
        <v>2.3</v>
      </c>
      <c r="AP7" s="28">
        <f t="shared" si="11"/>
        <v>36391.9035924574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85">
        <f t="shared" si="12"/>
        <v>1.59632915741981</v>
      </c>
      <c r="AW7" s="34">
        <f>74*60</f>
        <v>4440</v>
      </c>
      <c r="AX7" s="28">
        <f t="shared" si="21"/>
        <v>85052.4175073277</v>
      </c>
      <c r="AY7" s="28">
        <f>50*12</f>
        <v>600</v>
      </c>
      <c r="AZ7" s="28">
        <f>1000*12</f>
        <v>12000</v>
      </c>
      <c r="BA7" s="28">
        <f>300*12</f>
        <v>3600</v>
      </c>
      <c r="BB7" s="28">
        <f>10*12</f>
        <v>120</v>
      </c>
      <c r="BC7" s="28">
        <v>0</v>
      </c>
      <c r="BD7" s="37">
        <v>0.05</v>
      </c>
      <c r="BE7" s="28">
        <f t="shared" si="13"/>
        <v>555276.740050659</v>
      </c>
      <c r="BF7" s="37">
        <v>0</v>
      </c>
      <c r="BG7" s="37">
        <v>0</v>
      </c>
      <c r="BH7" s="37">
        <v>0</v>
      </c>
      <c r="BI7" s="37">
        <v>0</v>
      </c>
      <c r="BJ7" s="37">
        <v>0</v>
      </c>
    </row>
    <row r="8" spans="1:62">
      <c r="A8" s="14" t="s">
        <v>68</v>
      </c>
      <c r="B8" s="28">
        <v>429456.269739951</v>
      </c>
      <c r="C8" s="29">
        <f t="shared" si="14"/>
        <v>149093.512671214</v>
      </c>
      <c r="D8" s="30">
        <f t="shared" si="15"/>
        <v>0.0742275238971793</v>
      </c>
      <c r="E8" s="35">
        <v>2331771</v>
      </c>
      <c r="F8" s="32">
        <v>0.35</v>
      </c>
      <c r="G8" s="33">
        <f>E8*F8</f>
        <v>816119.85</v>
      </c>
      <c r="H8" s="34"/>
      <c r="I8" s="46">
        <v>0.0766789844832441</v>
      </c>
      <c r="J8" s="28">
        <f>H3*I8</f>
        <v>370359.495054069</v>
      </c>
      <c r="K8" s="28">
        <f>6000*12</f>
        <v>72000</v>
      </c>
      <c r="L8" s="28">
        <f>(5000+5000)*12</f>
        <v>120000</v>
      </c>
      <c r="M8" s="28">
        <f>800*12</f>
        <v>9600</v>
      </c>
      <c r="N8" s="28">
        <f>3000*12</f>
        <v>36000</v>
      </c>
      <c r="O8" s="47">
        <f t="shared" si="3"/>
        <v>208160.354945931</v>
      </c>
      <c r="P8" s="28">
        <f>4000*12</f>
        <v>48000</v>
      </c>
      <c r="Q8" s="29">
        <f t="shared" si="4"/>
        <v>160160.354945931</v>
      </c>
      <c r="R8" s="28">
        <f>Hashtag!H26</f>
        <v>24192</v>
      </c>
      <c r="S8" s="52">
        <v>0.8</v>
      </c>
      <c r="T8" s="53">
        <f t="shared" si="5"/>
        <v>108774.683956745</v>
      </c>
      <c r="U8" s="58">
        <v>0.1</v>
      </c>
      <c r="V8" s="55">
        <f t="shared" si="6"/>
        <v>10877.4683956745</v>
      </c>
      <c r="W8" s="56">
        <f t="shared" si="7"/>
        <v>0.0999999999999999</v>
      </c>
      <c r="X8" s="57">
        <f t="shared" si="8"/>
        <v>13596.8354945931</v>
      </c>
      <c r="Y8" s="53">
        <v>5688.8</v>
      </c>
      <c r="Z8" s="53">
        <v>30000</v>
      </c>
      <c r="AA8" s="53">
        <v>125.2</v>
      </c>
      <c r="AB8" s="53">
        <f t="shared" si="17"/>
        <v>18760.9937101662</v>
      </c>
      <c r="AC8" s="74">
        <v>0.3883168317</v>
      </c>
      <c r="AD8" s="71">
        <f t="shared" si="18"/>
        <v>86584.8425083556</v>
      </c>
      <c r="AE8" s="72">
        <f t="shared" si="19"/>
        <v>3.29788245502851</v>
      </c>
      <c r="AF8" s="73">
        <f t="shared" si="20"/>
        <v>1.88616141694519</v>
      </c>
      <c r="AG8" s="79">
        <v>2</v>
      </c>
      <c r="AH8" s="80">
        <v>300</v>
      </c>
      <c r="AI8" s="37">
        <f t="shared" si="9"/>
        <v>7200</v>
      </c>
      <c r="AJ8" s="37">
        <f>30*12</f>
        <v>360</v>
      </c>
      <c r="AK8" s="37">
        <v>0</v>
      </c>
      <c r="AL8" s="37">
        <f>70*12</f>
        <v>840</v>
      </c>
      <c r="AM8" s="37">
        <v>0</v>
      </c>
      <c r="AN8" s="37">
        <v>0</v>
      </c>
      <c r="AO8" s="37">
        <v>1.5</v>
      </c>
      <c r="AP8" s="28">
        <f t="shared" si="11"/>
        <v>10359.4937101662</v>
      </c>
      <c r="AQ8" s="37">
        <v>0</v>
      </c>
      <c r="AR8" s="37">
        <v>0</v>
      </c>
      <c r="AS8" s="37">
        <v>0</v>
      </c>
      <c r="AT8" s="37">
        <v>0</v>
      </c>
      <c r="AU8" s="37">
        <v>0</v>
      </c>
      <c r="AV8" s="85">
        <f>2*(1+40%)</f>
        <v>2.8</v>
      </c>
      <c r="AW8" s="34">
        <f>20*60</f>
        <v>1200</v>
      </c>
      <c r="AX8" s="28">
        <f t="shared" si="21"/>
        <v>40320</v>
      </c>
      <c r="AY8" s="28">
        <f>500*12</f>
        <v>6000</v>
      </c>
      <c r="AZ8" s="28">
        <f>15*12</f>
        <v>180</v>
      </c>
      <c r="BA8" s="28">
        <f>200*12</f>
        <v>2400</v>
      </c>
      <c r="BB8" s="28">
        <v>0</v>
      </c>
      <c r="BC8" s="28">
        <v>0</v>
      </c>
      <c r="BD8" s="37">
        <v>0.05</v>
      </c>
      <c r="BE8" s="28">
        <f t="shared" si="13"/>
        <v>37684.7925083556</v>
      </c>
      <c r="BF8" s="37">
        <v>0</v>
      </c>
      <c r="BG8" s="37">
        <v>0</v>
      </c>
      <c r="BH8" s="37">
        <v>0</v>
      </c>
      <c r="BI8" s="37">
        <v>0</v>
      </c>
      <c r="BJ8" s="37">
        <v>0</v>
      </c>
    </row>
    <row r="9" spans="3:18">
      <c r="C9" s="36" t="s">
        <v>113</v>
      </c>
      <c r="R9" s="59" t="s">
        <v>114</v>
      </c>
    </row>
    <row r="10" spans="2:53">
      <c r="B10" s="37" t="s">
        <v>115</v>
      </c>
      <c r="C10" s="37" t="s">
        <v>116</v>
      </c>
      <c r="D10" s="37" t="s">
        <v>117</v>
      </c>
      <c r="E10" s="37" t="s">
        <v>118</v>
      </c>
      <c r="F10" s="37" t="s">
        <v>119</v>
      </c>
      <c r="G10" s="37" t="s">
        <v>120</v>
      </c>
      <c r="H10" s="37" t="s">
        <v>121</v>
      </c>
      <c r="I10" s="37" t="s">
        <v>122</v>
      </c>
      <c r="J10" s="39" t="s">
        <v>123</v>
      </c>
      <c r="Q10" s="60" t="s">
        <v>1</v>
      </c>
      <c r="R10" s="60" t="s">
        <v>124</v>
      </c>
      <c r="S10" s="60" t="s">
        <v>125</v>
      </c>
      <c r="T10" s="39" t="s">
        <v>29</v>
      </c>
      <c r="U10" s="39" t="s">
        <v>30</v>
      </c>
      <c r="V10" s="39" t="s">
        <v>31</v>
      </c>
      <c r="W10" s="39" t="s">
        <v>32</v>
      </c>
      <c r="X10" s="39" t="s">
        <v>33</v>
      </c>
      <c r="Y10" s="39" t="s">
        <v>34</v>
      </c>
      <c r="Z10" s="39" t="s">
        <v>35</v>
      </c>
      <c r="AA10" s="39" t="s">
        <v>36</v>
      </c>
      <c r="AB10" s="39" t="s">
        <v>37</v>
      </c>
      <c r="AC10" s="39" t="s">
        <v>38</v>
      </c>
      <c r="AD10" s="39" t="s">
        <v>26</v>
      </c>
      <c r="AE10" s="39" t="s">
        <v>27</v>
      </c>
      <c r="AG10" s="22" t="s">
        <v>126</v>
      </c>
      <c r="AH10" s="22" t="s">
        <v>127</v>
      </c>
      <c r="AI10" s="22" t="s">
        <v>128</v>
      </c>
      <c r="AJ10" s="22" t="s">
        <v>129</v>
      </c>
      <c r="AW10" s="22" t="s">
        <v>130</v>
      </c>
      <c r="AX10" s="22" t="s">
        <v>131</v>
      </c>
      <c r="AY10" s="22" t="s">
        <v>132</v>
      </c>
      <c r="AZ10" s="22" t="s">
        <v>133</v>
      </c>
      <c r="BA10" s="22" t="s">
        <v>134</v>
      </c>
    </row>
    <row r="11" spans="2:53">
      <c r="B11" s="14" t="s">
        <v>58</v>
      </c>
      <c r="C11" s="28">
        <f t="shared" ref="C11:C16" si="22">I11+G11</f>
        <v>172010000</v>
      </c>
      <c r="D11" s="28">
        <v>103420000</v>
      </c>
      <c r="E11" s="38">
        <v>0.12</v>
      </c>
      <c r="F11" s="28">
        <f t="shared" ref="F11:F16" si="23">D11*E11</f>
        <v>12410400</v>
      </c>
      <c r="G11" s="28">
        <f t="shared" ref="G11:G16" si="24">D11-F11</f>
        <v>91009600</v>
      </c>
      <c r="H11" s="28">
        <v>68590000</v>
      </c>
      <c r="I11" s="28">
        <f t="shared" ref="I11:I16" si="25">F11+H11</f>
        <v>81000400</v>
      </c>
      <c r="J11" s="48">
        <f t="shared" ref="J11:J16" si="26">I11/C11</f>
        <v>0.470905179931399</v>
      </c>
      <c r="K11" s="22">
        <v>9</v>
      </c>
      <c r="L11" s="22" t="s">
        <v>51</v>
      </c>
      <c r="M11" s="49">
        <f>210000*SUM(K11:K18)</f>
        <v>4830000</v>
      </c>
      <c r="Q11" s="61" t="s">
        <v>18</v>
      </c>
      <c r="R11" s="62">
        <v>933619</v>
      </c>
      <c r="S11" s="28">
        <f t="shared" ref="S11:S16" si="27">AB3/12</f>
        <v>29629.9590659016</v>
      </c>
      <c r="T11" s="28">
        <f>R11+S11</f>
        <v>963248.959065902</v>
      </c>
      <c r="U11" s="28">
        <f>T11+S11</f>
        <v>992878.918131803</v>
      </c>
      <c r="V11" s="28">
        <f>U11+S11</f>
        <v>1022508.8771977</v>
      </c>
      <c r="W11" s="28">
        <f>V11+S11</f>
        <v>1052138.83626361</v>
      </c>
      <c r="X11" s="28">
        <f>W11+S11</f>
        <v>1081768.79532951</v>
      </c>
      <c r="Y11" s="28">
        <f>X11+S11</f>
        <v>1111398.75439541</v>
      </c>
      <c r="Z11" s="28">
        <f>Y11+S11</f>
        <v>1141028.71346131</v>
      </c>
      <c r="AA11" s="28">
        <f>Z11+S11</f>
        <v>1170658.67252721</v>
      </c>
      <c r="AB11" s="28">
        <f>AA11+S11</f>
        <v>1200288.63159311</v>
      </c>
      <c r="AC11" s="28">
        <f>AB11+S11</f>
        <v>1229918.59065902</v>
      </c>
      <c r="AD11" s="28">
        <f>AC11+S11</f>
        <v>1259548.54972492</v>
      </c>
      <c r="AE11" s="29">
        <f>AD11+S11</f>
        <v>1289178.50879082</v>
      </c>
      <c r="AG11" s="81">
        <f>Q3</f>
        <v>3500102.12499557</v>
      </c>
      <c r="AH11" s="81">
        <f t="shared" ref="AH11:AH16" si="28">AG11/12</f>
        <v>291675.177082964</v>
      </c>
      <c r="AI11" s="81">
        <f t="shared" ref="AI11:AI16" si="29">AH11/7/AO3</f>
        <v>32052.2172618641</v>
      </c>
      <c r="AJ11" s="82">
        <f>AG11/(AI3+AI11*12)/7</f>
        <v>1.15576476580539</v>
      </c>
      <c r="AV11" s="22" t="s">
        <v>18</v>
      </c>
      <c r="AW11" s="22">
        <v>18590.77</v>
      </c>
      <c r="AX11" s="22">
        <f t="shared" ref="AX11:AX16" si="30">AW11*7</f>
        <v>130135.39</v>
      </c>
      <c r="AY11" s="22">
        <v>181259</v>
      </c>
      <c r="AZ11" s="22">
        <v>9480</v>
      </c>
      <c r="BA11" s="22">
        <f t="shared" ref="BA11:BA16" si="31">AY11-AZ11</f>
        <v>171779</v>
      </c>
    </row>
    <row r="12" spans="2:53">
      <c r="B12" s="14" t="s">
        <v>60</v>
      </c>
      <c r="C12" s="28">
        <f t="shared" si="22"/>
        <v>98430000</v>
      </c>
      <c r="D12" s="28">
        <v>51710000</v>
      </c>
      <c r="E12" s="38">
        <v>0.12</v>
      </c>
      <c r="F12" s="28">
        <f t="shared" si="23"/>
        <v>6205200</v>
      </c>
      <c r="G12" s="28">
        <f t="shared" si="24"/>
        <v>45504800</v>
      </c>
      <c r="H12" s="28">
        <v>46720000</v>
      </c>
      <c r="I12" s="28">
        <f t="shared" si="25"/>
        <v>52925200</v>
      </c>
      <c r="J12" s="48">
        <f t="shared" si="26"/>
        <v>0.537693792542924</v>
      </c>
      <c r="K12" s="22">
        <v>3</v>
      </c>
      <c r="L12" s="22" t="s">
        <v>57</v>
      </c>
      <c r="M12" s="49"/>
      <c r="Q12" s="63" t="s">
        <v>19</v>
      </c>
      <c r="R12" s="62">
        <v>1354028</v>
      </c>
      <c r="S12" s="28">
        <f t="shared" si="27"/>
        <v>10728.154800344</v>
      </c>
      <c r="T12" s="28">
        <f t="shared" ref="T11:T16" si="32">R12+S12</f>
        <v>1364756.15480034</v>
      </c>
      <c r="U12" s="28">
        <f t="shared" ref="U11:U16" si="33">T12+S12</f>
        <v>1375484.30960069</v>
      </c>
      <c r="V12" s="28">
        <f t="shared" ref="V11:V16" si="34">U12+S12</f>
        <v>1386212.46440103</v>
      </c>
      <c r="W12" s="28">
        <f t="shared" ref="W11:W16" si="35">V12+S12</f>
        <v>1396940.61920138</v>
      </c>
      <c r="X12" s="28">
        <f t="shared" ref="X11:X16" si="36">W12+S12</f>
        <v>1407668.77400172</v>
      </c>
      <c r="Y12" s="28">
        <f t="shared" ref="Y11:Y16" si="37">X12+S12</f>
        <v>1418396.92880206</v>
      </c>
      <c r="Z12" s="28">
        <f t="shared" ref="Z11:Z16" si="38">Y12+S12</f>
        <v>1429125.08360241</v>
      </c>
      <c r="AA12" s="28">
        <f t="shared" ref="AA11:AA16" si="39">Z12+S12</f>
        <v>1439853.23840275</v>
      </c>
      <c r="AB12" s="28">
        <f t="shared" ref="AB11:AB16" si="40">AA12+S12</f>
        <v>1450581.3932031</v>
      </c>
      <c r="AC12" s="28">
        <f t="shared" ref="AC11:AC16" si="41">AB12+S12</f>
        <v>1461309.54800344</v>
      </c>
      <c r="AD12" s="28">
        <f t="shared" ref="AD11:AD16" si="42">AC12+S12</f>
        <v>1472037.70280378</v>
      </c>
      <c r="AE12" s="29">
        <f t="shared" ref="AE11:AE16" si="43">AD12+S12</f>
        <v>1482765.85760413</v>
      </c>
      <c r="AG12" s="81">
        <f t="shared" ref="AG11:AG16" si="44">Q4</f>
        <v>1102309.63799729</v>
      </c>
      <c r="AH12" s="81">
        <f t="shared" si="28"/>
        <v>91859.1364997745</v>
      </c>
      <c r="AI12" s="81">
        <f t="shared" si="29"/>
        <v>10094.4106043708</v>
      </c>
      <c r="AJ12" s="82">
        <f>AG12/(AI4+AI12*12)/7</f>
        <v>0.990812968404302</v>
      </c>
      <c r="AV12" s="22" t="s">
        <v>19</v>
      </c>
      <c r="AW12" s="22">
        <v>11617.24</v>
      </c>
      <c r="AX12" s="22">
        <f t="shared" si="30"/>
        <v>81320.68</v>
      </c>
      <c r="AY12" s="22">
        <v>170031</v>
      </c>
      <c r="AZ12" s="22">
        <v>8340</v>
      </c>
      <c r="BA12" s="22">
        <f t="shared" si="31"/>
        <v>161691</v>
      </c>
    </row>
    <row r="13" spans="2:53">
      <c r="B13" s="14" t="s">
        <v>62</v>
      </c>
      <c r="C13" s="28">
        <f t="shared" si="22"/>
        <v>79200000</v>
      </c>
      <c r="D13" s="28">
        <v>24340000</v>
      </c>
      <c r="E13" s="38">
        <v>0.35</v>
      </c>
      <c r="F13" s="28">
        <f t="shared" si="23"/>
        <v>8519000</v>
      </c>
      <c r="G13" s="28">
        <f t="shared" si="24"/>
        <v>15821000</v>
      </c>
      <c r="H13" s="28">
        <v>54860000</v>
      </c>
      <c r="I13" s="28">
        <f t="shared" si="25"/>
        <v>63379000</v>
      </c>
      <c r="J13" s="48">
        <f t="shared" si="26"/>
        <v>0.800239898989899</v>
      </c>
      <c r="K13" s="22">
        <v>3</v>
      </c>
      <c r="L13" s="22" t="s">
        <v>59</v>
      </c>
      <c r="M13" s="49"/>
      <c r="Q13" s="63" t="s">
        <v>20</v>
      </c>
      <c r="R13" s="62">
        <v>677770.350118645</v>
      </c>
      <c r="S13" s="28">
        <f t="shared" si="27"/>
        <v>8071.04784879278</v>
      </c>
      <c r="T13" s="28">
        <f t="shared" si="32"/>
        <v>685841.397967438</v>
      </c>
      <c r="U13" s="28">
        <f t="shared" si="33"/>
        <v>693912.44581623</v>
      </c>
      <c r="V13" s="28">
        <f t="shared" si="34"/>
        <v>701983.493665023</v>
      </c>
      <c r="W13" s="28">
        <f t="shared" si="35"/>
        <v>710054.541513816</v>
      </c>
      <c r="X13" s="28">
        <f t="shared" si="36"/>
        <v>718125.589362609</v>
      </c>
      <c r="Y13" s="28">
        <f t="shared" si="37"/>
        <v>726196.637211401</v>
      </c>
      <c r="Z13" s="28">
        <f t="shared" si="38"/>
        <v>734267.685060194</v>
      </c>
      <c r="AA13" s="28">
        <f t="shared" si="39"/>
        <v>742338.732908987</v>
      </c>
      <c r="AB13" s="28">
        <f t="shared" si="40"/>
        <v>750409.78075778</v>
      </c>
      <c r="AC13" s="28">
        <f t="shared" si="41"/>
        <v>758480.828606572</v>
      </c>
      <c r="AD13" s="28">
        <f t="shared" si="42"/>
        <v>766551.876455365</v>
      </c>
      <c r="AE13" s="29">
        <f t="shared" si="43"/>
        <v>774622.924304158</v>
      </c>
      <c r="AG13" s="81">
        <f t="shared" si="44"/>
        <v>912897.638597186</v>
      </c>
      <c r="AH13" s="81">
        <f t="shared" si="28"/>
        <v>76074.8032164322</v>
      </c>
      <c r="AI13" s="81">
        <f t="shared" si="29"/>
        <v>6792.3931443243</v>
      </c>
      <c r="AJ13" s="82">
        <f t="shared" ref="AJ11:AJ16" si="45">AG13/(AI5+AI13*12)/7</f>
        <v>1.23604903153521</v>
      </c>
      <c r="AV13" s="22" t="s">
        <v>20</v>
      </c>
      <c r="AW13" s="22">
        <v>10965.32</v>
      </c>
      <c r="AX13" s="22">
        <f t="shared" si="30"/>
        <v>76757.24</v>
      </c>
      <c r="AY13" s="22">
        <v>107447</v>
      </c>
      <c r="AZ13" s="22">
        <v>21180</v>
      </c>
      <c r="BA13" s="22">
        <f t="shared" si="31"/>
        <v>86267</v>
      </c>
    </row>
    <row r="14" spans="2:53">
      <c r="B14" s="14" t="s">
        <v>64</v>
      </c>
      <c r="C14" s="28">
        <f t="shared" si="22"/>
        <v>28110000</v>
      </c>
      <c r="D14" s="28">
        <v>19600000</v>
      </c>
      <c r="E14" s="38">
        <v>0.06</v>
      </c>
      <c r="F14" s="28">
        <f t="shared" si="23"/>
        <v>1176000</v>
      </c>
      <c r="G14" s="28">
        <f t="shared" si="24"/>
        <v>18424000</v>
      </c>
      <c r="H14" s="28">
        <v>8510000</v>
      </c>
      <c r="I14" s="28">
        <f t="shared" si="25"/>
        <v>9686000</v>
      </c>
      <c r="J14" s="48">
        <f t="shared" si="26"/>
        <v>0.344574884382782</v>
      </c>
      <c r="K14" s="22">
        <v>2</v>
      </c>
      <c r="L14" s="22" t="s">
        <v>61</v>
      </c>
      <c r="M14" s="49"/>
      <c r="Q14" s="63" t="s">
        <v>21</v>
      </c>
      <c r="R14" s="62">
        <v>837907.134840814</v>
      </c>
      <c r="S14" s="28">
        <f t="shared" si="27"/>
        <v>4272.01589374442</v>
      </c>
      <c r="T14" s="28">
        <f t="shared" si="32"/>
        <v>842179.150734558</v>
      </c>
      <c r="U14" s="28">
        <f t="shared" si="33"/>
        <v>846451.166628303</v>
      </c>
      <c r="V14" s="28">
        <f t="shared" si="34"/>
        <v>850723.182522047</v>
      </c>
      <c r="W14" s="28">
        <f t="shared" si="35"/>
        <v>854995.198415792</v>
      </c>
      <c r="X14" s="28">
        <f t="shared" si="36"/>
        <v>859267.214309536</v>
      </c>
      <c r="Y14" s="28">
        <f t="shared" si="37"/>
        <v>863539.230203281</v>
      </c>
      <c r="Z14" s="28">
        <f t="shared" si="38"/>
        <v>867811.246097025</v>
      </c>
      <c r="AA14" s="28">
        <f t="shared" si="39"/>
        <v>872083.261990769</v>
      </c>
      <c r="AB14" s="28">
        <f t="shared" si="40"/>
        <v>876355.277884514</v>
      </c>
      <c r="AC14" s="28">
        <f t="shared" si="41"/>
        <v>880627.293778258</v>
      </c>
      <c r="AD14" s="28">
        <f t="shared" si="42"/>
        <v>884899.309672003</v>
      </c>
      <c r="AE14" s="29">
        <f t="shared" si="43"/>
        <v>889171.325565747</v>
      </c>
      <c r="AG14" s="81">
        <f t="shared" si="44"/>
        <v>417843.6536434</v>
      </c>
      <c r="AH14" s="81">
        <f t="shared" si="28"/>
        <v>34820.3044702834</v>
      </c>
      <c r="AI14" s="81">
        <f t="shared" si="29"/>
        <v>3826.40708464652</v>
      </c>
      <c r="AJ14" s="82">
        <f t="shared" si="45"/>
        <v>1.02217696208245</v>
      </c>
      <c r="AV14" s="22" t="s">
        <v>21</v>
      </c>
      <c r="AW14" s="22">
        <v>3237.82</v>
      </c>
      <c r="AX14" s="22">
        <f t="shared" si="30"/>
        <v>22664.74</v>
      </c>
      <c r="AY14" s="22">
        <v>35586</v>
      </c>
      <c r="AZ14" s="22">
        <v>3480</v>
      </c>
      <c r="BA14" s="22">
        <f t="shared" si="31"/>
        <v>32106</v>
      </c>
    </row>
    <row r="15" spans="2:53">
      <c r="B15" s="14" t="s">
        <v>66</v>
      </c>
      <c r="C15" s="28">
        <f t="shared" si="22"/>
        <v>7590000</v>
      </c>
      <c r="D15" s="28">
        <v>5610000</v>
      </c>
      <c r="E15" s="38">
        <v>0.1</v>
      </c>
      <c r="F15" s="28">
        <f t="shared" si="23"/>
        <v>561000</v>
      </c>
      <c r="G15" s="28">
        <f t="shared" si="24"/>
        <v>5049000</v>
      </c>
      <c r="H15" s="28">
        <v>1980000</v>
      </c>
      <c r="I15" s="28">
        <f t="shared" si="25"/>
        <v>2541000</v>
      </c>
      <c r="J15" s="48">
        <f t="shared" si="26"/>
        <v>0.334782608695652</v>
      </c>
      <c r="K15" s="22">
        <v>2</v>
      </c>
      <c r="L15" s="22" t="s">
        <v>63</v>
      </c>
      <c r="M15" s="49"/>
      <c r="Q15" s="61" t="s">
        <v>22</v>
      </c>
      <c r="R15" s="62">
        <v>288124</v>
      </c>
      <c r="S15" s="28">
        <f t="shared" si="27"/>
        <v>3340.85029937145</v>
      </c>
      <c r="T15" s="28">
        <f t="shared" si="32"/>
        <v>291464.850299371</v>
      </c>
      <c r="U15" s="28">
        <f t="shared" si="33"/>
        <v>294805.700598743</v>
      </c>
      <c r="V15" s="28">
        <f t="shared" si="34"/>
        <v>298146.550898114</v>
      </c>
      <c r="W15" s="28">
        <f t="shared" si="35"/>
        <v>301487.401197486</v>
      </c>
      <c r="X15" s="28">
        <f t="shared" si="36"/>
        <v>304828.251496857</v>
      </c>
      <c r="Y15" s="28">
        <f t="shared" si="37"/>
        <v>308169.101796229</v>
      </c>
      <c r="Z15" s="28">
        <f t="shared" si="38"/>
        <v>311509.9520956</v>
      </c>
      <c r="AA15" s="28">
        <f t="shared" si="39"/>
        <v>314850.802394972</v>
      </c>
      <c r="AB15" s="28">
        <f t="shared" si="40"/>
        <v>318191.652694343</v>
      </c>
      <c r="AC15" s="28">
        <f t="shared" si="41"/>
        <v>321532.502993715</v>
      </c>
      <c r="AD15" s="28">
        <f t="shared" si="42"/>
        <v>324873.353293086</v>
      </c>
      <c r="AE15" s="29">
        <f t="shared" si="43"/>
        <v>328214.203592458</v>
      </c>
      <c r="AG15" s="81">
        <f t="shared" si="44"/>
        <v>683266.719820627</v>
      </c>
      <c r="AH15" s="81">
        <f t="shared" si="28"/>
        <v>56938.8933183856</v>
      </c>
      <c r="AI15" s="81">
        <f t="shared" si="29"/>
        <v>3536.57722474445</v>
      </c>
      <c r="AJ15" s="82">
        <f t="shared" si="45"/>
        <v>2.15383590294851</v>
      </c>
      <c r="AV15" s="22" t="s">
        <v>22</v>
      </c>
      <c r="AW15" s="22">
        <v>4140.68</v>
      </c>
      <c r="AX15" s="22">
        <f t="shared" si="30"/>
        <v>28984.76</v>
      </c>
      <c r="AY15" s="22">
        <v>25760</v>
      </c>
      <c r="AZ15" s="22">
        <v>4440</v>
      </c>
      <c r="BA15" s="22">
        <f t="shared" si="31"/>
        <v>21320</v>
      </c>
    </row>
    <row r="16" spans="2:53">
      <c r="B16" s="14" t="s">
        <v>68</v>
      </c>
      <c r="C16" s="28">
        <f t="shared" si="22"/>
        <v>4230000</v>
      </c>
      <c r="D16" s="28">
        <v>1870000</v>
      </c>
      <c r="E16" s="38">
        <v>0.2</v>
      </c>
      <c r="F16" s="28">
        <f t="shared" si="23"/>
        <v>374000</v>
      </c>
      <c r="G16" s="28">
        <f t="shared" si="24"/>
        <v>1496000</v>
      </c>
      <c r="H16" s="28">
        <v>2360000</v>
      </c>
      <c r="I16" s="28">
        <f t="shared" si="25"/>
        <v>2734000</v>
      </c>
      <c r="J16" s="48">
        <f t="shared" si="26"/>
        <v>0.646335697399527</v>
      </c>
      <c r="K16" s="22">
        <v>2</v>
      </c>
      <c r="L16" s="22" t="s">
        <v>65</v>
      </c>
      <c r="M16" s="49"/>
      <c r="Q16" s="61" t="s">
        <v>24</v>
      </c>
      <c r="R16" s="62">
        <v>5688.8</v>
      </c>
      <c r="S16" s="28">
        <f t="shared" si="27"/>
        <v>1563.41614251385</v>
      </c>
      <c r="T16" s="28">
        <f t="shared" si="32"/>
        <v>7252.21614251385</v>
      </c>
      <c r="U16" s="28">
        <f t="shared" si="33"/>
        <v>8815.6322850277</v>
      </c>
      <c r="V16" s="28">
        <f t="shared" si="34"/>
        <v>10379.0484275415</v>
      </c>
      <c r="W16" s="28">
        <f t="shared" si="35"/>
        <v>11942.4645700554</v>
      </c>
      <c r="X16" s="28">
        <f t="shared" si="36"/>
        <v>13505.8807125692</v>
      </c>
      <c r="Y16" s="28">
        <f t="shared" si="37"/>
        <v>15069.2968550831</v>
      </c>
      <c r="Z16" s="28">
        <f t="shared" si="38"/>
        <v>16632.7129975969</v>
      </c>
      <c r="AA16" s="28">
        <f t="shared" si="39"/>
        <v>18196.1291401108</v>
      </c>
      <c r="AB16" s="28">
        <f t="shared" si="40"/>
        <v>19759.5452826246</v>
      </c>
      <c r="AC16" s="28">
        <f t="shared" si="41"/>
        <v>21322.9614251385</v>
      </c>
      <c r="AD16" s="28">
        <f t="shared" si="42"/>
        <v>22886.3775676523</v>
      </c>
      <c r="AE16" s="29">
        <f t="shared" si="43"/>
        <v>24449.7937101662</v>
      </c>
      <c r="AG16" s="81">
        <f t="shared" si="44"/>
        <v>160160.354945931</v>
      </c>
      <c r="AH16" s="81">
        <f t="shared" si="28"/>
        <v>13346.6962454942</v>
      </c>
      <c r="AI16" s="81">
        <f t="shared" si="29"/>
        <v>1271.11392814231</v>
      </c>
      <c r="AJ16" s="82">
        <f t="shared" si="45"/>
        <v>1.01900309945662</v>
      </c>
      <c r="AV16" s="22" t="s">
        <v>24</v>
      </c>
      <c r="AW16" s="22">
        <v>2000.53</v>
      </c>
      <c r="AX16" s="22">
        <f t="shared" si="30"/>
        <v>14003.71</v>
      </c>
      <c r="AY16" s="22">
        <v>2145</v>
      </c>
      <c r="AZ16" s="22">
        <v>1200</v>
      </c>
      <c r="BA16" s="22">
        <f t="shared" si="31"/>
        <v>945</v>
      </c>
    </row>
    <row r="17" spans="11:48">
      <c r="K17" s="22">
        <v>1</v>
      </c>
      <c r="L17" s="22" t="s">
        <v>67</v>
      </c>
      <c r="M17" s="49"/>
      <c r="AV17" s="22" t="s">
        <v>135</v>
      </c>
    </row>
    <row r="18" spans="11:49">
      <c r="K18" s="22">
        <v>1</v>
      </c>
      <c r="L18" s="22" t="s">
        <v>69</v>
      </c>
      <c r="M18" s="49"/>
      <c r="Q18" s="61"/>
      <c r="R18" s="60" t="s">
        <v>136</v>
      </c>
      <c r="S18" s="39" t="s">
        <v>29</v>
      </c>
      <c r="T18" s="39" t="s">
        <v>30</v>
      </c>
      <c r="U18" s="39" t="s">
        <v>31</v>
      </c>
      <c r="V18" s="39" t="s">
        <v>32</v>
      </c>
      <c r="W18" s="39" t="s">
        <v>33</v>
      </c>
      <c r="X18" s="39" t="s">
        <v>34</v>
      </c>
      <c r="Y18" s="39" t="s">
        <v>35</v>
      </c>
      <c r="Z18" s="39" t="s">
        <v>36</v>
      </c>
      <c r="AA18" s="39" t="s">
        <v>37</v>
      </c>
      <c r="AB18" s="39" t="s">
        <v>38</v>
      </c>
      <c r="AC18" s="39" t="s">
        <v>26</v>
      </c>
      <c r="AD18" s="39" t="s">
        <v>27</v>
      </c>
      <c r="AE18" s="39" t="s">
        <v>25</v>
      </c>
      <c r="AF18" s="39" t="s">
        <v>137</v>
      </c>
      <c r="AH18" s="22" t="s">
        <v>138</v>
      </c>
      <c r="AV18" s="22" t="s">
        <v>18</v>
      </c>
      <c r="AW18" s="86">
        <f t="shared" ref="AW18:AW23" si="46">SUM(AX3:BC3)/AD3</f>
        <v>0.0718770325004924</v>
      </c>
    </row>
    <row r="19" spans="17:49">
      <c r="Q19" s="61" t="s">
        <v>18</v>
      </c>
      <c r="R19" s="64">
        <v>0.11</v>
      </c>
      <c r="S19" s="28">
        <f t="shared" ref="S19:S24" si="47">T11*R19</f>
        <v>105957.385497249</v>
      </c>
      <c r="T19" s="28">
        <f>U11*R19</f>
        <v>109216.680994498</v>
      </c>
      <c r="U19" s="28">
        <f t="shared" ref="U19:U24" si="48">V11*R19</f>
        <v>112475.976491748</v>
      </c>
      <c r="V19" s="28">
        <f t="shared" ref="V19:V24" si="49">W11*R19</f>
        <v>115735.271988997</v>
      </c>
      <c r="W19" s="28">
        <f t="shared" ref="W19:W24" si="50">X11*R19</f>
        <v>118994.567486246</v>
      </c>
      <c r="X19" s="28">
        <f t="shared" ref="X19:X24" si="51">Y11*R19</f>
        <v>122253.862983495</v>
      </c>
      <c r="Y19" s="28">
        <f t="shared" ref="Y19:Y24" si="52">Z11*R19</f>
        <v>125513.158480744</v>
      </c>
      <c r="Z19" s="28">
        <f t="shared" ref="Z19:Z24" si="53">AA11*R19</f>
        <v>128772.453977993</v>
      </c>
      <c r="AA19" s="28">
        <f t="shared" ref="AA19:AA24" si="54">AB11*R19</f>
        <v>132031.749475243</v>
      </c>
      <c r="AB19" s="28">
        <f t="shared" ref="AB19:AB24" si="55">AC11*R19</f>
        <v>135291.044972492</v>
      </c>
      <c r="AC19" s="28">
        <f t="shared" ref="AC19:AC24" si="56">AD11*R19</f>
        <v>138550.340469741</v>
      </c>
      <c r="AD19" s="28">
        <f t="shared" ref="AD19:AD24" si="57">AE11*R19</f>
        <v>141809.63596699</v>
      </c>
      <c r="AE19" s="28">
        <f t="shared" ref="AE19:AE24" si="58">SUM(S19:AD19)</f>
        <v>1486602.12878544</v>
      </c>
      <c r="AF19" s="28">
        <v>1060000</v>
      </c>
      <c r="AV19" s="22" t="s">
        <v>19</v>
      </c>
      <c r="AW19" s="86">
        <f>SUM(AX4:BC4)/AD4</f>
        <v>0.167882611390748</v>
      </c>
    </row>
    <row r="20" spans="2:49">
      <c r="B20" s="39" t="s">
        <v>139</v>
      </c>
      <c r="C20" s="37"/>
      <c r="D20" s="37"/>
      <c r="E20" s="37" t="s">
        <v>29</v>
      </c>
      <c r="F20" s="37" t="s">
        <v>30</v>
      </c>
      <c r="G20" s="37" t="s">
        <v>31</v>
      </c>
      <c r="H20" s="37" t="s">
        <v>32</v>
      </c>
      <c r="I20" s="37" t="s">
        <v>33</v>
      </c>
      <c r="J20" s="37" t="s">
        <v>34</v>
      </c>
      <c r="K20" s="37" t="s">
        <v>35</v>
      </c>
      <c r="L20" s="37" t="s">
        <v>36</v>
      </c>
      <c r="M20" s="37" t="s">
        <v>37</v>
      </c>
      <c r="N20" s="37" t="s">
        <v>38</v>
      </c>
      <c r="O20" s="37" t="s">
        <v>26</v>
      </c>
      <c r="P20" s="37" t="s">
        <v>27</v>
      </c>
      <c r="Q20" s="65" t="s">
        <v>19</v>
      </c>
      <c r="R20" s="64">
        <v>0.06</v>
      </c>
      <c r="S20" s="28">
        <f t="shared" si="47"/>
        <v>81885.3692880206</v>
      </c>
      <c r="T20" s="28">
        <f t="shared" ref="T19:T24" si="59">U12*R20</f>
        <v>82529.0585760413</v>
      </c>
      <c r="U20" s="28">
        <f t="shared" si="48"/>
        <v>83172.7478640619</v>
      </c>
      <c r="V20" s="28">
        <f t="shared" si="49"/>
        <v>83816.4371520826</v>
      </c>
      <c r="W20" s="28">
        <f t="shared" si="50"/>
        <v>84460.1264401032</v>
      </c>
      <c r="X20" s="28">
        <f t="shared" si="51"/>
        <v>85103.8157281239</v>
      </c>
      <c r="Y20" s="28">
        <f t="shared" si="52"/>
        <v>85747.5050161445</v>
      </c>
      <c r="Z20" s="28">
        <f t="shared" si="53"/>
        <v>86391.1943041651</v>
      </c>
      <c r="AA20" s="28">
        <f t="shared" si="54"/>
        <v>87034.8835921858</v>
      </c>
      <c r="AB20" s="28">
        <f t="shared" si="55"/>
        <v>87678.5728802064</v>
      </c>
      <c r="AC20" s="28">
        <f t="shared" si="56"/>
        <v>88322.2621682271</v>
      </c>
      <c r="AD20" s="28">
        <f t="shared" si="57"/>
        <v>88965.9514562477</v>
      </c>
      <c r="AE20" s="28">
        <f t="shared" si="58"/>
        <v>1025107.92446561</v>
      </c>
      <c r="AF20" s="28">
        <v>1120000</v>
      </c>
      <c r="AV20" s="22" t="s">
        <v>20</v>
      </c>
      <c r="AW20" s="86">
        <f t="shared" si="46"/>
        <v>0.400216100362837</v>
      </c>
    </row>
    <row r="21" spans="2:49">
      <c r="B21" s="40">
        <f t="shared" ref="B21:B26" si="60">SUM(E21:P21)</f>
        <v>1549614.39871023</v>
      </c>
      <c r="C21" s="37" t="s">
        <v>18</v>
      </c>
      <c r="D21" s="37"/>
      <c r="E21" s="41">
        <v>113924.91026494</v>
      </c>
      <c r="F21" s="41">
        <v>96439.6738304971</v>
      </c>
      <c r="G21" s="41">
        <v>111675.442817087</v>
      </c>
      <c r="H21" s="41">
        <v>77754.513</v>
      </c>
      <c r="I21" s="41">
        <v>99478.749</v>
      </c>
      <c r="J21" s="41">
        <v>117114.597</v>
      </c>
      <c r="K21" s="41">
        <v>108776.19</v>
      </c>
      <c r="L21" s="41">
        <v>137349.813</v>
      </c>
      <c r="M21" s="41">
        <v>257564.235</v>
      </c>
      <c r="N21" s="41">
        <v>143178.758265903</v>
      </c>
      <c r="O21" s="41">
        <v>143178.758265903</v>
      </c>
      <c r="P21" s="41">
        <v>143178.758265903</v>
      </c>
      <c r="Q21" s="65" t="s">
        <v>20</v>
      </c>
      <c r="R21" s="64">
        <v>0.12</v>
      </c>
      <c r="S21" s="28">
        <f t="shared" si="47"/>
        <v>82300.9677560925</v>
      </c>
      <c r="T21" s="28">
        <f t="shared" si="59"/>
        <v>83269.4934979477</v>
      </c>
      <c r="U21" s="28">
        <f t="shared" si="48"/>
        <v>84238.0192398028</v>
      </c>
      <c r="V21" s="28">
        <f t="shared" si="49"/>
        <v>85206.5449816579</v>
      </c>
      <c r="W21" s="28">
        <f t="shared" si="50"/>
        <v>86175.070723513</v>
      </c>
      <c r="X21" s="28">
        <f t="shared" si="51"/>
        <v>87143.5964653682</v>
      </c>
      <c r="Y21" s="28">
        <f t="shared" si="52"/>
        <v>88112.1222072233</v>
      </c>
      <c r="Z21" s="28">
        <f t="shared" si="53"/>
        <v>89080.6479490784</v>
      </c>
      <c r="AA21" s="28">
        <f t="shared" si="54"/>
        <v>90049.1736909336</v>
      </c>
      <c r="AB21" s="28">
        <f t="shared" si="55"/>
        <v>91017.6994327887</v>
      </c>
      <c r="AC21" s="28">
        <f t="shared" si="56"/>
        <v>91986.2251746438</v>
      </c>
      <c r="AD21" s="28">
        <f t="shared" si="57"/>
        <v>92954.7509164989</v>
      </c>
      <c r="AE21" s="28">
        <f t="shared" si="58"/>
        <v>1051534.31203555</v>
      </c>
      <c r="AF21" s="28">
        <v>1000000</v>
      </c>
      <c r="AV21" s="22" t="s">
        <v>21</v>
      </c>
      <c r="AW21" s="86">
        <f t="shared" si="46"/>
        <v>0.142610566772971</v>
      </c>
    </row>
    <row r="22" spans="2:49">
      <c r="B22" s="40">
        <f t="shared" si="60"/>
        <v>827054.558449367</v>
      </c>
      <c r="C22" s="37" t="s">
        <v>19</v>
      </c>
      <c r="D22" s="37"/>
      <c r="E22" s="41">
        <v>7916.90893835344</v>
      </c>
      <c r="F22" s="41">
        <v>42102.8038142623</v>
      </c>
      <c r="G22" s="41">
        <v>39392.66632</v>
      </c>
      <c r="H22" s="41">
        <v>43714.9914</v>
      </c>
      <c r="I22" s="41">
        <v>49049.66016</v>
      </c>
      <c r="J22" s="41">
        <v>60414.61428</v>
      </c>
      <c r="K22" s="41">
        <v>82392.279</v>
      </c>
      <c r="L22" s="41">
        <v>85719.32928</v>
      </c>
      <c r="M22" s="41">
        <v>259567.70022</v>
      </c>
      <c r="N22" s="41">
        <v>52261.201678917</v>
      </c>
      <c r="O22" s="41">
        <v>52261.201678917</v>
      </c>
      <c r="P22" s="41">
        <v>52261.201678917</v>
      </c>
      <c r="Q22" s="65" t="s">
        <v>21</v>
      </c>
      <c r="R22" s="64">
        <v>0.03</v>
      </c>
      <c r="S22" s="28">
        <f t="shared" si="47"/>
        <v>25265.3745220368</v>
      </c>
      <c r="T22" s="28">
        <f t="shared" si="59"/>
        <v>25393.5349988491</v>
      </c>
      <c r="U22" s="28">
        <f t="shared" si="48"/>
        <v>25521.6954756614</v>
      </c>
      <c r="V22" s="28">
        <f t="shared" si="49"/>
        <v>25649.8559524738</v>
      </c>
      <c r="W22" s="28">
        <f t="shared" si="50"/>
        <v>25778.0164292861</v>
      </c>
      <c r="X22" s="28">
        <f t="shared" si="51"/>
        <v>25906.1769060984</v>
      </c>
      <c r="Y22" s="28">
        <f t="shared" si="52"/>
        <v>26034.3373829107</v>
      </c>
      <c r="Z22" s="28">
        <f t="shared" si="53"/>
        <v>26162.4978597231</v>
      </c>
      <c r="AA22" s="28">
        <f t="shared" si="54"/>
        <v>26290.6583365354</v>
      </c>
      <c r="AB22" s="28">
        <f t="shared" si="55"/>
        <v>26418.8188133477</v>
      </c>
      <c r="AC22" s="28">
        <f t="shared" si="56"/>
        <v>26546.9792901601</v>
      </c>
      <c r="AD22" s="28">
        <f t="shared" si="57"/>
        <v>26675.1397669724</v>
      </c>
      <c r="AE22" s="28">
        <f t="shared" si="58"/>
        <v>311643.085734055</v>
      </c>
      <c r="AF22" s="28">
        <v>310000</v>
      </c>
      <c r="AV22" s="22" t="s">
        <v>22</v>
      </c>
      <c r="AW22" s="86">
        <f t="shared" si="46"/>
        <v>0.154378344389269</v>
      </c>
    </row>
    <row r="23" spans="2:49">
      <c r="B23" s="40">
        <f t="shared" si="60"/>
        <v>789410.798475994</v>
      </c>
      <c r="C23" s="37" t="s">
        <v>20</v>
      </c>
      <c r="D23" s="37"/>
      <c r="E23" s="41">
        <v>22561.3952637474</v>
      </c>
      <c r="F23" s="41">
        <v>30590.9073752288</v>
      </c>
      <c r="G23" s="41">
        <v>16294.22356</v>
      </c>
      <c r="H23" s="41">
        <v>23396.27712</v>
      </c>
      <c r="I23" s="41">
        <v>39699.87312</v>
      </c>
      <c r="J23" s="41">
        <v>50462.52624</v>
      </c>
      <c r="K23" s="41">
        <v>50353.01772</v>
      </c>
      <c r="L23" s="41">
        <v>79266.7584</v>
      </c>
      <c r="M23" s="41">
        <v>102560.772</v>
      </c>
      <c r="N23" s="41">
        <v>124741.682559006</v>
      </c>
      <c r="O23" s="41">
        <v>124741.682559006</v>
      </c>
      <c r="P23" s="41">
        <v>124741.682559006</v>
      </c>
      <c r="Q23" s="66" t="s">
        <v>22</v>
      </c>
      <c r="R23" s="64">
        <v>0.05</v>
      </c>
      <c r="S23" s="28">
        <f t="shared" si="47"/>
        <v>14573.2425149686</v>
      </c>
      <c r="T23" s="28">
        <f t="shared" si="59"/>
        <v>14740.2850299371</v>
      </c>
      <c r="U23" s="28">
        <f t="shared" si="48"/>
        <v>14907.3275449057</v>
      </c>
      <c r="V23" s="28">
        <f t="shared" si="49"/>
        <v>15074.3700598743</v>
      </c>
      <c r="W23" s="28">
        <f t="shared" si="50"/>
        <v>15241.4125748429</v>
      </c>
      <c r="X23" s="28">
        <f t="shared" si="51"/>
        <v>15408.4550898114</v>
      </c>
      <c r="Y23" s="28">
        <f t="shared" si="52"/>
        <v>15575.49760478</v>
      </c>
      <c r="Z23" s="28">
        <f t="shared" si="53"/>
        <v>15742.5401197486</v>
      </c>
      <c r="AA23" s="28">
        <f t="shared" si="54"/>
        <v>15909.5826347172</v>
      </c>
      <c r="AB23" s="28">
        <f t="shared" si="55"/>
        <v>16076.6251496857</v>
      </c>
      <c r="AC23" s="28">
        <f t="shared" si="56"/>
        <v>16243.6676646543</v>
      </c>
      <c r="AD23" s="28">
        <f t="shared" si="57"/>
        <v>16410.7101796229</v>
      </c>
      <c r="AE23" s="28">
        <f t="shared" si="58"/>
        <v>185903.716167549</v>
      </c>
      <c r="AF23" s="28">
        <v>200000</v>
      </c>
      <c r="AV23" s="22" t="s">
        <v>24</v>
      </c>
      <c r="AW23" s="86">
        <f t="shared" si="46"/>
        <v>0.564763976966073</v>
      </c>
    </row>
    <row r="24" spans="2:32">
      <c r="B24" s="40">
        <f t="shared" si="60"/>
        <v>288287.392597075</v>
      </c>
      <c r="C24" s="37" t="s">
        <v>21</v>
      </c>
      <c r="D24" s="37"/>
      <c r="E24" s="41">
        <v>20351.0250254715</v>
      </c>
      <c r="F24" s="41">
        <v>20982.480361347</v>
      </c>
      <c r="G24" s="41">
        <v>25664.0015502567</v>
      </c>
      <c r="H24" s="41">
        <v>22003.13676</v>
      </c>
      <c r="I24" s="41">
        <v>28813.2408</v>
      </c>
      <c r="J24" s="41">
        <v>31106.48892</v>
      </c>
      <c r="K24" s="41">
        <v>34070.1024</v>
      </c>
      <c r="L24" s="41">
        <v>26041.42938</v>
      </c>
      <c r="M24" s="41">
        <v>57265.4874</v>
      </c>
      <c r="N24" s="41">
        <v>7330</v>
      </c>
      <c r="O24" s="41">
        <v>7330</v>
      </c>
      <c r="P24" s="41">
        <v>7330</v>
      </c>
      <c r="Q24" s="66" t="s">
        <v>24</v>
      </c>
      <c r="R24" s="64">
        <v>0.6</v>
      </c>
      <c r="S24" s="28">
        <f t="shared" si="47"/>
        <v>4351.32968550831</v>
      </c>
      <c r="T24" s="28">
        <f t="shared" si="59"/>
        <v>5289.37937101662</v>
      </c>
      <c r="U24" s="28">
        <f t="shared" si="48"/>
        <v>6227.42905652493</v>
      </c>
      <c r="V24" s="28">
        <f t="shared" si="49"/>
        <v>7165.47874203323</v>
      </c>
      <c r="W24" s="28">
        <f t="shared" si="50"/>
        <v>8103.52842754154</v>
      </c>
      <c r="X24" s="28">
        <f t="shared" si="51"/>
        <v>9041.57811304985</v>
      </c>
      <c r="Y24" s="28">
        <f t="shared" si="52"/>
        <v>9979.62779855816</v>
      </c>
      <c r="Z24" s="28">
        <f t="shared" si="53"/>
        <v>10917.6774840665</v>
      </c>
      <c r="AA24" s="28">
        <f t="shared" si="54"/>
        <v>11855.7271695748</v>
      </c>
      <c r="AB24" s="28">
        <f t="shared" si="55"/>
        <v>12793.7768550831</v>
      </c>
      <c r="AC24" s="28">
        <f t="shared" si="56"/>
        <v>13731.8265405914</v>
      </c>
      <c r="AD24" s="28">
        <f t="shared" si="57"/>
        <v>14669.8762260997</v>
      </c>
      <c r="AE24" s="28">
        <f t="shared" si="58"/>
        <v>114127.235469648</v>
      </c>
      <c r="AF24" s="28">
        <v>30000</v>
      </c>
    </row>
    <row r="25" spans="2:16">
      <c r="B25" s="40">
        <f t="shared" si="60"/>
        <v>666188.135145445</v>
      </c>
      <c r="C25" s="37" t="s">
        <v>22</v>
      </c>
      <c r="D25" s="37"/>
      <c r="E25" s="41">
        <v>11580.8858339217</v>
      </c>
      <c r="F25" s="41">
        <v>5072.74811115523</v>
      </c>
      <c r="G25" s="41">
        <v>6688.83194469656</v>
      </c>
      <c r="H25" s="41">
        <v>7136.62257474128</v>
      </c>
      <c r="I25" s="41">
        <v>8329.53372</v>
      </c>
      <c r="J25" s="41">
        <v>19141.09128</v>
      </c>
      <c r="K25" s="41">
        <v>30306.8286</v>
      </c>
      <c r="L25" s="41">
        <v>31201.70064</v>
      </c>
      <c r="M25" s="41">
        <v>33897.41748</v>
      </c>
      <c r="N25" s="41">
        <v>170944.15832031</v>
      </c>
      <c r="O25" s="41">
        <v>170944.15832031</v>
      </c>
      <c r="P25" s="41">
        <v>170944.15832031</v>
      </c>
    </row>
    <row r="26" spans="2:16">
      <c r="B26" s="40">
        <f t="shared" si="60"/>
        <v>149093.512671214</v>
      </c>
      <c r="C26" s="37" t="s">
        <v>24</v>
      </c>
      <c r="D26" s="37"/>
      <c r="E26" s="41">
        <v>1161.65235061345</v>
      </c>
      <c r="F26" s="41">
        <v>762.080477970071</v>
      </c>
      <c r="G26" s="41">
        <v>780.661</v>
      </c>
      <c r="H26" s="41">
        <v>1145.262</v>
      </c>
      <c r="I26" s="41">
        <v>1061.634</v>
      </c>
      <c r="J26" s="41">
        <v>2008.107</v>
      </c>
      <c r="K26" s="41">
        <v>17993.613</v>
      </c>
      <c r="L26" s="41">
        <v>13803.657</v>
      </c>
      <c r="M26" s="41">
        <v>11176.827</v>
      </c>
      <c r="N26" s="41">
        <v>33066.6729475435</v>
      </c>
      <c r="O26" s="41">
        <v>33066.6729475435</v>
      </c>
      <c r="P26" s="41">
        <v>33066.6729475435</v>
      </c>
    </row>
    <row r="27" s="21" customFormat="1" spans="2:16">
      <c r="B27" s="42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="21" customFormat="1" spans="2:16">
      <c r="B28" s="42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</row>
  </sheetData>
  <mergeCells count="22">
    <mergeCell ref="J1:N1"/>
    <mergeCell ref="S1:V1"/>
    <mergeCell ref="W1:X1"/>
    <mergeCell ref="AG1:AN1"/>
    <mergeCell ref="AO1:AU1"/>
    <mergeCell ref="AV1:BC1"/>
    <mergeCell ref="BD1:BJ1"/>
    <mergeCell ref="A1:A2"/>
    <mergeCell ref="B1:B2"/>
    <mergeCell ref="C1:C2"/>
    <mergeCell ref="D1:D2"/>
    <mergeCell ref="E1:E2"/>
    <mergeCell ref="F1:F2"/>
    <mergeCell ref="G1:G2"/>
    <mergeCell ref="H1:H2"/>
    <mergeCell ref="H3:H8"/>
    <mergeCell ref="I1:I2"/>
    <mergeCell ref="M11:M18"/>
    <mergeCell ref="O1:O2"/>
    <mergeCell ref="P1:P2"/>
    <mergeCell ref="Q1:Q2"/>
    <mergeCell ref="R1:R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C12" sqref="C12"/>
    </sheetView>
  </sheetViews>
  <sheetFormatPr defaultColWidth="8.72727272727273" defaultRowHeight="16.5"/>
  <cols>
    <col min="1" max="1" width="10.8181818181818" style="1" customWidth="1"/>
    <col min="2" max="2" width="8.72727272727273" style="1"/>
    <col min="3" max="3" width="13.8181818181818" style="1"/>
    <col min="4" max="4" width="8.81818181818182" style="1"/>
    <col min="5" max="5" width="9.72727272727273" style="1" customWidth="1"/>
    <col min="6" max="7" width="13.1818181818182" style="1"/>
    <col min="8" max="8" width="9.90909090909091" style="1"/>
    <col min="9" max="9" width="8.72727272727273" style="1"/>
    <col min="10" max="10" width="10.6363636363636" style="1" customWidth="1"/>
    <col min="11" max="11" width="17.1818181818182" style="1" customWidth="1"/>
    <col min="12" max="12" width="8.72727272727273" style="1"/>
    <col min="13" max="13" width="15.2727272727273" style="1"/>
    <col min="14" max="16384" width="8.72727272727273" style="1"/>
  </cols>
  <sheetData>
    <row r="1" spans="1:13">
      <c r="A1" s="2" t="s">
        <v>1</v>
      </c>
      <c r="B1" s="3" t="s">
        <v>140</v>
      </c>
      <c r="C1" s="4" t="s">
        <v>141</v>
      </c>
      <c r="D1" s="5" t="s">
        <v>142</v>
      </c>
      <c r="E1" s="5"/>
      <c r="F1" s="5"/>
      <c r="G1" s="6" t="s">
        <v>143</v>
      </c>
      <c r="H1" s="6"/>
      <c r="I1" s="6" t="s">
        <v>144</v>
      </c>
      <c r="J1" s="6"/>
      <c r="K1" s="6"/>
      <c r="L1" s="17" t="s">
        <v>145</v>
      </c>
      <c r="M1" s="9"/>
    </row>
    <row r="2" spans="1:13">
      <c r="A2" s="7"/>
      <c r="B2" s="3" t="s">
        <v>146</v>
      </c>
      <c r="C2" s="4"/>
      <c r="D2" s="8" t="s">
        <v>147</v>
      </c>
      <c r="E2" s="9" t="s">
        <v>148</v>
      </c>
      <c r="F2" s="9" t="s">
        <v>149</v>
      </c>
      <c r="G2" s="10" t="s">
        <v>150</v>
      </c>
      <c r="H2" s="9" t="s">
        <v>151</v>
      </c>
      <c r="I2" s="9" t="s">
        <v>152</v>
      </c>
      <c r="J2" s="9" t="s">
        <v>153</v>
      </c>
      <c r="K2" s="9" t="s">
        <v>154</v>
      </c>
      <c r="L2" s="10" t="s">
        <v>155</v>
      </c>
      <c r="M2" s="9"/>
    </row>
    <row r="3" spans="1:13">
      <c r="A3" s="7"/>
      <c r="B3" s="3" t="s">
        <v>156</v>
      </c>
      <c r="C3" s="4"/>
      <c r="D3" s="11" t="s">
        <v>157</v>
      </c>
      <c r="E3" s="9" t="s">
        <v>158</v>
      </c>
      <c r="F3" s="9" t="s">
        <v>159</v>
      </c>
      <c r="G3" s="9" t="s">
        <v>160</v>
      </c>
      <c r="H3" s="9" t="s">
        <v>161</v>
      </c>
      <c r="I3" s="9" t="s">
        <v>162</v>
      </c>
      <c r="J3" s="9" t="s">
        <v>163</v>
      </c>
      <c r="K3" s="9" t="s">
        <v>164</v>
      </c>
      <c r="L3" s="9" t="s">
        <v>165</v>
      </c>
      <c r="M3" s="9"/>
    </row>
    <row r="4" spans="1:13">
      <c r="A4" s="7"/>
      <c r="B4" s="3" t="s">
        <v>166</v>
      </c>
      <c r="C4" s="4"/>
      <c r="D4" s="9">
        <v>39</v>
      </c>
      <c r="E4" s="9">
        <v>13</v>
      </c>
      <c r="F4" s="9">
        <v>44</v>
      </c>
      <c r="G4" s="9">
        <v>61</v>
      </c>
      <c r="H4" s="9">
        <v>30</v>
      </c>
      <c r="I4" s="9">
        <v>30</v>
      </c>
      <c r="J4" s="9"/>
      <c r="K4" s="9">
        <v>50</v>
      </c>
      <c r="L4" s="9">
        <v>9</v>
      </c>
      <c r="M4" s="9"/>
    </row>
    <row r="5" spans="1:13">
      <c r="A5" s="12"/>
      <c r="B5" s="3" t="s">
        <v>167</v>
      </c>
      <c r="C5" s="4"/>
      <c r="D5" s="13" t="s">
        <v>168</v>
      </c>
      <c r="E5" s="9" t="s">
        <v>169</v>
      </c>
      <c r="F5" s="9" t="s">
        <v>169</v>
      </c>
      <c r="G5" s="13" t="s">
        <v>168</v>
      </c>
      <c r="H5" s="9" t="s">
        <v>170</v>
      </c>
      <c r="I5" s="13" t="s">
        <v>168</v>
      </c>
      <c r="J5" s="9" t="s">
        <v>169</v>
      </c>
      <c r="K5" s="18" t="s">
        <v>171</v>
      </c>
      <c r="L5" s="13" t="s">
        <v>168</v>
      </c>
      <c r="M5" s="19" t="s">
        <v>172</v>
      </c>
    </row>
    <row r="6" spans="1:14">
      <c r="A6" s="14" t="s">
        <v>58</v>
      </c>
      <c r="B6" s="1" t="s">
        <v>173</v>
      </c>
      <c r="C6" s="15">
        <f>SUM(D6:L6)</f>
        <v>777000</v>
      </c>
      <c r="D6" s="1">
        <f t="shared" ref="D6:I6" si="0">20000*7</f>
        <v>140000</v>
      </c>
      <c r="E6" s="1">
        <f t="shared" ref="E6:J6" si="1">2000*7</f>
        <v>14000</v>
      </c>
      <c r="F6" s="1">
        <f t="shared" si="1"/>
        <v>14000</v>
      </c>
      <c r="G6" s="1">
        <f t="shared" si="0"/>
        <v>140000</v>
      </c>
      <c r="H6" s="1">
        <f>5000*7</f>
        <v>35000</v>
      </c>
      <c r="I6" s="1">
        <f t="shared" si="0"/>
        <v>140000</v>
      </c>
      <c r="J6" s="1">
        <f t="shared" si="1"/>
        <v>14000</v>
      </c>
      <c r="K6" s="1">
        <f>30000*7</f>
        <v>210000</v>
      </c>
      <c r="L6" s="1">
        <f>10000*7</f>
        <v>70000</v>
      </c>
      <c r="M6" s="20">
        <f>C6/(预算规划!G3+C6)</f>
        <v>0.128460713433703</v>
      </c>
      <c r="N6" s="1" t="s">
        <v>174</v>
      </c>
    </row>
    <row r="7" spans="1:1">
      <c r="A7" s="14" t="s">
        <v>60</v>
      </c>
    </row>
    <row r="8" spans="1:1">
      <c r="A8" s="14" t="s">
        <v>62</v>
      </c>
    </row>
    <row r="9" spans="1:1">
      <c r="A9" s="14" t="s">
        <v>64</v>
      </c>
    </row>
    <row r="10" spans="1:1">
      <c r="A10" s="14" t="s">
        <v>66</v>
      </c>
    </row>
    <row r="11" spans="1:1">
      <c r="A11" s="14" t="s">
        <v>68</v>
      </c>
    </row>
    <row r="15" spans="6:8">
      <c r="F15" s="16">
        <v>45952</v>
      </c>
      <c r="G15" s="16">
        <v>45961</v>
      </c>
      <c r="H15" s="1">
        <f>DATEDIF(F15,G15,"D")</f>
        <v>9</v>
      </c>
    </row>
  </sheetData>
  <mergeCells count="5">
    <mergeCell ref="D1:F1"/>
    <mergeCell ref="G1:H1"/>
    <mergeCell ref="I1:K1"/>
    <mergeCell ref="A1:A5"/>
    <mergeCell ref="C1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Hashtag</vt:lpstr>
      <vt:lpstr>人力预算</vt:lpstr>
      <vt:lpstr>预算规划</vt:lpstr>
      <vt:lpstr>Campaign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sw3400</dc:creator>
  <cp:lastModifiedBy>霞霞</cp:lastModifiedBy>
  <dcterms:created xsi:type="dcterms:W3CDTF">2024-10-21T10:27:00Z</dcterms:created>
  <dcterms:modified xsi:type="dcterms:W3CDTF">2024-10-29T11:08:45Z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DB1C7CFC4E25442EA846FD363CB1B148_11</vt:lpwstr>
  </property>
  <property fmtid="{D5CDD505-2E9C-101B-9397-08002B2CF9AE}" pid="3" name="KSOProductBuildVer">
    <vt:lpwstr>2052-12.1.0.18608</vt:lpwstr>
  </property>
</Properties>
</file>