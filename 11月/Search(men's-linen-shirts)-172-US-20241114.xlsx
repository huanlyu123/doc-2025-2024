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Width="22188" windowHeight="9180" activeTab="2"/>
  </bookViews>
  <sheets>
    <sheet name="US" sheetId="1" r:id="rId1"/>
    <sheet name="Note" sheetId="2" r:id="rId2"/>
    <sheet name="Sheet1" sheetId="3" r:id="rId3"/>
  </sheets>
  <definedNames>
    <definedName name="_xlnm._FilterDatabase" localSheetId="0" hidden="1">US!$A$1:$BF$101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01" name="ID_7402FB09EA9344D1B7BEACF4D8A75DF9"/>
        <xdr:cNvPicPr>
          <a:picLocks noChangeAspect="1"/>
        </xdr:cNvPicPr>
      </xdr:nvPicPr>
      <xdr:blipFill>
        <a:blip r:embed="rId1" cstate="print"/>
        <a:stretch>
          <a:fillRect/>
        </a:stretch>
      </xdr:blipFill>
      <xdr:spPr>
        <a:xfrm>
          <a:off x="191770" y="14103350"/>
          <a:ext cx="236855" cy="225425"/>
        </a:xfrm>
        <a:prstGeom prst="rect">
          <a:avLst/>
        </a:prstGeom>
      </xdr:spPr>
    </xdr:pic>
  </etc:cellImage>
  <etc:cellImage>
    <xdr:pic>
      <xdr:nvPicPr>
        <xdr:cNvPr id="100" name="ID_675EC6B831394B25804D7DF20B9A2BC4"/>
        <xdr:cNvPicPr>
          <a:picLocks noChangeAspect="1"/>
        </xdr:cNvPicPr>
      </xdr:nvPicPr>
      <xdr:blipFill>
        <a:blip r:embed="rId2" cstate="print"/>
        <a:stretch>
          <a:fillRect/>
        </a:stretch>
      </xdr:blipFill>
      <xdr:spPr>
        <a:xfrm>
          <a:off x="191770" y="14058900"/>
          <a:ext cx="236855" cy="0"/>
        </a:xfrm>
        <a:prstGeom prst="rect">
          <a:avLst/>
        </a:prstGeom>
      </xdr:spPr>
    </xdr:pic>
  </etc:cellImage>
  <etc:cellImage>
    <xdr:pic>
      <xdr:nvPicPr>
        <xdr:cNvPr id="99" name="ID_191ADD9268AB4925AF65686B35E5565A"/>
        <xdr:cNvPicPr>
          <a:picLocks noChangeAspect="1"/>
        </xdr:cNvPicPr>
      </xdr:nvPicPr>
      <xdr:blipFill>
        <a:blip r:embed="rId3" cstate="print"/>
        <a:stretch>
          <a:fillRect/>
        </a:stretch>
      </xdr:blipFill>
      <xdr:spPr>
        <a:xfrm>
          <a:off x="191770" y="13449300"/>
          <a:ext cx="236855" cy="0"/>
        </a:xfrm>
        <a:prstGeom prst="rect">
          <a:avLst/>
        </a:prstGeom>
      </xdr:spPr>
    </xdr:pic>
  </etc:cellImage>
  <etc:cellImage>
    <xdr:pic>
      <xdr:nvPicPr>
        <xdr:cNvPr id="98" name="ID_7AC2DD07D00743EE9D670BBA0E818FAA"/>
        <xdr:cNvPicPr>
          <a:picLocks noChangeAspect="1"/>
        </xdr:cNvPicPr>
      </xdr:nvPicPr>
      <xdr:blipFill>
        <a:blip r:embed="rId4" cstate="print"/>
        <a:stretch>
          <a:fillRect/>
        </a:stretch>
      </xdr:blipFill>
      <xdr:spPr>
        <a:xfrm>
          <a:off x="191770" y="13449300"/>
          <a:ext cx="236855" cy="0"/>
        </a:xfrm>
        <a:prstGeom prst="rect">
          <a:avLst/>
        </a:prstGeom>
      </xdr:spPr>
    </xdr:pic>
  </etc:cellImage>
  <etc:cellImage>
    <xdr:pic>
      <xdr:nvPicPr>
        <xdr:cNvPr id="97" name="ID_BBF3A987B9B140B09FA7A7F160D8B094"/>
        <xdr:cNvPicPr>
          <a:picLocks noChangeAspect="1"/>
        </xdr:cNvPicPr>
      </xdr:nvPicPr>
      <xdr:blipFill>
        <a:blip r:embed="rId5" cstate="print"/>
        <a:stretch>
          <a:fillRect/>
        </a:stretch>
      </xdr:blipFill>
      <xdr:spPr>
        <a:xfrm>
          <a:off x="191770" y="14408150"/>
          <a:ext cx="236855" cy="225425"/>
        </a:xfrm>
        <a:prstGeom prst="rect">
          <a:avLst/>
        </a:prstGeom>
      </xdr:spPr>
    </xdr:pic>
  </etc:cellImage>
  <etc:cellImage>
    <xdr:pic>
      <xdr:nvPicPr>
        <xdr:cNvPr id="96" name="ID_13F90ACA85AC4E449AD4F839423465B3"/>
        <xdr:cNvPicPr>
          <a:picLocks noChangeAspect="1"/>
        </xdr:cNvPicPr>
      </xdr:nvPicPr>
      <xdr:blipFill>
        <a:blip r:embed="rId6" cstate="print"/>
        <a:stretch>
          <a:fillRect/>
        </a:stretch>
      </xdr:blipFill>
      <xdr:spPr>
        <a:xfrm>
          <a:off x="191770" y="13493750"/>
          <a:ext cx="236855" cy="225425"/>
        </a:xfrm>
        <a:prstGeom prst="rect">
          <a:avLst/>
        </a:prstGeom>
      </xdr:spPr>
    </xdr:pic>
  </etc:cellImage>
  <etc:cellImage>
    <xdr:pic>
      <xdr:nvPicPr>
        <xdr:cNvPr id="95" name="ID_DA021DE6A89746EB9A2BA13F0EE73915"/>
        <xdr:cNvPicPr>
          <a:picLocks noChangeAspect="1"/>
        </xdr:cNvPicPr>
      </xdr:nvPicPr>
      <xdr:blipFill>
        <a:blip r:embed="rId7" cstate="print"/>
        <a:stretch>
          <a:fillRect/>
        </a:stretch>
      </xdr:blipFill>
      <xdr:spPr>
        <a:xfrm>
          <a:off x="191770" y="13798550"/>
          <a:ext cx="236855" cy="225425"/>
        </a:xfrm>
        <a:prstGeom prst="rect">
          <a:avLst/>
        </a:prstGeom>
      </xdr:spPr>
    </xdr:pic>
  </etc:cellImage>
  <etc:cellImage>
    <xdr:pic>
      <xdr:nvPicPr>
        <xdr:cNvPr id="94" name="ID_C5A0B5D16E0D4BCDA054D696A4D36FFB"/>
        <xdr:cNvPicPr>
          <a:picLocks noChangeAspect="1"/>
        </xdr:cNvPicPr>
      </xdr:nvPicPr>
      <xdr:blipFill>
        <a:blip r:embed="rId8" cstate="print"/>
        <a:stretch>
          <a:fillRect/>
        </a:stretch>
      </xdr:blipFill>
      <xdr:spPr>
        <a:xfrm>
          <a:off x="191770" y="12230100"/>
          <a:ext cx="236855" cy="0"/>
        </a:xfrm>
        <a:prstGeom prst="rect">
          <a:avLst/>
        </a:prstGeom>
      </xdr:spPr>
    </xdr:pic>
  </etc:cellImage>
  <etc:cellImage>
    <xdr:pic>
      <xdr:nvPicPr>
        <xdr:cNvPr id="93" name="ID_A48888E009A0462FB5540A7CF42E615F"/>
        <xdr:cNvPicPr>
          <a:picLocks noChangeAspect="1"/>
        </xdr:cNvPicPr>
      </xdr:nvPicPr>
      <xdr:blipFill>
        <a:blip r:embed="rId9" cstate="print"/>
        <a:stretch>
          <a:fillRect/>
        </a:stretch>
      </xdr:blipFill>
      <xdr:spPr>
        <a:xfrm>
          <a:off x="191770" y="13449300"/>
          <a:ext cx="236855" cy="0"/>
        </a:xfrm>
        <a:prstGeom prst="rect">
          <a:avLst/>
        </a:prstGeom>
      </xdr:spPr>
    </xdr:pic>
  </etc:cellImage>
  <etc:cellImage>
    <xdr:pic>
      <xdr:nvPicPr>
        <xdr:cNvPr id="91" name="ID_580F164C78864B6483BF17402D8035D9"/>
        <xdr:cNvPicPr>
          <a:picLocks noChangeAspect="1"/>
        </xdr:cNvPicPr>
      </xdr:nvPicPr>
      <xdr:blipFill>
        <a:blip r:embed="rId10" cstate="print"/>
        <a:stretch>
          <a:fillRect/>
        </a:stretch>
      </xdr:blipFill>
      <xdr:spPr>
        <a:xfrm>
          <a:off x="191770" y="12579350"/>
          <a:ext cx="236855" cy="225425"/>
        </a:xfrm>
        <a:prstGeom prst="rect">
          <a:avLst/>
        </a:prstGeom>
      </xdr:spPr>
    </xdr:pic>
  </etc:cellImage>
  <etc:cellImage>
    <xdr:pic>
      <xdr:nvPicPr>
        <xdr:cNvPr id="90" name="ID_E80D41F5588E462FBBB6255076DA8971"/>
        <xdr:cNvPicPr>
          <a:picLocks noChangeAspect="1"/>
        </xdr:cNvPicPr>
      </xdr:nvPicPr>
      <xdr:blipFill>
        <a:blip r:embed="rId11" cstate="print"/>
        <a:stretch>
          <a:fillRect/>
        </a:stretch>
      </xdr:blipFill>
      <xdr:spPr>
        <a:xfrm>
          <a:off x="191770" y="12839700"/>
          <a:ext cx="236855" cy="0"/>
        </a:xfrm>
        <a:prstGeom prst="rect">
          <a:avLst/>
        </a:prstGeom>
      </xdr:spPr>
    </xdr:pic>
  </etc:cellImage>
  <etc:cellImage>
    <xdr:pic>
      <xdr:nvPicPr>
        <xdr:cNvPr id="89" name="ID_3069BA1AC2894FB689F784612CE2398E"/>
        <xdr:cNvPicPr>
          <a:picLocks noChangeAspect="1"/>
        </xdr:cNvPicPr>
      </xdr:nvPicPr>
      <xdr:blipFill>
        <a:blip r:embed="rId12" cstate="print"/>
        <a:stretch>
          <a:fillRect/>
        </a:stretch>
      </xdr:blipFill>
      <xdr:spPr>
        <a:xfrm>
          <a:off x="191770" y="12884150"/>
          <a:ext cx="236855" cy="225425"/>
        </a:xfrm>
        <a:prstGeom prst="rect">
          <a:avLst/>
        </a:prstGeom>
      </xdr:spPr>
    </xdr:pic>
  </etc:cellImage>
  <etc:cellImage>
    <xdr:pic>
      <xdr:nvPicPr>
        <xdr:cNvPr id="88" name="ID_46631B977F454E73B4B541017BB48C0C"/>
        <xdr:cNvPicPr>
          <a:picLocks noChangeAspect="1"/>
        </xdr:cNvPicPr>
      </xdr:nvPicPr>
      <xdr:blipFill>
        <a:blip r:embed="rId13" cstate="print"/>
        <a:stretch>
          <a:fillRect/>
        </a:stretch>
      </xdr:blipFill>
      <xdr:spPr>
        <a:xfrm>
          <a:off x="191770" y="11315700"/>
          <a:ext cx="236855" cy="0"/>
        </a:xfrm>
        <a:prstGeom prst="rect">
          <a:avLst/>
        </a:prstGeom>
      </xdr:spPr>
    </xdr:pic>
  </etc:cellImage>
  <etc:cellImage>
    <xdr:pic>
      <xdr:nvPicPr>
        <xdr:cNvPr id="87" name="ID_67726F3A757C4035981D016D61C7B570"/>
        <xdr:cNvPicPr>
          <a:picLocks noChangeAspect="1"/>
        </xdr:cNvPicPr>
      </xdr:nvPicPr>
      <xdr:blipFill>
        <a:blip r:embed="rId14" cstate="print"/>
        <a:stretch>
          <a:fillRect/>
        </a:stretch>
      </xdr:blipFill>
      <xdr:spPr>
        <a:xfrm>
          <a:off x="191770" y="12534900"/>
          <a:ext cx="236855" cy="0"/>
        </a:xfrm>
        <a:prstGeom prst="rect">
          <a:avLst/>
        </a:prstGeom>
      </xdr:spPr>
    </xdr:pic>
  </etc:cellImage>
  <etc:cellImage>
    <xdr:pic>
      <xdr:nvPicPr>
        <xdr:cNvPr id="86" name="ID_BD93ACE6EC2F4825AE24F372D29E5C4F"/>
        <xdr:cNvPicPr>
          <a:picLocks noChangeAspect="1"/>
        </xdr:cNvPicPr>
      </xdr:nvPicPr>
      <xdr:blipFill>
        <a:blip r:embed="rId15" cstate="print"/>
        <a:stretch>
          <a:fillRect/>
        </a:stretch>
      </xdr:blipFill>
      <xdr:spPr>
        <a:xfrm>
          <a:off x="191770" y="12230100"/>
          <a:ext cx="236855" cy="0"/>
        </a:xfrm>
        <a:prstGeom prst="rect">
          <a:avLst/>
        </a:prstGeom>
      </xdr:spPr>
    </xdr:pic>
  </etc:cellImage>
  <etc:cellImage>
    <xdr:pic>
      <xdr:nvPicPr>
        <xdr:cNvPr id="85" name="ID_2B1B7166868741E985F041F8EEB24459"/>
        <xdr:cNvPicPr>
          <a:picLocks noChangeAspect="1"/>
        </xdr:cNvPicPr>
      </xdr:nvPicPr>
      <xdr:blipFill>
        <a:blip r:embed="rId16" cstate="print"/>
        <a:stretch>
          <a:fillRect/>
        </a:stretch>
      </xdr:blipFill>
      <xdr:spPr>
        <a:xfrm>
          <a:off x="191770" y="12230100"/>
          <a:ext cx="236855" cy="0"/>
        </a:xfrm>
        <a:prstGeom prst="rect">
          <a:avLst/>
        </a:prstGeom>
      </xdr:spPr>
    </xdr:pic>
  </etc:cellImage>
  <etc:cellImage>
    <xdr:pic>
      <xdr:nvPicPr>
        <xdr:cNvPr id="84" name="ID_2E1F94CC0B864DDA9DFB212D5FA1F478"/>
        <xdr:cNvPicPr>
          <a:picLocks noChangeAspect="1"/>
        </xdr:cNvPicPr>
      </xdr:nvPicPr>
      <xdr:blipFill>
        <a:blip r:embed="rId17" cstate="print"/>
        <a:stretch>
          <a:fillRect/>
        </a:stretch>
      </xdr:blipFill>
      <xdr:spPr>
        <a:xfrm>
          <a:off x="191770" y="12534900"/>
          <a:ext cx="236855" cy="0"/>
        </a:xfrm>
        <a:prstGeom prst="rect">
          <a:avLst/>
        </a:prstGeom>
      </xdr:spPr>
    </xdr:pic>
  </etc:cellImage>
  <etc:cellImage>
    <xdr:pic>
      <xdr:nvPicPr>
        <xdr:cNvPr id="83" name="ID_2CCB73B2F9384B3BB68EC1F8E7FC7769"/>
        <xdr:cNvPicPr>
          <a:picLocks noChangeAspect="1"/>
        </xdr:cNvPicPr>
      </xdr:nvPicPr>
      <xdr:blipFill>
        <a:blip r:embed="rId18" cstate="print"/>
        <a:stretch>
          <a:fillRect/>
        </a:stretch>
      </xdr:blipFill>
      <xdr:spPr>
        <a:xfrm>
          <a:off x="191770" y="12534900"/>
          <a:ext cx="236855" cy="0"/>
        </a:xfrm>
        <a:prstGeom prst="rect">
          <a:avLst/>
        </a:prstGeom>
      </xdr:spPr>
    </xdr:pic>
  </etc:cellImage>
  <etc:cellImage>
    <xdr:pic>
      <xdr:nvPicPr>
        <xdr:cNvPr id="82" name="ID_0C8DEFC666C44787B08618FABD5B18E9"/>
        <xdr:cNvPicPr>
          <a:picLocks noChangeAspect="1"/>
        </xdr:cNvPicPr>
      </xdr:nvPicPr>
      <xdr:blipFill>
        <a:blip r:embed="rId19" cstate="print"/>
        <a:stretch>
          <a:fillRect/>
        </a:stretch>
      </xdr:blipFill>
      <xdr:spPr>
        <a:xfrm>
          <a:off x="191770" y="12274550"/>
          <a:ext cx="236855" cy="225425"/>
        </a:xfrm>
        <a:prstGeom prst="rect">
          <a:avLst/>
        </a:prstGeom>
      </xdr:spPr>
    </xdr:pic>
  </etc:cellImage>
  <etc:cellImage>
    <xdr:pic>
      <xdr:nvPicPr>
        <xdr:cNvPr id="81" name="ID_30D42F93DFE24E1D9BAFC6A4C90A173F"/>
        <xdr:cNvPicPr>
          <a:picLocks noChangeAspect="1"/>
        </xdr:cNvPicPr>
      </xdr:nvPicPr>
      <xdr:blipFill>
        <a:blip r:embed="rId20" cstate="print"/>
        <a:stretch>
          <a:fillRect/>
        </a:stretch>
      </xdr:blipFill>
      <xdr:spPr>
        <a:xfrm>
          <a:off x="191770" y="12230100"/>
          <a:ext cx="236855" cy="0"/>
        </a:xfrm>
        <a:prstGeom prst="rect">
          <a:avLst/>
        </a:prstGeom>
      </xdr:spPr>
    </xdr:pic>
  </etc:cellImage>
  <etc:cellImage>
    <xdr:pic>
      <xdr:nvPicPr>
        <xdr:cNvPr id="80" name="ID_E1D9CA01BC2B4CF9AEDC354D1297F25A"/>
        <xdr:cNvPicPr>
          <a:picLocks noChangeAspect="1"/>
        </xdr:cNvPicPr>
      </xdr:nvPicPr>
      <xdr:blipFill>
        <a:blip r:embed="rId21" cstate="print"/>
        <a:stretch>
          <a:fillRect/>
        </a:stretch>
      </xdr:blipFill>
      <xdr:spPr>
        <a:xfrm>
          <a:off x="191770" y="12230100"/>
          <a:ext cx="236855" cy="0"/>
        </a:xfrm>
        <a:prstGeom prst="rect">
          <a:avLst/>
        </a:prstGeom>
      </xdr:spPr>
    </xdr:pic>
  </etc:cellImage>
  <etc:cellImage>
    <xdr:pic>
      <xdr:nvPicPr>
        <xdr:cNvPr id="79" name="ID_8C5E730FAC7B4A6C8C8AD5974678E128"/>
        <xdr:cNvPicPr>
          <a:picLocks noChangeAspect="1"/>
        </xdr:cNvPicPr>
      </xdr:nvPicPr>
      <xdr:blipFill>
        <a:blip r:embed="rId22" cstate="print"/>
        <a:stretch>
          <a:fillRect/>
        </a:stretch>
      </xdr:blipFill>
      <xdr:spPr>
        <a:xfrm>
          <a:off x="191770" y="12230100"/>
          <a:ext cx="236855" cy="0"/>
        </a:xfrm>
        <a:prstGeom prst="rect">
          <a:avLst/>
        </a:prstGeom>
      </xdr:spPr>
    </xdr:pic>
  </etc:cellImage>
  <etc:cellImage>
    <xdr:pic>
      <xdr:nvPicPr>
        <xdr:cNvPr id="78" name="ID_0A0904F2627349CA808EC6B23764ABD2"/>
        <xdr:cNvPicPr>
          <a:picLocks noChangeAspect="1"/>
        </xdr:cNvPicPr>
      </xdr:nvPicPr>
      <xdr:blipFill>
        <a:blip r:embed="rId23" cstate="print"/>
        <a:stretch>
          <a:fillRect/>
        </a:stretch>
      </xdr:blipFill>
      <xdr:spPr>
        <a:xfrm>
          <a:off x="191770" y="11360150"/>
          <a:ext cx="236855" cy="225425"/>
        </a:xfrm>
        <a:prstGeom prst="rect">
          <a:avLst/>
        </a:prstGeom>
      </xdr:spPr>
    </xdr:pic>
  </etc:cellImage>
  <etc:cellImage>
    <xdr:pic>
      <xdr:nvPicPr>
        <xdr:cNvPr id="77" name="ID_043F857DD10E4EF2AEE0445F9B277E79"/>
        <xdr:cNvPicPr>
          <a:picLocks noChangeAspect="1"/>
        </xdr:cNvPicPr>
      </xdr:nvPicPr>
      <xdr:blipFill>
        <a:blip r:embed="rId24" cstate="print"/>
        <a:stretch>
          <a:fillRect/>
        </a:stretch>
      </xdr:blipFill>
      <xdr:spPr>
        <a:xfrm>
          <a:off x="191770" y="9226550"/>
          <a:ext cx="236855" cy="225425"/>
        </a:xfrm>
        <a:prstGeom prst="rect">
          <a:avLst/>
        </a:prstGeom>
      </xdr:spPr>
    </xdr:pic>
  </etc:cellImage>
  <etc:cellImage>
    <xdr:pic>
      <xdr:nvPicPr>
        <xdr:cNvPr id="76" name="ID_62455B759D79453294D55DB7F5710711"/>
        <xdr:cNvPicPr>
          <a:picLocks noChangeAspect="1"/>
        </xdr:cNvPicPr>
      </xdr:nvPicPr>
      <xdr:blipFill>
        <a:blip r:embed="rId25" cstate="print"/>
        <a:stretch>
          <a:fillRect/>
        </a:stretch>
      </xdr:blipFill>
      <xdr:spPr>
        <a:xfrm>
          <a:off x="191770" y="11969750"/>
          <a:ext cx="236855" cy="225425"/>
        </a:xfrm>
        <a:prstGeom prst="rect">
          <a:avLst/>
        </a:prstGeom>
      </xdr:spPr>
    </xdr:pic>
  </etc:cellImage>
  <etc:cellImage>
    <xdr:pic>
      <xdr:nvPicPr>
        <xdr:cNvPr id="75" name="ID_2F12D14F0EE94C2CA55D9E4E5BEA9928"/>
        <xdr:cNvPicPr>
          <a:picLocks noChangeAspect="1"/>
        </xdr:cNvPicPr>
      </xdr:nvPicPr>
      <xdr:blipFill>
        <a:blip r:embed="rId26" cstate="print"/>
        <a:stretch>
          <a:fillRect/>
        </a:stretch>
      </xdr:blipFill>
      <xdr:spPr>
        <a:xfrm>
          <a:off x="191770" y="12230100"/>
          <a:ext cx="236855" cy="0"/>
        </a:xfrm>
        <a:prstGeom prst="rect">
          <a:avLst/>
        </a:prstGeom>
      </xdr:spPr>
    </xdr:pic>
  </etc:cellImage>
  <etc:cellImage>
    <xdr:pic>
      <xdr:nvPicPr>
        <xdr:cNvPr id="74" name="ID_C2293EB643D94089B6DE0B696467DEBB"/>
        <xdr:cNvPicPr>
          <a:picLocks noChangeAspect="1"/>
        </xdr:cNvPicPr>
      </xdr:nvPicPr>
      <xdr:blipFill>
        <a:blip r:embed="rId27" cstate="print"/>
        <a:stretch>
          <a:fillRect/>
        </a:stretch>
      </xdr:blipFill>
      <xdr:spPr>
        <a:xfrm>
          <a:off x="191770" y="8572500"/>
          <a:ext cx="236855" cy="0"/>
        </a:xfrm>
        <a:prstGeom prst="rect">
          <a:avLst/>
        </a:prstGeom>
      </xdr:spPr>
    </xdr:pic>
  </etc:cellImage>
  <etc:cellImage>
    <xdr:pic>
      <xdr:nvPicPr>
        <xdr:cNvPr id="73" name="ID_E2FFB49708A34DBC8F7BC3AEBCC2481C"/>
        <xdr:cNvPicPr>
          <a:picLocks noChangeAspect="1"/>
        </xdr:cNvPicPr>
      </xdr:nvPicPr>
      <xdr:blipFill>
        <a:blip r:embed="rId28" cstate="print"/>
        <a:stretch>
          <a:fillRect/>
        </a:stretch>
      </xdr:blipFill>
      <xdr:spPr>
        <a:xfrm>
          <a:off x="191770" y="11664950"/>
          <a:ext cx="236855" cy="225425"/>
        </a:xfrm>
        <a:prstGeom prst="rect">
          <a:avLst/>
        </a:prstGeom>
      </xdr:spPr>
    </xdr:pic>
  </etc:cellImage>
  <etc:cellImage>
    <xdr:pic>
      <xdr:nvPicPr>
        <xdr:cNvPr id="72" name="ID_4F8FCD512A174CB4B7690A5054E31FD5"/>
        <xdr:cNvPicPr>
          <a:picLocks noChangeAspect="1"/>
        </xdr:cNvPicPr>
      </xdr:nvPicPr>
      <xdr:blipFill>
        <a:blip r:embed="rId29" cstate="print"/>
        <a:stretch>
          <a:fillRect/>
        </a:stretch>
      </xdr:blipFill>
      <xdr:spPr>
        <a:xfrm>
          <a:off x="191770" y="11620500"/>
          <a:ext cx="236855" cy="0"/>
        </a:xfrm>
        <a:prstGeom prst="rect">
          <a:avLst/>
        </a:prstGeom>
      </xdr:spPr>
    </xdr:pic>
  </etc:cellImage>
  <etc:cellImage>
    <xdr:pic>
      <xdr:nvPicPr>
        <xdr:cNvPr id="71" name="ID_3F175BE10DDC46E9AB3ABED2C824E2F0"/>
        <xdr:cNvPicPr>
          <a:picLocks noChangeAspect="1"/>
        </xdr:cNvPicPr>
      </xdr:nvPicPr>
      <xdr:blipFill>
        <a:blip r:embed="rId30" cstate="print"/>
        <a:stretch>
          <a:fillRect/>
        </a:stretch>
      </xdr:blipFill>
      <xdr:spPr>
        <a:xfrm>
          <a:off x="191770" y="11315700"/>
          <a:ext cx="236855" cy="0"/>
        </a:xfrm>
        <a:prstGeom prst="rect">
          <a:avLst/>
        </a:prstGeom>
      </xdr:spPr>
    </xdr:pic>
  </etc:cellImage>
  <etc:cellImage>
    <xdr:pic>
      <xdr:nvPicPr>
        <xdr:cNvPr id="70" name="ID_FE64A76F59EA44D1B92264F6CA0DB10D"/>
        <xdr:cNvPicPr>
          <a:picLocks noChangeAspect="1"/>
        </xdr:cNvPicPr>
      </xdr:nvPicPr>
      <xdr:blipFill>
        <a:blip r:embed="rId31" cstate="print"/>
        <a:stretch>
          <a:fillRect/>
        </a:stretch>
      </xdr:blipFill>
      <xdr:spPr>
        <a:xfrm>
          <a:off x="191770" y="10750550"/>
          <a:ext cx="236855" cy="225425"/>
        </a:xfrm>
        <a:prstGeom prst="rect">
          <a:avLst/>
        </a:prstGeom>
      </xdr:spPr>
    </xdr:pic>
  </etc:cellImage>
  <etc:cellImage>
    <xdr:pic>
      <xdr:nvPicPr>
        <xdr:cNvPr id="69" name="ID_F1D8C43A691D4C66AD580F07ED2A423F"/>
        <xdr:cNvPicPr>
          <a:picLocks noChangeAspect="1"/>
        </xdr:cNvPicPr>
      </xdr:nvPicPr>
      <xdr:blipFill>
        <a:blip r:embed="rId32" cstate="print"/>
        <a:stretch>
          <a:fillRect/>
        </a:stretch>
      </xdr:blipFill>
      <xdr:spPr>
        <a:xfrm>
          <a:off x="191770" y="11315700"/>
          <a:ext cx="236855" cy="0"/>
        </a:xfrm>
        <a:prstGeom prst="rect">
          <a:avLst/>
        </a:prstGeom>
      </xdr:spPr>
    </xdr:pic>
  </etc:cellImage>
  <etc:cellImage>
    <xdr:pic>
      <xdr:nvPicPr>
        <xdr:cNvPr id="68" name="ID_8D82A3019FF84ACEA93C744F4B13FDC7"/>
        <xdr:cNvPicPr>
          <a:picLocks noChangeAspect="1"/>
        </xdr:cNvPicPr>
      </xdr:nvPicPr>
      <xdr:blipFill>
        <a:blip r:embed="rId33" cstate="print"/>
        <a:stretch>
          <a:fillRect/>
        </a:stretch>
      </xdr:blipFill>
      <xdr:spPr>
        <a:xfrm>
          <a:off x="191770" y="11010900"/>
          <a:ext cx="236855" cy="0"/>
        </a:xfrm>
        <a:prstGeom prst="rect">
          <a:avLst/>
        </a:prstGeom>
      </xdr:spPr>
    </xdr:pic>
  </etc:cellImage>
  <etc:cellImage>
    <xdr:pic>
      <xdr:nvPicPr>
        <xdr:cNvPr id="67" name="ID_0101DFA0E0C945B0BA79450D1A70C6C7"/>
        <xdr:cNvPicPr>
          <a:picLocks noChangeAspect="1"/>
        </xdr:cNvPicPr>
      </xdr:nvPicPr>
      <xdr:blipFill>
        <a:blip r:embed="rId34" cstate="print"/>
        <a:stretch>
          <a:fillRect/>
        </a:stretch>
      </xdr:blipFill>
      <xdr:spPr>
        <a:xfrm>
          <a:off x="191770" y="11055350"/>
          <a:ext cx="236855" cy="225425"/>
        </a:xfrm>
        <a:prstGeom prst="rect">
          <a:avLst/>
        </a:prstGeom>
      </xdr:spPr>
    </xdr:pic>
  </etc:cellImage>
  <etc:cellImage>
    <xdr:pic>
      <xdr:nvPicPr>
        <xdr:cNvPr id="66" name="ID_707185AC1769403189C5063E8C18E30F"/>
        <xdr:cNvPicPr>
          <a:picLocks noChangeAspect="1"/>
        </xdr:cNvPicPr>
      </xdr:nvPicPr>
      <xdr:blipFill>
        <a:blip r:embed="rId35" cstate="print"/>
        <a:stretch>
          <a:fillRect/>
        </a:stretch>
      </xdr:blipFill>
      <xdr:spPr>
        <a:xfrm>
          <a:off x="191770" y="10445750"/>
          <a:ext cx="236855" cy="225425"/>
        </a:xfrm>
        <a:prstGeom prst="rect">
          <a:avLst/>
        </a:prstGeom>
      </xdr:spPr>
    </xdr:pic>
  </etc:cellImage>
  <etc:cellImage>
    <xdr:pic>
      <xdr:nvPicPr>
        <xdr:cNvPr id="65" name="ID_9705F7345F4546758C5DF54CD00DEF66"/>
        <xdr:cNvPicPr>
          <a:picLocks noChangeAspect="1"/>
        </xdr:cNvPicPr>
      </xdr:nvPicPr>
      <xdr:blipFill>
        <a:blip r:embed="rId36" cstate="print"/>
        <a:stretch>
          <a:fillRect/>
        </a:stretch>
      </xdr:blipFill>
      <xdr:spPr>
        <a:xfrm>
          <a:off x="191770" y="10140950"/>
          <a:ext cx="236855" cy="225425"/>
        </a:xfrm>
        <a:prstGeom prst="rect">
          <a:avLst/>
        </a:prstGeom>
      </xdr:spPr>
    </xdr:pic>
  </etc:cellImage>
  <etc:cellImage>
    <xdr:pic>
      <xdr:nvPicPr>
        <xdr:cNvPr id="8" name="ID_58C50482C0E0432EAB233D3362587744"/>
        <xdr:cNvPicPr>
          <a:picLocks noChangeAspect="1"/>
        </xdr:cNvPicPr>
      </xdr:nvPicPr>
      <xdr:blipFill>
        <a:blip r:embed="rId20" cstate="print"/>
        <a:stretch>
          <a:fillRect/>
        </a:stretch>
      </xdr:blipFill>
      <xdr:spPr>
        <a:xfrm>
          <a:off x="191770" y="1866900"/>
          <a:ext cx="236855" cy="0"/>
        </a:xfrm>
        <a:prstGeom prst="rect">
          <a:avLst/>
        </a:prstGeom>
      </xdr:spPr>
    </xdr:pic>
  </etc:cellImage>
  <etc:cellImage>
    <xdr:pic>
      <xdr:nvPicPr>
        <xdr:cNvPr id="7" name="ID_0B07DAE0F2D94F6E862950B1E0BBD0DE"/>
        <xdr:cNvPicPr>
          <a:picLocks noChangeAspect="1"/>
        </xdr:cNvPicPr>
      </xdr:nvPicPr>
      <xdr:blipFill>
        <a:blip r:embed="rId37" cstate="print"/>
        <a:stretch>
          <a:fillRect/>
        </a:stretch>
      </xdr:blipFill>
      <xdr:spPr>
        <a:xfrm>
          <a:off x="191770" y="996950"/>
          <a:ext cx="236855" cy="225425"/>
        </a:xfrm>
        <a:prstGeom prst="rect">
          <a:avLst/>
        </a:prstGeom>
      </xdr:spPr>
    </xdr:pic>
  </etc:cellImage>
  <etc:cellImage>
    <xdr:pic>
      <xdr:nvPicPr>
        <xdr:cNvPr id="6" name="ID_F8C62BFF558E45CFA4334C1EE305D5D3"/>
        <xdr:cNvPicPr>
          <a:picLocks noChangeAspect="1"/>
        </xdr:cNvPicPr>
      </xdr:nvPicPr>
      <xdr:blipFill>
        <a:blip r:embed="rId38" cstate="print"/>
        <a:stretch>
          <a:fillRect/>
        </a:stretch>
      </xdr:blipFill>
      <xdr:spPr>
        <a:xfrm>
          <a:off x="191770" y="1562100"/>
          <a:ext cx="236855" cy="0"/>
        </a:xfrm>
        <a:prstGeom prst="rect">
          <a:avLst/>
        </a:prstGeom>
      </xdr:spPr>
    </xdr:pic>
  </etc:cellImage>
  <etc:cellImage>
    <xdr:pic>
      <xdr:nvPicPr>
        <xdr:cNvPr id="5" name="ID_168933CA91F941A4BBCE76ABF544B6D2"/>
        <xdr:cNvPicPr>
          <a:picLocks noChangeAspect="1"/>
        </xdr:cNvPicPr>
      </xdr:nvPicPr>
      <xdr:blipFill>
        <a:blip r:embed="rId39" cstate="print"/>
        <a:stretch>
          <a:fillRect/>
        </a:stretch>
      </xdr:blipFill>
      <xdr:spPr>
        <a:xfrm>
          <a:off x="191770" y="1301750"/>
          <a:ext cx="236855" cy="225425"/>
        </a:xfrm>
        <a:prstGeom prst="rect">
          <a:avLst/>
        </a:prstGeom>
      </xdr:spPr>
    </xdr:pic>
  </etc:cellImage>
  <etc:cellImage>
    <xdr:pic>
      <xdr:nvPicPr>
        <xdr:cNvPr id="4" name="ID_34B2687A4DFC46228EEBD3EFFF5D7023"/>
        <xdr:cNvPicPr>
          <a:picLocks noChangeAspect="1"/>
        </xdr:cNvPicPr>
      </xdr:nvPicPr>
      <xdr:blipFill>
        <a:blip r:embed="rId40" cstate="print"/>
        <a:stretch>
          <a:fillRect/>
        </a:stretch>
      </xdr:blipFill>
      <xdr:spPr>
        <a:xfrm>
          <a:off x="191770" y="387350"/>
          <a:ext cx="236855" cy="225425"/>
        </a:xfrm>
        <a:prstGeom prst="rect">
          <a:avLst/>
        </a:prstGeom>
      </xdr:spPr>
    </xdr:pic>
  </etc:cellImage>
  <etc:cellImage>
    <xdr:pic>
      <xdr:nvPicPr>
        <xdr:cNvPr id="3" name="ID_1BD8C3BEA7D04B2FB3BD63A40757DA5C"/>
        <xdr:cNvPicPr>
          <a:picLocks noChangeAspect="1"/>
        </xdr:cNvPicPr>
      </xdr:nvPicPr>
      <xdr:blipFill>
        <a:blip r:embed="rId41" cstate="print"/>
        <a:stretch>
          <a:fillRect/>
        </a:stretch>
      </xdr:blipFill>
      <xdr:spPr>
        <a:xfrm>
          <a:off x="191770" y="342900"/>
          <a:ext cx="236855" cy="0"/>
        </a:xfrm>
        <a:prstGeom prst="rect">
          <a:avLst/>
        </a:prstGeom>
      </xdr:spPr>
    </xdr:pic>
  </etc:cellImage>
  <etc:cellImage>
    <xdr:pic>
      <xdr:nvPicPr>
        <xdr:cNvPr id="2" name="ID_A0F13DDE8B334B29A36711F9FF5EBD48"/>
        <xdr:cNvPicPr>
          <a:picLocks noChangeAspect="1"/>
        </xdr:cNvPicPr>
      </xdr:nvPicPr>
      <xdr:blipFill>
        <a:blip r:embed="rId42" cstate="print"/>
        <a:stretch>
          <a:fillRect/>
        </a:stretch>
      </xdr:blipFill>
      <xdr:spPr>
        <a:xfrm>
          <a:off x="191770" y="692150"/>
          <a:ext cx="236855" cy="225425"/>
        </a:xfrm>
        <a:prstGeom prst="rect">
          <a:avLst/>
        </a:prstGeom>
      </xdr:spPr>
    </xdr:pic>
  </etc:cellImage>
  <etc:cellImage>
    <xdr:pic>
      <xdr:nvPicPr>
        <xdr:cNvPr id="92" name="ID_FAD38166037842FD8CD5287E485C88B4"/>
        <xdr:cNvPicPr>
          <a:picLocks noChangeAspect="1"/>
        </xdr:cNvPicPr>
      </xdr:nvPicPr>
      <xdr:blipFill>
        <a:blip r:embed="rId43" cstate="print"/>
        <a:stretch>
          <a:fillRect/>
        </a:stretch>
      </xdr:blipFill>
      <xdr:spPr>
        <a:xfrm>
          <a:off x="191770" y="13188950"/>
          <a:ext cx="236855" cy="225425"/>
        </a:xfrm>
        <a:prstGeom prst="rect">
          <a:avLst/>
        </a:prstGeom>
      </xdr:spPr>
    </xdr:pic>
  </etc:cellImage>
  <etc:cellImage>
    <xdr:pic>
      <xdr:nvPicPr>
        <xdr:cNvPr id="9" name="ID_60225539C4B8461EB6B81F4E7E49D1A7"/>
        <xdr:cNvPicPr>
          <a:picLocks noChangeAspect="1"/>
        </xdr:cNvPicPr>
      </xdr:nvPicPr>
      <xdr:blipFill>
        <a:blip r:embed="rId44" cstate="print"/>
        <a:stretch>
          <a:fillRect/>
        </a:stretch>
      </xdr:blipFill>
      <xdr:spPr>
        <a:xfrm>
          <a:off x="191770" y="1562100"/>
          <a:ext cx="236855" cy="0"/>
        </a:xfrm>
        <a:prstGeom prst="rect">
          <a:avLst/>
        </a:prstGeom>
      </xdr:spPr>
    </xdr:pic>
  </etc:cellImage>
  <etc:cellImage>
    <xdr:pic>
      <xdr:nvPicPr>
        <xdr:cNvPr id="10" name="ID_9BB6699F8417467D8583EC28872B47C4"/>
        <xdr:cNvPicPr>
          <a:picLocks noChangeAspect="1"/>
        </xdr:cNvPicPr>
      </xdr:nvPicPr>
      <xdr:blipFill>
        <a:blip r:embed="rId45" cstate="print"/>
        <a:stretch>
          <a:fillRect/>
        </a:stretch>
      </xdr:blipFill>
      <xdr:spPr>
        <a:xfrm>
          <a:off x="191770" y="342900"/>
          <a:ext cx="236855" cy="0"/>
        </a:xfrm>
        <a:prstGeom prst="rect">
          <a:avLst/>
        </a:prstGeom>
      </xdr:spPr>
    </xdr:pic>
  </etc:cellImage>
  <etc:cellImage>
    <xdr:pic>
      <xdr:nvPicPr>
        <xdr:cNvPr id="11" name="ID_6486421BA9514E2B9B3A62A074B7B3E4"/>
        <xdr:cNvPicPr>
          <a:picLocks noChangeAspect="1"/>
        </xdr:cNvPicPr>
      </xdr:nvPicPr>
      <xdr:blipFill>
        <a:blip r:embed="rId45" cstate="print"/>
        <a:stretch>
          <a:fillRect/>
        </a:stretch>
      </xdr:blipFill>
      <xdr:spPr>
        <a:xfrm>
          <a:off x="191770" y="1562100"/>
          <a:ext cx="236855" cy="0"/>
        </a:xfrm>
        <a:prstGeom prst="rect">
          <a:avLst/>
        </a:prstGeom>
      </xdr:spPr>
    </xdr:pic>
  </etc:cellImage>
  <etc:cellImage>
    <xdr:pic>
      <xdr:nvPicPr>
        <xdr:cNvPr id="12" name="ID_DA18F5B6DC844942BA9D5059C31799BA"/>
        <xdr:cNvPicPr>
          <a:picLocks noChangeAspect="1"/>
        </xdr:cNvPicPr>
      </xdr:nvPicPr>
      <xdr:blipFill>
        <a:blip r:embed="rId46" cstate="print"/>
        <a:stretch>
          <a:fillRect/>
        </a:stretch>
      </xdr:blipFill>
      <xdr:spPr>
        <a:xfrm>
          <a:off x="191770" y="2216150"/>
          <a:ext cx="236855" cy="225425"/>
        </a:xfrm>
        <a:prstGeom prst="rect">
          <a:avLst/>
        </a:prstGeom>
      </xdr:spPr>
    </xdr:pic>
  </etc:cellImage>
  <etc:cellImage>
    <xdr:pic>
      <xdr:nvPicPr>
        <xdr:cNvPr id="13" name="ID_D6FBD16F2536404EA442620E070CFFA3"/>
        <xdr:cNvPicPr>
          <a:picLocks noChangeAspect="1"/>
        </xdr:cNvPicPr>
      </xdr:nvPicPr>
      <xdr:blipFill>
        <a:blip r:embed="rId47" cstate="print"/>
        <a:stretch>
          <a:fillRect/>
        </a:stretch>
      </xdr:blipFill>
      <xdr:spPr>
        <a:xfrm>
          <a:off x="191770" y="2520950"/>
          <a:ext cx="236855" cy="225425"/>
        </a:xfrm>
        <a:prstGeom prst="rect">
          <a:avLst/>
        </a:prstGeom>
      </xdr:spPr>
    </xdr:pic>
  </etc:cellImage>
  <etc:cellImage>
    <xdr:pic>
      <xdr:nvPicPr>
        <xdr:cNvPr id="14" name="ID_AD1004364916406D9A818EE1D4B8FDA0"/>
        <xdr:cNvPicPr>
          <a:picLocks noChangeAspect="1"/>
        </xdr:cNvPicPr>
      </xdr:nvPicPr>
      <xdr:blipFill>
        <a:blip r:embed="rId48" cstate="print"/>
        <a:stretch>
          <a:fillRect/>
        </a:stretch>
      </xdr:blipFill>
      <xdr:spPr>
        <a:xfrm>
          <a:off x="191770" y="1606550"/>
          <a:ext cx="236855" cy="225425"/>
        </a:xfrm>
        <a:prstGeom prst="rect">
          <a:avLst/>
        </a:prstGeom>
      </xdr:spPr>
    </xdr:pic>
  </etc:cellImage>
  <etc:cellImage>
    <xdr:pic>
      <xdr:nvPicPr>
        <xdr:cNvPr id="15" name="ID_8126D500AFE74F9ABF3684C3150F60E5"/>
        <xdr:cNvPicPr>
          <a:picLocks noChangeAspect="1"/>
        </xdr:cNvPicPr>
      </xdr:nvPicPr>
      <xdr:blipFill>
        <a:blip r:embed="rId49" cstate="print"/>
        <a:stretch>
          <a:fillRect/>
        </a:stretch>
      </xdr:blipFill>
      <xdr:spPr>
        <a:xfrm>
          <a:off x="191770" y="2825750"/>
          <a:ext cx="236855" cy="225425"/>
        </a:xfrm>
        <a:prstGeom prst="rect">
          <a:avLst/>
        </a:prstGeom>
      </xdr:spPr>
    </xdr:pic>
  </etc:cellImage>
  <etc:cellImage>
    <xdr:pic>
      <xdr:nvPicPr>
        <xdr:cNvPr id="16" name="ID_963E2B006778408386D1B2119A9E10AB"/>
        <xdr:cNvPicPr>
          <a:picLocks noChangeAspect="1"/>
        </xdr:cNvPicPr>
      </xdr:nvPicPr>
      <xdr:blipFill>
        <a:blip r:embed="rId50" cstate="print"/>
        <a:stretch>
          <a:fillRect/>
        </a:stretch>
      </xdr:blipFill>
      <xdr:spPr>
        <a:xfrm>
          <a:off x="191770" y="1911350"/>
          <a:ext cx="236855" cy="225425"/>
        </a:xfrm>
        <a:prstGeom prst="rect">
          <a:avLst/>
        </a:prstGeom>
      </xdr:spPr>
    </xdr:pic>
  </etc:cellImage>
  <etc:cellImage>
    <xdr:pic>
      <xdr:nvPicPr>
        <xdr:cNvPr id="17" name="ID_6E8189C4B8BE4E21949F8A5C2F3AE456"/>
        <xdr:cNvPicPr>
          <a:picLocks noChangeAspect="1"/>
        </xdr:cNvPicPr>
      </xdr:nvPicPr>
      <xdr:blipFill>
        <a:blip r:embed="rId51" cstate="print"/>
        <a:stretch>
          <a:fillRect/>
        </a:stretch>
      </xdr:blipFill>
      <xdr:spPr>
        <a:xfrm>
          <a:off x="191770" y="3130550"/>
          <a:ext cx="236855" cy="225425"/>
        </a:xfrm>
        <a:prstGeom prst="rect">
          <a:avLst/>
        </a:prstGeom>
      </xdr:spPr>
    </xdr:pic>
  </etc:cellImage>
  <etc:cellImage>
    <xdr:pic>
      <xdr:nvPicPr>
        <xdr:cNvPr id="18" name="ID_4E81547F4BEE461085BD2D2F03DA7A6B"/>
        <xdr:cNvPicPr>
          <a:picLocks noChangeAspect="1"/>
        </xdr:cNvPicPr>
      </xdr:nvPicPr>
      <xdr:blipFill>
        <a:blip r:embed="rId26" cstate="print"/>
        <a:stretch>
          <a:fillRect/>
        </a:stretch>
      </xdr:blipFill>
      <xdr:spPr>
        <a:xfrm>
          <a:off x="191770" y="2476500"/>
          <a:ext cx="236855" cy="0"/>
        </a:xfrm>
        <a:prstGeom prst="rect">
          <a:avLst/>
        </a:prstGeom>
      </xdr:spPr>
    </xdr:pic>
  </etc:cellImage>
  <etc:cellImage>
    <xdr:pic>
      <xdr:nvPicPr>
        <xdr:cNvPr id="19" name="ID_85F5F6F281554AE4B8AB090954BA9F3A"/>
        <xdr:cNvPicPr>
          <a:picLocks noChangeAspect="1"/>
        </xdr:cNvPicPr>
      </xdr:nvPicPr>
      <xdr:blipFill>
        <a:blip r:embed="rId52" cstate="print"/>
        <a:stretch>
          <a:fillRect/>
        </a:stretch>
      </xdr:blipFill>
      <xdr:spPr>
        <a:xfrm>
          <a:off x="191770" y="4044950"/>
          <a:ext cx="236855" cy="225425"/>
        </a:xfrm>
        <a:prstGeom prst="rect">
          <a:avLst/>
        </a:prstGeom>
      </xdr:spPr>
    </xdr:pic>
  </etc:cellImage>
  <etc:cellImage>
    <xdr:pic>
      <xdr:nvPicPr>
        <xdr:cNvPr id="20" name="ID_4B0ABAD674854334950225CB578D0A81"/>
        <xdr:cNvPicPr>
          <a:picLocks noChangeAspect="1"/>
        </xdr:cNvPicPr>
      </xdr:nvPicPr>
      <xdr:blipFill>
        <a:blip r:embed="rId53" cstate="print"/>
        <a:stretch>
          <a:fillRect/>
        </a:stretch>
      </xdr:blipFill>
      <xdr:spPr>
        <a:xfrm>
          <a:off x="191770" y="3740150"/>
          <a:ext cx="236855" cy="225425"/>
        </a:xfrm>
        <a:prstGeom prst="rect">
          <a:avLst/>
        </a:prstGeom>
      </xdr:spPr>
    </xdr:pic>
  </etc:cellImage>
  <etc:cellImage>
    <xdr:pic>
      <xdr:nvPicPr>
        <xdr:cNvPr id="21" name="ID_3C23BEE860A9416E9EF04095D31EF954"/>
        <xdr:cNvPicPr>
          <a:picLocks noChangeAspect="1"/>
        </xdr:cNvPicPr>
      </xdr:nvPicPr>
      <xdr:blipFill>
        <a:blip r:embed="rId54" cstate="print"/>
        <a:stretch>
          <a:fillRect/>
        </a:stretch>
      </xdr:blipFill>
      <xdr:spPr>
        <a:xfrm>
          <a:off x="191770" y="4305300"/>
          <a:ext cx="236855" cy="0"/>
        </a:xfrm>
        <a:prstGeom prst="rect">
          <a:avLst/>
        </a:prstGeom>
      </xdr:spPr>
    </xdr:pic>
  </etc:cellImage>
  <etc:cellImage>
    <xdr:pic>
      <xdr:nvPicPr>
        <xdr:cNvPr id="22" name="ID_5488E7BEEB5045CBA039A7922242863C"/>
        <xdr:cNvPicPr>
          <a:picLocks noChangeAspect="1"/>
        </xdr:cNvPicPr>
      </xdr:nvPicPr>
      <xdr:blipFill>
        <a:blip r:embed="rId55" cstate="print"/>
        <a:stretch>
          <a:fillRect/>
        </a:stretch>
      </xdr:blipFill>
      <xdr:spPr>
        <a:xfrm>
          <a:off x="191770" y="4305300"/>
          <a:ext cx="236855" cy="0"/>
        </a:xfrm>
        <a:prstGeom prst="rect">
          <a:avLst/>
        </a:prstGeom>
      </xdr:spPr>
    </xdr:pic>
  </etc:cellImage>
  <etc:cellImage>
    <xdr:pic>
      <xdr:nvPicPr>
        <xdr:cNvPr id="23" name="ID_4F7A6A955FA24784B872DC149BB68713"/>
        <xdr:cNvPicPr>
          <a:picLocks noChangeAspect="1"/>
        </xdr:cNvPicPr>
      </xdr:nvPicPr>
      <xdr:blipFill>
        <a:blip r:embed="rId56" cstate="print"/>
        <a:stretch>
          <a:fillRect/>
        </a:stretch>
      </xdr:blipFill>
      <xdr:spPr>
        <a:xfrm>
          <a:off x="191770" y="4349750"/>
          <a:ext cx="236855" cy="225425"/>
        </a:xfrm>
        <a:prstGeom prst="rect">
          <a:avLst/>
        </a:prstGeom>
      </xdr:spPr>
    </xdr:pic>
  </etc:cellImage>
  <etc:cellImage>
    <xdr:pic>
      <xdr:nvPicPr>
        <xdr:cNvPr id="24" name="ID_F84CD71DB4B84EB2B4BD23BD1E59780A"/>
        <xdr:cNvPicPr>
          <a:picLocks noChangeAspect="1"/>
        </xdr:cNvPicPr>
      </xdr:nvPicPr>
      <xdr:blipFill>
        <a:blip r:embed="rId57" cstate="print"/>
        <a:stretch>
          <a:fillRect/>
        </a:stretch>
      </xdr:blipFill>
      <xdr:spPr>
        <a:xfrm>
          <a:off x="191770" y="3086100"/>
          <a:ext cx="236855" cy="0"/>
        </a:xfrm>
        <a:prstGeom prst="rect">
          <a:avLst/>
        </a:prstGeom>
      </xdr:spPr>
    </xdr:pic>
  </etc:cellImage>
  <etc:cellImage>
    <xdr:pic>
      <xdr:nvPicPr>
        <xdr:cNvPr id="25" name="ID_6A8A61CE8C0D4681ADAF922611BFB494"/>
        <xdr:cNvPicPr>
          <a:picLocks noChangeAspect="1"/>
        </xdr:cNvPicPr>
      </xdr:nvPicPr>
      <xdr:blipFill>
        <a:blip r:embed="rId58" cstate="print"/>
        <a:stretch>
          <a:fillRect/>
        </a:stretch>
      </xdr:blipFill>
      <xdr:spPr>
        <a:xfrm>
          <a:off x="191770" y="1866900"/>
          <a:ext cx="236855" cy="0"/>
        </a:xfrm>
        <a:prstGeom prst="rect">
          <a:avLst/>
        </a:prstGeom>
      </xdr:spPr>
    </xdr:pic>
  </etc:cellImage>
  <etc:cellImage>
    <xdr:pic>
      <xdr:nvPicPr>
        <xdr:cNvPr id="26" name="ID_5E99A3605C95405EBABAFD9FA8476DE9"/>
        <xdr:cNvPicPr>
          <a:picLocks noChangeAspect="1"/>
        </xdr:cNvPicPr>
      </xdr:nvPicPr>
      <xdr:blipFill>
        <a:blip r:embed="rId59" cstate="print"/>
        <a:stretch>
          <a:fillRect/>
        </a:stretch>
      </xdr:blipFill>
      <xdr:spPr>
        <a:xfrm>
          <a:off x="191770" y="3435350"/>
          <a:ext cx="236855" cy="225425"/>
        </a:xfrm>
        <a:prstGeom prst="rect">
          <a:avLst/>
        </a:prstGeom>
      </xdr:spPr>
    </xdr:pic>
  </etc:cellImage>
  <etc:cellImage>
    <xdr:pic>
      <xdr:nvPicPr>
        <xdr:cNvPr id="27" name="ID_AE97B81034B64CF4BB1F043B7E47CA8E"/>
        <xdr:cNvPicPr>
          <a:picLocks noChangeAspect="1"/>
        </xdr:cNvPicPr>
      </xdr:nvPicPr>
      <xdr:blipFill>
        <a:blip r:embed="rId41" cstate="print"/>
        <a:stretch>
          <a:fillRect/>
        </a:stretch>
      </xdr:blipFill>
      <xdr:spPr>
        <a:xfrm>
          <a:off x="191770" y="4914900"/>
          <a:ext cx="236855" cy="0"/>
        </a:xfrm>
        <a:prstGeom prst="rect">
          <a:avLst/>
        </a:prstGeom>
      </xdr:spPr>
    </xdr:pic>
  </etc:cellImage>
  <etc:cellImage>
    <xdr:pic>
      <xdr:nvPicPr>
        <xdr:cNvPr id="28" name="ID_BCF1AAA056E1419FB9094A28CC77AE5F"/>
        <xdr:cNvPicPr>
          <a:picLocks noChangeAspect="1"/>
        </xdr:cNvPicPr>
      </xdr:nvPicPr>
      <xdr:blipFill>
        <a:blip r:embed="rId60" cstate="print"/>
        <a:stretch>
          <a:fillRect/>
        </a:stretch>
      </xdr:blipFill>
      <xdr:spPr>
        <a:xfrm>
          <a:off x="191770" y="4654550"/>
          <a:ext cx="236855" cy="225425"/>
        </a:xfrm>
        <a:prstGeom prst="rect">
          <a:avLst/>
        </a:prstGeom>
      </xdr:spPr>
    </xdr:pic>
  </etc:cellImage>
  <etc:cellImage>
    <xdr:pic>
      <xdr:nvPicPr>
        <xdr:cNvPr id="29" name="ID_5E557F95E17F421996487A5A1CEF1724"/>
        <xdr:cNvPicPr>
          <a:picLocks noChangeAspect="1"/>
        </xdr:cNvPicPr>
      </xdr:nvPicPr>
      <xdr:blipFill>
        <a:blip r:embed="rId61" cstate="print"/>
        <a:stretch>
          <a:fillRect/>
        </a:stretch>
      </xdr:blipFill>
      <xdr:spPr>
        <a:xfrm>
          <a:off x="191770" y="5264150"/>
          <a:ext cx="236855" cy="225425"/>
        </a:xfrm>
        <a:prstGeom prst="rect">
          <a:avLst/>
        </a:prstGeom>
      </xdr:spPr>
    </xdr:pic>
  </etc:cellImage>
  <etc:cellImage>
    <xdr:pic>
      <xdr:nvPicPr>
        <xdr:cNvPr id="30" name="ID_606F43EA06784BC694F3913A95315A37"/>
        <xdr:cNvPicPr>
          <a:picLocks noChangeAspect="1"/>
        </xdr:cNvPicPr>
      </xdr:nvPicPr>
      <xdr:blipFill>
        <a:blip r:embed="rId62" cstate="print"/>
        <a:stretch>
          <a:fillRect/>
        </a:stretch>
      </xdr:blipFill>
      <xdr:spPr>
        <a:xfrm>
          <a:off x="191770" y="4959350"/>
          <a:ext cx="236855" cy="225425"/>
        </a:xfrm>
        <a:prstGeom prst="rect">
          <a:avLst/>
        </a:prstGeom>
      </xdr:spPr>
    </xdr:pic>
  </etc:cellImage>
  <etc:cellImage>
    <xdr:pic>
      <xdr:nvPicPr>
        <xdr:cNvPr id="31" name="ID_E0D4B6B78DFE48679E24C5CBD7ADCB7D"/>
        <xdr:cNvPicPr>
          <a:picLocks noChangeAspect="1"/>
        </xdr:cNvPicPr>
      </xdr:nvPicPr>
      <xdr:blipFill>
        <a:blip r:embed="rId63" cstate="print"/>
        <a:stretch>
          <a:fillRect/>
        </a:stretch>
      </xdr:blipFill>
      <xdr:spPr>
        <a:xfrm>
          <a:off x="191770" y="5524500"/>
          <a:ext cx="236855" cy="0"/>
        </a:xfrm>
        <a:prstGeom prst="rect">
          <a:avLst/>
        </a:prstGeom>
      </xdr:spPr>
    </xdr:pic>
  </etc:cellImage>
  <etc:cellImage>
    <xdr:pic>
      <xdr:nvPicPr>
        <xdr:cNvPr id="32" name="ID_0510B419E59A4145819CAAB257164ADD"/>
        <xdr:cNvPicPr>
          <a:picLocks noChangeAspect="1"/>
        </xdr:cNvPicPr>
      </xdr:nvPicPr>
      <xdr:blipFill>
        <a:blip r:embed="rId64" cstate="print"/>
        <a:stretch>
          <a:fillRect/>
        </a:stretch>
      </xdr:blipFill>
      <xdr:spPr>
        <a:xfrm>
          <a:off x="191770" y="5873750"/>
          <a:ext cx="236855" cy="225425"/>
        </a:xfrm>
        <a:prstGeom prst="rect">
          <a:avLst/>
        </a:prstGeom>
      </xdr:spPr>
    </xdr:pic>
  </etc:cellImage>
  <etc:cellImage>
    <xdr:pic>
      <xdr:nvPicPr>
        <xdr:cNvPr id="33" name="ID_66BB588A66594BFA977B5F846D1A01AC"/>
        <xdr:cNvPicPr>
          <a:picLocks noChangeAspect="1"/>
        </xdr:cNvPicPr>
      </xdr:nvPicPr>
      <xdr:blipFill>
        <a:blip r:embed="rId65" cstate="print"/>
        <a:stretch>
          <a:fillRect/>
        </a:stretch>
      </xdr:blipFill>
      <xdr:spPr>
        <a:xfrm>
          <a:off x="191770" y="4610100"/>
          <a:ext cx="236855" cy="0"/>
        </a:xfrm>
        <a:prstGeom prst="rect">
          <a:avLst/>
        </a:prstGeom>
      </xdr:spPr>
    </xdr:pic>
  </etc:cellImage>
  <etc:cellImage>
    <xdr:pic>
      <xdr:nvPicPr>
        <xdr:cNvPr id="34" name="ID_CF5B24AD07414205A4E8226FD8A2A260"/>
        <xdr:cNvPicPr>
          <a:picLocks noChangeAspect="1"/>
        </xdr:cNvPicPr>
      </xdr:nvPicPr>
      <xdr:blipFill>
        <a:blip r:embed="rId66" cstate="print"/>
        <a:stretch>
          <a:fillRect/>
        </a:stretch>
      </xdr:blipFill>
      <xdr:spPr>
        <a:xfrm>
          <a:off x="191770" y="4610100"/>
          <a:ext cx="236855" cy="0"/>
        </a:xfrm>
        <a:prstGeom prst="rect">
          <a:avLst/>
        </a:prstGeom>
      </xdr:spPr>
    </xdr:pic>
  </etc:cellImage>
  <etc:cellImage>
    <xdr:pic>
      <xdr:nvPicPr>
        <xdr:cNvPr id="35" name="ID_8007A548591F4EE7863BF55FD7346300"/>
        <xdr:cNvPicPr>
          <a:picLocks noChangeAspect="1"/>
        </xdr:cNvPicPr>
      </xdr:nvPicPr>
      <xdr:blipFill>
        <a:blip r:embed="rId67" cstate="print"/>
        <a:stretch>
          <a:fillRect/>
        </a:stretch>
      </xdr:blipFill>
      <xdr:spPr>
        <a:xfrm>
          <a:off x="191770" y="6178550"/>
          <a:ext cx="236855" cy="225425"/>
        </a:xfrm>
        <a:prstGeom prst="rect">
          <a:avLst/>
        </a:prstGeom>
      </xdr:spPr>
    </xdr:pic>
  </etc:cellImage>
  <etc:cellImage>
    <xdr:pic>
      <xdr:nvPicPr>
        <xdr:cNvPr id="36" name="ID_2F2C2BFA7521495995953A46A7218B2A"/>
        <xdr:cNvPicPr>
          <a:picLocks noChangeAspect="1"/>
        </xdr:cNvPicPr>
      </xdr:nvPicPr>
      <xdr:blipFill>
        <a:blip r:embed="rId68" cstate="print"/>
        <a:stretch>
          <a:fillRect/>
        </a:stretch>
      </xdr:blipFill>
      <xdr:spPr>
        <a:xfrm>
          <a:off x="191770" y="6788150"/>
          <a:ext cx="236855" cy="225425"/>
        </a:xfrm>
        <a:prstGeom prst="rect">
          <a:avLst/>
        </a:prstGeom>
      </xdr:spPr>
    </xdr:pic>
  </etc:cellImage>
  <etc:cellImage>
    <xdr:pic>
      <xdr:nvPicPr>
        <xdr:cNvPr id="37" name="ID_D4CA95E77E31474BAD15053D92263A3E"/>
        <xdr:cNvPicPr>
          <a:picLocks noChangeAspect="1"/>
        </xdr:cNvPicPr>
      </xdr:nvPicPr>
      <xdr:blipFill>
        <a:blip r:embed="rId69" cstate="print"/>
        <a:stretch>
          <a:fillRect/>
        </a:stretch>
      </xdr:blipFill>
      <xdr:spPr>
        <a:xfrm>
          <a:off x="191770" y="5568950"/>
          <a:ext cx="236855" cy="225425"/>
        </a:xfrm>
        <a:prstGeom prst="rect">
          <a:avLst/>
        </a:prstGeom>
      </xdr:spPr>
    </xdr:pic>
  </etc:cellImage>
  <etc:cellImage>
    <xdr:pic>
      <xdr:nvPicPr>
        <xdr:cNvPr id="38" name="ID_BFE4DC057F2A431AABEF13713B7B54B8"/>
        <xdr:cNvPicPr>
          <a:picLocks noChangeAspect="1"/>
        </xdr:cNvPicPr>
      </xdr:nvPicPr>
      <xdr:blipFill>
        <a:blip r:embed="rId70" cstate="print"/>
        <a:stretch>
          <a:fillRect/>
        </a:stretch>
      </xdr:blipFill>
      <xdr:spPr>
        <a:xfrm>
          <a:off x="191770" y="7092950"/>
          <a:ext cx="236855" cy="225425"/>
        </a:xfrm>
        <a:prstGeom prst="rect">
          <a:avLst/>
        </a:prstGeom>
      </xdr:spPr>
    </xdr:pic>
  </etc:cellImage>
  <etc:cellImage>
    <xdr:pic>
      <xdr:nvPicPr>
        <xdr:cNvPr id="39" name="ID_055E4592ACBA49E4883FDF3F3E914A4D"/>
        <xdr:cNvPicPr>
          <a:picLocks noChangeAspect="1"/>
        </xdr:cNvPicPr>
      </xdr:nvPicPr>
      <xdr:blipFill>
        <a:blip r:embed="rId71" cstate="print"/>
        <a:stretch>
          <a:fillRect/>
        </a:stretch>
      </xdr:blipFill>
      <xdr:spPr>
        <a:xfrm>
          <a:off x="191770" y="7353300"/>
          <a:ext cx="236855" cy="0"/>
        </a:xfrm>
        <a:prstGeom prst="rect">
          <a:avLst/>
        </a:prstGeom>
      </xdr:spPr>
    </xdr:pic>
  </etc:cellImage>
  <etc:cellImage>
    <xdr:pic>
      <xdr:nvPicPr>
        <xdr:cNvPr id="40" name="ID_3AFDD3D9339B4962B3DF3581C639C481"/>
        <xdr:cNvPicPr>
          <a:picLocks noChangeAspect="1"/>
        </xdr:cNvPicPr>
      </xdr:nvPicPr>
      <xdr:blipFill>
        <a:blip r:embed="rId72" cstate="print"/>
        <a:stretch>
          <a:fillRect/>
        </a:stretch>
      </xdr:blipFill>
      <xdr:spPr>
        <a:xfrm>
          <a:off x="191770" y="7353300"/>
          <a:ext cx="236855" cy="0"/>
        </a:xfrm>
        <a:prstGeom prst="rect">
          <a:avLst/>
        </a:prstGeom>
      </xdr:spPr>
    </xdr:pic>
  </etc:cellImage>
  <etc:cellImage>
    <xdr:pic>
      <xdr:nvPicPr>
        <xdr:cNvPr id="41" name="ID_E88B161500E346E196D54ABC38D95BBE"/>
        <xdr:cNvPicPr>
          <a:picLocks noChangeAspect="1"/>
        </xdr:cNvPicPr>
      </xdr:nvPicPr>
      <xdr:blipFill>
        <a:blip r:embed="rId73" cstate="print"/>
        <a:stretch>
          <a:fillRect/>
        </a:stretch>
      </xdr:blipFill>
      <xdr:spPr>
        <a:xfrm>
          <a:off x="191770" y="7353300"/>
          <a:ext cx="236855" cy="0"/>
        </a:xfrm>
        <a:prstGeom prst="rect">
          <a:avLst/>
        </a:prstGeom>
      </xdr:spPr>
    </xdr:pic>
  </etc:cellImage>
  <etc:cellImage>
    <xdr:pic>
      <xdr:nvPicPr>
        <xdr:cNvPr id="42" name="ID_176006F120CB4C6681EDE9E3A31DF14C"/>
        <xdr:cNvPicPr>
          <a:picLocks noChangeAspect="1"/>
        </xdr:cNvPicPr>
      </xdr:nvPicPr>
      <xdr:blipFill>
        <a:blip r:embed="rId74" cstate="print"/>
        <a:stretch>
          <a:fillRect/>
        </a:stretch>
      </xdr:blipFill>
      <xdr:spPr>
        <a:xfrm>
          <a:off x="191770" y="7397750"/>
          <a:ext cx="236855" cy="225425"/>
        </a:xfrm>
        <a:prstGeom prst="rect">
          <a:avLst/>
        </a:prstGeom>
      </xdr:spPr>
    </xdr:pic>
  </etc:cellImage>
  <etc:cellImage>
    <xdr:pic>
      <xdr:nvPicPr>
        <xdr:cNvPr id="43" name="ID_428891A84A7C4ED3B16FD5AD07925DC8"/>
        <xdr:cNvPicPr>
          <a:picLocks noChangeAspect="1"/>
        </xdr:cNvPicPr>
      </xdr:nvPicPr>
      <xdr:blipFill>
        <a:blip r:embed="rId75" cstate="print"/>
        <a:stretch>
          <a:fillRect/>
        </a:stretch>
      </xdr:blipFill>
      <xdr:spPr>
        <a:xfrm>
          <a:off x="191770" y="7048500"/>
          <a:ext cx="236855" cy="0"/>
        </a:xfrm>
        <a:prstGeom prst="rect">
          <a:avLst/>
        </a:prstGeom>
      </xdr:spPr>
    </xdr:pic>
  </etc:cellImage>
  <etc:cellImage>
    <xdr:pic>
      <xdr:nvPicPr>
        <xdr:cNvPr id="44" name="ID_83942CECA92C4E328DEEDCF99D0B0B7A"/>
        <xdr:cNvPicPr>
          <a:picLocks noChangeAspect="1"/>
        </xdr:cNvPicPr>
      </xdr:nvPicPr>
      <xdr:blipFill>
        <a:blip r:embed="rId76" cstate="print"/>
        <a:stretch>
          <a:fillRect/>
        </a:stretch>
      </xdr:blipFill>
      <xdr:spPr>
        <a:xfrm>
          <a:off x="191770" y="4914900"/>
          <a:ext cx="236855" cy="0"/>
        </a:xfrm>
        <a:prstGeom prst="rect">
          <a:avLst/>
        </a:prstGeom>
      </xdr:spPr>
    </xdr:pic>
  </etc:cellImage>
  <etc:cellImage>
    <xdr:pic>
      <xdr:nvPicPr>
        <xdr:cNvPr id="45" name="ID_3573862462B74814B1D1801BE4C987B2"/>
        <xdr:cNvPicPr>
          <a:picLocks noChangeAspect="1"/>
        </xdr:cNvPicPr>
      </xdr:nvPicPr>
      <xdr:blipFill>
        <a:blip r:embed="rId77" cstate="print"/>
        <a:stretch>
          <a:fillRect/>
        </a:stretch>
      </xdr:blipFill>
      <xdr:spPr>
        <a:xfrm>
          <a:off x="191770" y="7658100"/>
          <a:ext cx="236855" cy="0"/>
        </a:xfrm>
        <a:prstGeom prst="rect">
          <a:avLst/>
        </a:prstGeom>
      </xdr:spPr>
    </xdr:pic>
  </etc:cellImage>
  <etc:cellImage>
    <xdr:pic>
      <xdr:nvPicPr>
        <xdr:cNvPr id="46" name="ID_138AE24AF0134184BB07A1B889C622E0"/>
        <xdr:cNvPicPr>
          <a:picLocks noChangeAspect="1"/>
        </xdr:cNvPicPr>
      </xdr:nvPicPr>
      <xdr:blipFill>
        <a:blip r:embed="rId78" cstate="print"/>
        <a:stretch>
          <a:fillRect/>
        </a:stretch>
      </xdr:blipFill>
      <xdr:spPr>
        <a:xfrm>
          <a:off x="191770" y="6483350"/>
          <a:ext cx="236855" cy="225425"/>
        </a:xfrm>
        <a:prstGeom prst="rect">
          <a:avLst/>
        </a:prstGeom>
      </xdr:spPr>
    </xdr:pic>
  </etc:cellImage>
  <etc:cellImage>
    <xdr:pic>
      <xdr:nvPicPr>
        <xdr:cNvPr id="47" name="ID_2F23BB0E57FC4AEBB2C3601BB0FA0002"/>
        <xdr:cNvPicPr>
          <a:picLocks noChangeAspect="1"/>
        </xdr:cNvPicPr>
      </xdr:nvPicPr>
      <xdr:blipFill>
        <a:blip r:embed="rId79" cstate="print"/>
        <a:stretch>
          <a:fillRect/>
        </a:stretch>
      </xdr:blipFill>
      <xdr:spPr>
        <a:xfrm>
          <a:off x="191770" y="7962900"/>
          <a:ext cx="236855" cy="0"/>
        </a:xfrm>
        <a:prstGeom prst="rect">
          <a:avLst/>
        </a:prstGeom>
      </xdr:spPr>
    </xdr:pic>
  </etc:cellImage>
  <etc:cellImage>
    <xdr:pic>
      <xdr:nvPicPr>
        <xdr:cNvPr id="48" name="ID_1F3DA910F2614E38A9A250AFEC340EE5"/>
        <xdr:cNvPicPr>
          <a:picLocks noChangeAspect="1"/>
        </xdr:cNvPicPr>
      </xdr:nvPicPr>
      <xdr:blipFill>
        <a:blip r:embed="rId80" cstate="print"/>
        <a:stretch>
          <a:fillRect/>
        </a:stretch>
      </xdr:blipFill>
      <xdr:spPr>
        <a:xfrm>
          <a:off x="191770" y="7658100"/>
          <a:ext cx="236855" cy="0"/>
        </a:xfrm>
        <a:prstGeom prst="rect">
          <a:avLst/>
        </a:prstGeom>
      </xdr:spPr>
    </xdr:pic>
  </etc:cellImage>
  <etc:cellImage>
    <xdr:pic>
      <xdr:nvPicPr>
        <xdr:cNvPr id="49" name="ID_A7F9E8373C7F49D18368A6B9EF412FCA"/>
        <xdr:cNvPicPr>
          <a:picLocks noChangeAspect="1"/>
        </xdr:cNvPicPr>
      </xdr:nvPicPr>
      <xdr:blipFill>
        <a:blip r:embed="rId81" cstate="print"/>
        <a:stretch>
          <a:fillRect/>
        </a:stretch>
      </xdr:blipFill>
      <xdr:spPr>
        <a:xfrm>
          <a:off x="191770" y="8007350"/>
          <a:ext cx="236855" cy="225425"/>
        </a:xfrm>
        <a:prstGeom prst="rect">
          <a:avLst/>
        </a:prstGeom>
      </xdr:spPr>
    </xdr:pic>
  </etc:cellImage>
  <etc:cellImage>
    <xdr:pic>
      <xdr:nvPicPr>
        <xdr:cNvPr id="50" name="ID_0BDB5A5E39AC4497BC96E3700D004823"/>
        <xdr:cNvPicPr>
          <a:picLocks noChangeAspect="1"/>
        </xdr:cNvPicPr>
      </xdr:nvPicPr>
      <xdr:blipFill>
        <a:blip r:embed="rId82" cstate="print"/>
        <a:stretch>
          <a:fillRect/>
        </a:stretch>
      </xdr:blipFill>
      <xdr:spPr>
        <a:xfrm>
          <a:off x="191770" y="7353300"/>
          <a:ext cx="236855" cy="0"/>
        </a:xfrm>
        <a:prstGeom prst="rect">
          <a:avLst/>
        </a:prstGeom>
      </xdr:spPr>
    </xdr:pic>
  </etc:cellImage>
  <etc:cellImage>
    <xdr:pic>
      <xdr:nvPicPr>
        <xdr:cNvPr id="51" name="ID_B26F6041B60F4A07806DB1E6399E6DC4"/>
        <xdr:cNvPicPr>
          <a:picLocks noChangeAspect="1"/>
        </xdr:cNvPicPr>
      </xdr:nvPicPr>
      <xdr:blipFill>
        <a:blip r:embed="rId83" cstate="print"/>
        <a:stretch>
          <a:fillRect/>
        </a:stretch>
      </xdr:blipFill>
      <xdr:spPr>
        <a:xfrm>
          <a:off x="191770" y="7702550"/>
          <a:ext cx="236855" cy="225425"/>
        </a:xfrm>
        <a:prstGeom prst="rect">
          <a:avLst/>
        </a:prstGeom>
      </xdr:spPr>
    </xdr:pic>
  </etc:cellImage>
  <etc:cellImage>
    <xdr:pic>
      <xdr:nvPicPr>
        <xdr:cNvPr id="52" name="ID_E96B52E679A54BD585D6F6D3588A1BE2"/>
        <xdr:cNvPicPr>
          <a:picLocks noChangeAspect="1"/>
        </xdr:cNvPicPr>
      </xdr:nvPicPr>
      <xdr:blipFill>
        <a:blip r:embed="rId84" cstate="print"/>
        <a:stretch>
          <a:fillRect/>
        </a:stretch>
      </xdr:blipFill>
      <xdr:spPr>
        <a:xfrm>
          <a:off x="191770" y="8572500"/>
          <a:ext cx="236855" cy="0"/>
        </a:xfrm>
        <a:prstGeom prst="rect">
          <a:avLst/>
        </a:prstGeom>
      </xdr:spPr>
    </xdr:pic>
  </etc:cellImage>
  <etc:cellImage>
    <xdr:pic>
      <xdr:nvPicPr>
        <xdr:cNvPr id="53" name="ID_CF2C2611ABDF4114A2FD3254B265AB39"/>
        <xdr:cNvPicPr>
          <a:picLocks noChangeAspect="1"/>
        </xdr:cNvPicPr>
      </xdr:nvPicPr>
      <xdr:blipFill>
        <a:blip r:embed="rId85" cstate="print"/>
        <a:stretch>
          <a:fillRect/>
        </a:stretch>
      </xdr:blipFill>
      <xdr:spPr>
        <a:xfrm>
          <a:off x="191770" y="7658100"/>
          <a:ext cx="236855" cy="0"/>
        </a:xfrm>
        <a:prstGeom prst="rect">
          <a:avLst/>
        </a:prstGeom>
      </xdr:spPr>
    </xdr:pic>
  </etc:cellImage>
  <etc:cellImage>
    <xdr:pic>
      <xdr:nvPicPr>
        <xdr:cNvPr id="54" name="ID_7D029147E9BD4BA2B7B88A10DA0A0F45"/>
        <xdr:cNvPicPr>
          <a:picLocks noChangeAspect="1"/>
        </xdr:cNvPicPr>
      </xdr:nvPicPr>
      <xdr:blipFill>
        <a:blip r:embed="rId86" cstate="print"/>
        <a:stretch>
          <a:fillRect/>
        </a:stretch>
      </xdr:blipFill>
      <xdr:spPr>
        <a:xfrm>
          <a:off x="191770" y="8312150"/>
          <a:ext cx="236855" cy="225425"/>
        </a:xfrm>
        <a:prstGeom prst="rect">
          <a:avLst/>
        </a:prstGeom>
      </xdr:spPr>
    </xdr:pic>
  </etc:cellImage>
  <etc:cellImage>
    <xdr:pic>
      <xdr:nvPicPr>
        <xdr:cNvPr id="55" name="ID_F2F696181AAC490C90A85E6C6FD0C91F"/>
        <xdr:cNvPicPr>
          <a:picLocks noChangeAspect="1"/>
        </xdr:cNvPicPr>
      </xdr:nvPicPr>
      <xdr:blipFill>
        <a:blip r:embed="rId87" cstate="print"/>
        <a:stretch>
          <a:fillRect/>
        </a:stretch>
      </xdr:blipFill>
      <xdr:spPr>
        <a:xfrm>
          <a:off x="191770" y="8616950"/>
          <a:ext cx="236855" cy="225425"/>
        </a:xfrm>
        <a:prstGeom prst="rect">
          <a:avLst/>
        </a:prstGeom>
      </xdr:spPr>
    </xdr:pic>
  </etc:cellImage>
  <etc:cellImage>
    <xdr:pic>
      <xdr:nvPicPr>
        <xdr:cNvPr id="56" name="ID_52C6B805E8D446C3896C5795DD0D6EF4"/>
        <xdr:cNvPicPr>
          <a:picLocks noChangeAspect="1"/>
        </xdr:cNvPicPr>
      </xdr:nvPicPr>
      <xdr:blipFill>
        <a:blip r:embed="rId88" cstate="print"/>
        <a:stretch>
          <a:fillRect/>
        </a:stretch>
      </xdr:blipFill>
      <xdr:spPr>
        <a:xfrm>
          <a:off x="191770" y="8921750"/>
          <a:ext cx="236855" cy="225425"/>
        </a:xfrm>
        <a:prstGeom prst="rect">
          <a:avLst/>
        </a:prstGeom>
      </xdr:spPr>
    </xdr:pic>
  </etc:cellImage>
  <etc:cellImage>
    <xdr:pic>
      <xdr:nvPicPr>
        <xdr:cNvPr id="57" name="ID_198C9B6AAAB348EEA016AC8EF9061031"/>
        <xdr:cNvPicPr>
          <a:picLocks noChangeAspect="1"/>
        </xdr:cNvPicPr>
      </xdr:nvPicPr>
      <xdr:blipFill>
        <a:blip r:embed="rId89" cstate="print"/>
        <a:stretch>
          <a:fillRect/>
        </a:stretch>
      </xdr:blipFill>
      <xdr:spPr>
        <a:xfrm>
          <a:off x="191770" y="8572500"/>
          <a:ext cx="236855" cy="0"/>
        </a:xfrm>
        <a:prstGeom prst="rect">
          <a:avLst/>
        </a:prstGeom>
      </xdr:spPr>
    </xdr:pic>
  </etc:cellImage>
  <etc:cellImage>
    <xdr:pic>
      <xdr:nvPicPr>
        <xdr:cNvPr id="58" name="ID_D4C7DBA330B24079A40741C9A1540A04"/>
        <xdr:cNvPicPr>
          <a:picLocks noChangeAspect="1"/>
        </xdr:cNvPicPr>
      </xdr:nvPicPr>
      <xdr:blipFill>
        <a:blip r:embed="rId90" cstate="print"/>
        <a:stretch>
          <a:fillRect/>
        </a:stretch>
      </xdr:blipFill>
      <xdr:spPr>
        <a:xfrm>
          <a:off x="191770" y="8572500"/>
          <a:ext cx="236855" cy="0"/>
        </a:xfrm>
        <a:prstGeom prst="rect">
          <a:avLst/>
        </a:prstGeom>
      </xdr:spPr>
    </xdr:pic>
  </etc:cellImage>
  <etc:cellImage>
    <xdr:pic>
      <xdr:nvPicPr>
        <xdr:cNvPr id="59" name="ID_C978B0A961E24C65AF560AB662BA3365"/>
        <xdr:cNvPicPr>
          <a:picLocks noChangeAspect="1"/>
        </xdr:cNvPicPr>
      </xdr:nvPicPr>
      <xdr:blipFill>
        <a:blip r:embed="rId91" cstate="print"/>
        <a:stretch>
          <a:fillRect/>
        </a:stretch>
      </xdr:blipFill>
      <xdr:spPr>
        <a:xfrm>
          <a:off x="191770" y="9486900"/>
          <a:ext cx="236855" cy="0"/>
        </a:xfrm>
        <a:prstGeom prst="rect">
          <a:avLst/>
        </a:prstGeom>
      </xdr:spPr>
    </xdr:pic>
  </etc:cellImage>
  <etc:cellImage>
    <xdr:pic>
      <xdr:nvPicPr>
        <xdr:cNvPr id="60" name="ID_A727D35926674875B9795BD8E75257C1"/>
        <xdr:cNvPicPr>
          <a:picLocks noChangeAspect="1"/>
        </xdr:cNvPicPr>
      </xdr:nvPicPr>
      <xdr:blipFill>
        <a:blip r:embed="rId92" cstate="print"/>
        <a:stretch>
          <a:fillRect/>
        </a:stretch>
      </xdr:blipFill>
      <xdr:spPr>
        <a:xfrm>
          <a:off x="191770" y="9486900"/>
          <a:ext cx="236855" cy="0"/>
        </a:xfrm>
        <a:prstGeom prst="rect">
          <a:avLst/>
        </a:prstGeom>
      </xdr:spPr>
    </xdr:pic>
  </etc:cellImage>
  <etc:cellImage>
    <xdr:pic>
      <xdr:nvPicPr>
        <xdr:cNvPr id="61" name="ID_8EEAA1B86A9341C79892AF272985BC0C"/>
        <xdr:cNvPicPr>
          <a:picLocks noChangeAspect="1"/>
        </xdr:cNvPicPr>
      </xdr:nvPicPr>
      <xdr:blipFill>
        <a:blip r:embed="rId93" cstate="print"/>
        <a:stretch>
          <a:fillRect/>
        </a:stretch>
      </xdr:blipFill>
      <xdr:spPr>
        <a:xfrm>
          <a:off x="191770" y="9486900"/>
          <a:ext cx="236855" cy="0"/>
        </a:xfrm>
        <a:prstGeom prst="rect">
          <a:avLst/>
        </a:prstGeom>
      </xdr:spPr>
    </xdr:pic>
  </etc:cellImage>
  <etc:cellImage>
    <xdr:pic>
      <xdr:nvPicPr>
        <xdr:cNvPr id="62" name="ID_2C51691ADDE5466984D939C7795D4DC4"/>
        <xdr:cNvPicPr>
          <a:picLocks noChangeAspect="1"/>
        </xdr:cNvPicPr>
      </xdr:nvPicPr>
      <xdr:blipFill>
        <a:blip r:embed="rId94" cstate="print"/>
        <a:stretch>
          <a:fillRect/>
        </a:stretch>
      </xdr:blipFill>
      <xdr:spPr>
        <a:xfrm>
          <a:off x="191770" y="9486900"/>
          <a:ext cx="236855" cy="0"/>
        </a:xfrm>
        <a:prstGeom prst="rect">
          <a:avLst/>
        </a:prstGeom>
      </xdr:spPr>
    </xdr:pic>
  </etc:cellImage>
  <etc:cellImage>
    <xdr:pic>
      <xdr:nvPicPr>
        <xdr:cNvPr id="63" name="ID_624974D6CD65472A911CDC8C5F7C9E9C"/>
        <xdr:cNvPicPr>
          <a:picLocks noChangeAspect="1"/>
        </xdr:cNvPicPr>
      </xdr:nvPicPr>
      <xdr:blipFill>
        <a:blip r:embed="rId95" cstate="print"/>
        <a:stretch>
          <a:fillRect/>
        </a:stretch>
      </xdr:blipFill>
      <xdr:spPr>
        <a:xfrm>
          <a:off x="191770" y="9531350"/>
          <a:ext cx="236855" cy="225425"/>
        </a:xfrm>
        <a:prstGeom prst="rect">
          <a:avLst/>
        </a:prstGeom>
      </xdr:spPr>
    </xdr:pic>
  </etc:cellImage>
  <etc:cellImage>
    <xdr:pic>
      <xdr:nvPicPr>
        <xdr:cNvPr id="64" name="ID_16C98E2DF9174CB193A55879DA7B3F61"/>
        <xdr:cNvPicPr>
          <a:picLocks noChangeAspect="1"/>
        </xdr:cNvPicPr>
      </xdr:nvPicPr>
      <xdr:blipFill>
        <a:blip r:embed="rId96" cstate="print"/>
        <a:stretch>
          <a:fillRect/>
        </a:stretch>
      </xdr:blipFill>
      <xdr:spPr>
        <a:xfrm>
          <a:off x="191770" y="9836150"/>
          <a:ext cx="236855" cy="225425"/>
        </a:xfrm>
        <a:prstGeom prst="rect">
          <a:avLst/>
        </a:prstGeom>
      </xdr:spPr>
    </xdr:pic>
  </etc:cellImage>
</etc:cellImages>
</file>

<file path=xl/sharedStrings.xml><?xml version="1.0" encoding="utf-8"?>
<sst xmlns="http://schemas.openxmlformats.org/spreadsheetml/2006/main" count="3574" uniqueCount="1274">
  <si>
    <t>图片</t>
  </si>
  <si>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</si>
  <si>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</si>
  <si>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</si>
  <si>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</si>
  <si>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</si>
  <si>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</si>
  <si>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</si>
  <si>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</si>
  <si>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</si>
  <si>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</si>
  <si>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</si>
  <si>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</si>
  <si>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</si>
  <si>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</si>
  <si>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</si>
  <si>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</si>
  <si>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</si>
  <si>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</si>
  <si>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</si>
  <si>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</si>
  <si>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</si>
  <si>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</si>
  <si>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</si>
  <si>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</si>
  <si>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</si>
  <si>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</si>
  <si>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</si>
  <si>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</si>
  <si>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</si>
  <si>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</si>
  <si>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</si>
  <si>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</si>
  <si>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</si>
  <si>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</si>
  <si>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</si>
  <si>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</si>
  <si>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</si>
  <si>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</si>
  <si>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</si>
  <si>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</si>
  <si>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</si>
  <si>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</si>
  <si>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</si>
  <si>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</si>
  <si>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</si>
  <si>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</si>
  <si>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</si>
  <si>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</si>
  <si>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</si>
  <si>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</si>
  <si>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</si>
  <si>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</si>
  <si>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</si>
  <si>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重量</t>
  </si>
  <si>
    <t>体积</t>
  </si>
  <si>
    <t>B0D25H8TG1</t>
  </si>
  <si>
    <t>Size: XX-Large | Color: A-sage Green</t>
  </si>
  <si>
    <t>Fabric type: 65% Rayon, 30% Linen, 5% Spandex | Care instructions: Machine Wash | Origin: Imported | Closure type: Button | Country of Origin: China</t>
  </si>
  <si>
    <t>MAPICK</t>
  </si>
  <si>
    <t>https://www.amazon.com/stores/MAPICK/page/0912EDDE-F41D-46CC-9B2A-7A219ADAAB6B?ref_=ast_bln</t>
  </si>
  <si>
    <t>MAPICK Men's Linen Shirts Short Sleeve Button Down Casual Shirt Business Dress Clothing Beach Fashion Summer Tops</t>
  </si>
  <si>
    <t>https://www.amazon.com/dp/B0D25H8TG1?psc=1</t>
  </si>
  <si>
    <t>https://m.media-amazon.com/images/I/41DfYfxKANL._AC_SR600,600_.jpg</t>
  </si>
  <si>
    <t>B0DLMJLFX1</t>
  </si>
  <si>
    <t>Clothing, Shoes &amp; Jewelry:Men:Clothing:Shirts:Button-Down Shirts</t>
  </si>
  <si>
    <t>Clothing, Shoes &amp; Jewelry</t>
  </si>
  <si>
    <t>Men's Button-Down Shirts</t>
  </si>
  <si>
    <t>121</t>
  </si>
  <si>
    <t>100</t>
  </si>
  <si>
    <t>2024-10-31</t>
  </si>
  <si>
    <t>FBA</t>
  </si>
  <si>
    <t>MAPICK Flagship Shop</t>
  </si>
  <si>
    <t>CN</t>
  </si>
  <si>
    <t xml:space="preserve">公司名称：Shenzhenshiyuankelaikejiyouxiangongsi
办公地址：
龙华区龙华街道三联社区和平路109号
聚龙华府5栋10C
深圳市
广东
518000
CN
</t>
  </si>
  <si>
    <t>https://www.amazon.com/gp/help/seller/at-a-glance.html/ref=dp_merchant_link?seller=A2AFTVCB3HZ74Y</t>
  </si>
  <si>
    <t/>
  </si>
  <si>
    <t>Y</t>
  </si>
  <si>
    <t>10.56 ounces</t>
  </si>
  <si>
    <t>299.37 g</t>
  </si>
  <si>
    <t>9.87 x 7.87 x 0.39 inches</t>
  </si>
  <si>
    <t>25.07 x 19.99 x 0.99 cm</t>
  </si>
  <si>
    <t>B0D12QBDKB</t>
  </si>
  <si>
    <t>Size: Medium | Color: A-sage Green</t>
  </si>
  <si>
    <t>LETSEE</t>
  </si>
  <si>
    <t>https://www.amazon.com/stores/LETSEE/page/720EC636-72C3-4878-A8D7-A8E7B5CB6E40?ref_=ast_bln</t>
  </si>
  <si>
    <t>LETSEE Men's Linen Shirts Short Sleeve Casual Button Down Shirt for Men Summer Beach Vacation Shirt</t>
  </si>
  <si>
    <t>https://www.amazon.com/dp/B0D12QBDKB?psc=1</t>
  </si>
  <si>
    <t>https://m.media-amazon.com/images/I/41Gx6hvyT+L._AC_SR600,600_.jpg</t>
  </si>
  <si>
    <t>B0D9JP5F13</t>
  </si>
  <si>
    <t>166</t>
  </si>
  <si>
    <t>50</t>
  </si>
  <si>
    <t>2024-04-06</t>
  </si>
  <si>
    <t>LETSEE OFFICAL</t>
  </si>
  <si>
    <t xml:space="preserve">公司名称：Shenzhenshijindaruidianzishangwuyouxiangongsi
办公地址：
龙华区龙华街道三联社区和平路109号
聚龙华府6栋12B
深圳市
广东
518000
CN
</t>
  </si>
  <si>
    <t>https://www.amazon.com/gp/help/seller/at-a-glance.html/ref=dp_merchant_link?seller=ACP1AZUKRDS99</t>
  </si>
  <si>
    <t>8.47 ounces</t>
  </si>
  <si>
    <t>240.12 g</t>
  </si>
  <si>
    <t>14.21 x 11.02 x 0.87 inches</t>
  </si>
  <si>
    <t>36.09 x 27.99 x 2.21 cm</t>
  </si>
  <si>
    <t>B0BVFWW6JW</t>
  </si>
  <si>
    <t>Size: 3X-Large | Color: Black</t>
  </si>
  <si>
    <t>Fabric type: 70%Rayon30%Linen | Care instructions: Machine Wash | Origin: Imported | Closure type: Button | Country of Origin: China</t>
  </si>
  <si>
    <t>COOFANDY</t>
  </si>
  <si>
    <t>https://www.amazon.com/stores/COOFANDY/page/23614F3D-BBD9-4564-8B56-4436A5CD5A93?ref_=ast_bln</t>
  </si>
  <si>
    <t>COOFANDY Men's Linen Shirts Short Sleeve Casual Shirts Button Down Shirt for Men Beach Summer Wedding Shirt</t>
  </si>
  <si>
    <t>https://www.amazon.com/dp/B0BVFWW6JW?psc=1</t>
  </si>
  <si>
    <t>https://m.media-amazon.com/images/I/41slc3cAhwL._AC_SR600,600_.jpg</t>
  </si>
  <si>
    <t>B0CPTHL7KT</t>
  </si>
  <si>
    <t>13</t>
  </si>
  <si>
    <t>2022-11-09</t>
  </si>
  <si>
    <t>COOFANDY Online</t>
  </si>
  <si>
    <t>US</t>
  </si>
  <si>
    <t xml:space="preserve">公司名称：Jaylor Limited
办公地址：
2510 piedmont dr
sanford
NC
27330
US
</t>
  </si>
  <si>
    <t>https://www.amazon.com/gp/help/seller/at-a-glance.html/ref=dp_merchant_link?seller=AYQEI860TGUFX</t>
  </si>
  <si>
    <t>mens european style shirts</t>
  </si>
  <si>
    <t>10.23 ounces</t>
  </si>
  <si>
    <t>290.02 g</t>
  </si>
  <si>
    <t>12.99 x 10.71 x 0.63 inches</t>
  </si>
  <si>
    <t>32.99 x 27.20 x 1.60 cm</t>
  </si>
  <si>
    <t>B0BV241H3F</t>
  </si>
  <si>
    <t>COOFANDY Men's Casual Shirts Button Up Shirt Linen Summer Beach Outfit Yoga Tee Light Green</t>
  </si>
  <si>
    <t>https://www.amazon.com/dp/B0BV241H3F?psc=1</t>
  </si>
  <si>
    <t>https://images-na.ssl-images-amazon.com/images/I/81Y6r7df7OL._AC_US600_.jpg</t>
  </si>
  <si>
    <t>379</t>
  </si>
  <si>
    <t>1,000</t>
  </si>
  <si>
    <t>2023-02-06</t>
  </si>
  <si>
    <t>Overall Pick</t>
  </si>
  <si>
    <t>10.55 ounces</t>
  </si>
  <si>
    <t>299.09 g</t>
  </si>
  <si>
    <t>11.89 x 10.24 x 0.87 inches</t>
  </si>
  <si>
    <t>30.20 x 26.01 x 2.21 cm</t>
  </si>
  <si>
    <t>B0BVFRGTC5</t>
  </si>
  <si>
    <t>Size: 3X-Large | Color: Light Green</t>
  </si>
  <si>
    <t>https://www.amazon.com/dp/B0BVFRGTC5?psc=1</t>
  </si>
  <si>
    <t>https://m.media-amazon.com/images/I/41Pl3+ILnjL._AC_SR600,600_.jpg</t>
  </si>
  <si>
    <t>B093RZQLVX</t>
  </si>
  <si>
    <t>Size: Large | Color: Green- Palm Leaf</t>
  </si>
  <si>
    <t>Fabric type: 100% Cotton | Care instructions: Hand Wash Only | Origin: Imported | Closure type: Button | Country of Origin: China</t>
  </si>
  <si>
    <t>COOFANDY Men's Hawaiian Floral Shirts Cotton Linen Button Down Tropical Holiday Beach Shirts</t>
  </si>
  <si>
    <t>https://www.amazon.com/dp/B093RZQLVX?psc=1</t>
  </si>
  <si>
    <t>https://images-na.ssl-images-amazon.com/images/I/81rN7jSUgHS._AC_US600_.jpg</t>
  </si>
  <si>
    <t>B0DDXPHRGD</t>
  </si>
  <si>
    <t>74</t>
  </si>
  <si>
    <t>300</t>
  </si>
  <si>
    <t>2021-06-19</t>
  </si>
  <si>
    <t xml:space="preserve">公司名称：saiwei shidaikejigufen youxiangongsi
办公地址：
康利城6号1001
龙岗区南湾街道
上李朗社区
深圳市
518000
CN
</t>
  </si>
  <si>
    <t>https://www.amazon.com/gp/help/seller/at-a-glance.html/ref=dp_merchant_link?seller=AW10J8VB8Z74G</t>
  </si>
  <si>
    <t>stylish shirts</t>
  </si>
  <si>
    <t>10.86 ounces</t>
  </si>
  <si>
    <t>307.88 g</t>
  </si>
  <si>
    <t>4.7 x 3.9 x 0.4 inches</t>
  </si>
  <si>
    <t>11.94 x 9.91 x 1.02 cm</t>
  </si>
  <si>
    <t>B086D42D51</t>
  </si>
  <si>
    <t>Size: Large | Color: White</t>
  </si>
  <si>
    <t>Fabric type: 80%cotton&amp;20%linen | Care instructions: Machine Wash | Origin: Imported | Closure type: Button</t>
  </si>
  <si>
    <t>JEKAOYI</t>
  </si>
  <si>
    <t>https://www.amazon.com/stores/JEKAOYI/page/1CC599FA-46DE-4AFB-BDE0-033956DE325E?ref_=ast_bln&amp;store_ref=bl_ast_dp_brandLogo_sto</t>
  </si>
  <si>
    <t>Mens Casual Long Sleeve Cotton Linen Shirts Buttons Down Solid Plain Roll-Up Sleeve Summer Beach Shirts</t>
  </si>
  <si>
    <t>https://www.amazon.com/dp/B086D42D51?psc=1</t>
  </si>
  <si>
    <t>https://images-na.ssl-images-amazon.com/images/I/41mx6DgY3AL._AC_US600_.jpg</t>
  </si>
  <si>
    <t>B086DBVT3F</t>
  </si>
  <si>
    <t>63</t>
  </si>
  <si>
    <t>700</t>
  </si>
  <si>
    <t>2020-03-24</t>
  </si>
  <si>
    <t>phenomenal-U</t>
  </si>
  <si>
    <t xml:space="preserve">公司名称：hangzhouzhongshengdianzishangwuyouxiangongsi
办公地址：
达与路6号1号楼304室
杭州市
余杭区余杭经济开发区
浙江省
311100
CN
</t>
  </si>
  <si>
    <t>https://www.amazon.com/gp/help/seller/at-a-glance.html/ref=dp_merchant_link?seller=A2AVZ8BR4BUE4K</t>
  </si>
  <si>
    <t>9.65 x 6.81 x 1.42 inches</t>
  </si>
  <si>
    <t>24.51 x 17.30 x 3.61 cm</t>
  </si>
  <si>
    <t>B0D258ZKSG</t>
  </si>
  <si>
    <t>Size: Large | Color: A-sage Green</t>
  </si>
  <si>
    <t>https://www.amazon.com/dp/B0D258ZKSG?psc=1</t>
  </si>
  <si>
    <t>200</t>
  </si>
  <si>
    <t>B0C3D5HR1L</t>
  </si>
  <si>
    <t>Fabric type: 70%cotton+30linen | Care instructions: Machine Wash, Hand Wash Only | Origin: Imported | Closure type: Button | Country of Origin: China</t>
  </si>
  <si>
    <t>J.VER</t>
  </si>
  <si>
    <t>https://www.amazon.com/stores/JVER/page/1F221D12-BDFC-4E35-B552-19E6740F1D2A?ref_=ast_bln&amp;store_ref=bl_ast_dp_brandLogo_sto</t>
  </si>
  <si>
    <t>J.VER Men's Cotton Linen Short Sleeve Shirts Casual Lightweight Button Down Shirts Vacation Beach Summer Tops with Pocket</t>
  </si>
  <si>
    <t>https://www.amazon.com/dp/B0C3D5HR1L?psc=1</t>
  </si>
  <si>
    <t>https://m.media-amazon.com/images/I/31w0zNPpAKL._AC_SR600,600_.jpg</t>
  </si>
  <si>
    <t>B0CPFFH4PZ</t>
  </si>
  <si>
    <t>40</t>
  </si>
  <si>
    <t>2023-12-03</t>
  </si>
  <si>
    <t>J.Ver Offical</t>
  </si>
  <si>
    <t xml:space="preserve">公司名称：Yiwu Kaimeng Trading Co., Ltd.
办公地址：
北苑街道拥军路407号
B907-3
金华市
义乌
浙江
322000
CN
</t>
  </si>
  <si>
    <t>https://www.amazon.com/gp/help/seller/at-a-glance.html/ref=dp_merchant_link?seller=A2FHNONIQMDEMP</t>
  </si>
  <si>
    <t>6.38 ounces</t>
  </si>
  <si>
    <t>180.87 g</t>
  </si>
  <si>
    <t>13.19 x 10.31 x 1.5 inches</t>
  </si>
  <si>
    <t>33.50 x 26.19 x 3.81 cm</t>
  </si>
  <si>
    <t>B0CJXX6KQP</t>
  </si>
  <si>
    <t>Size: X-Large | Color: Beige</t>
  </si>
  <si>
    <t>Fabric type: 49%rayon34%polyester17%nylon | Care instructions: Machine Wash, Hand Wash Only | Origin: Imported | Closure type: Button</t>
  </si>
  <si>
    <t>COOFANDY Men's Casual Button Down Shirts Short Sleeve Summer Cuban Vacation Beach Shirts</t>
  </si>
  <si>
    <t>https://www.amazon.com/dp/B0CJXX6KQP?psc=1</t>
  </si>
  <si>
    <t>https://m.media-amazon.com/images/I/41CWJ9EnmDL._AC_SR600,600_.jpg</t>
  </si>
  <si>
    <t>B0DDXHVRV5</t>
  </si>
  <si>
    <t>648</t>
  </si>
  <si>
    <t>2024-08-17</t>
  </si>
  <si>
    <t>9.59 ounces</t>
  </si>
  <si>
    <t>271.87 g</t>
  </si>
  <si>
    <t>12.2 x 10.47 x 0.67 inches</t>
  </si>
  <si>
    <t>30.99 x 26.59 x 1.70 cm</t>
  </si>
  <si>
    <t>B0C2H34MHG</t>
  </si>
  <si>
    <t>Size: XX-Large | Color: Khaki</t>
  </si>
  <si>
    <t>Fabric type: ATTENTION:After washing it will have a wrinkled feeling, this is our design, but also the bubble cotton fabric needs to present the effect!!! | Care instructions: Machine Wash | Origin: Imported | Closure type: Button | Country of Origin: China</t>
  </si>
  <si>
    <t>VATPAVE</t>
  </si>
  <si>
    <t>https://www.amazon.com/stores/VATPAVE/page/56E298D3-4201-4761-9CD6-F70F67AB957B?ref_=ast_bln&amp;store_ref=bl_ast_dp_brandLogo_sto</t>
  </si>
  <si>
    <t>VATPAVE Mens Striped Summer Shirt Casual Button Down Short Sleeve Beach Shirts Cotton Linen Shirts for Men</t>
  </si>
  <si>
    <t>https://www.amazon.com/dp/B0C2H34MHG?psc=1</t>
  </si>
  <si>
    <t>https://m.media-amazon.com/images/I/41Vu5yyOdxL._AC_SR600,600_.jpg</t>
  </si>
  <si>
    <t>B0BS3HCFMQ</t>
  </si>
  <si>
    <t>287</t>
  </si>
  <si>
    <t>5%</t>
  </si>
  <si>
    <t>2023-01-10</t>
  </si>
  <si>
    <t>SOWTEE</t>
  </si>
  <si>
    <t xml:space="preserve">公司名称：Hangzhou Lunmai Trade Company Limited
办公地址：
北干街道欢腾金座2幢1907室
杭州
萧山区
浙江
311200
CN
</t>
  </si>
  <si>
    <t>https://www.amazon.com/gp/help/seller/at-a-glance.html/ref=dp_merchant_link?seller=A60375D51PSXW</t>
  </si>
  <si>
    <t>5.61 ounces</t>
  </si>
  <si>
    <t>159.04 g</t>
  </si>
  <si>
    <t>7.48 x 6.69 x 0.08 inches</t>
  </si>
  <si>
    <t>19.00 x 16.99 x 0.20 cm</t>
  </si>
  <si>
    <t>B0DG4R7YNZ</t>
  </si>
  <si>
    <t>Size: X-Large | Color: White</t>
  </si>
  <si>
    <t>LETSEE Men's Linen Shirts Long Sleeve Untucked Casual Button Down Shirts for Men Business Dress Clothes Fashion Beach Tops</t>
  </si>
  <si>
    <t>https://www.amazon.com/dp/B0DG4R7YNZ?psc=1</t>
  </si>
  <si>
    <t>https://m.media-amazon.com/images/I/31WAM-CqWrL._AC_SR600,600_.jpg</t>
  </si>
  <si>
    <t>B0DG4RNXZ9</t>
  </si>
  <si>
    <t>1118</t>
  </si>
  <si>
    <t>15%</t>
  </si>
  <si>
    <t>2024-09-04</t>
  </si>
  <si>
    <t>B09NKT42GZ</t>
  </si>
  <si>
    <t>Size: Medium | Special Size: Men | Color: Gray&amp; Blue</t>
  </si>
  <si>
    <t>Fabric type: 70%Rayon30%Linen | Care instructions: Machine Wash | Origin: Made in the USA or Imported | Closure type: Button | Country of Origin: China</t>
  </si>
  <si>
    <t>COOFANDY Men's Casual Button Down Shirts Short Sleeve Linen Shirts Summer Beach Dress Shirt</t>
  </si>
  <si>
    <t>https://www.amazon.com/dp/B09NKT42GZ?psc=1</t>
  </si>
  <si>
    <t>https://m.media-amazon.com/images/I/51+XBxbNteL._AC_SR600,600_.jpg</t>
  </si>
  <si>
    <t>B0DDXBS2QW</t>
  </si>
  <si>
    <t>101</t>
  </si>
  <si>
    <t>2024-01-25</t>
  </si>
  <si>
    <t>coofandy men's casual linen button down shirt shor</t>
  </si>
  <si>
    <t>13.98 x 11.5 x 1.18 inches</t>
  </si>
  <si>
    <t>35.51 x 29.21 x 3.00 cm</t>
  </si>
  <si>
    <t>B0CWH3G4KM</t>
  </si>
  <si>
    <t>Size: Large | Color: Dark Blue</t>
  </si>
  <si>
    <t>Fabric type: Soft Material | Care instructions: Machine Wash | Closure type: Button | Neck style: Collared Neck</t>
  </si>
  <si>
    <t>COOFANDY Mens Button Down Short Sleeve Shirt Casual Shirts Summer Beach Textured Shirts with Pocket</t>
  </si>
  <si>
    <t>https://www.amazon.com/dp/B0CWH3G4KM?psc=1</t>
  </si>
  <si>
    <t>https://images-na.ssl-images-amazon.com/images/I/81-LRcOfIdL._AC_US600_.jpg</t>
  </si>
  <si>
    <t>B0DDY46FDW</t>
  </si>
  <si>
    <t>216</t>
  </si>
  <si>
    <t>2024-03-22</t>
  </si>
  <si>
    <t>12.52 x 9.92 x 0.91 inches</t>
  </si>
  <si>
    <t>31.80 x 25.20 x 2.31 cm</t>
  </si>
  <si>
    <t>B0CCNBQ941</t>
  </si>
  <si>
    <t>J.VER Men's Linen Shirts Casual Button Down Long Sleeve Shirt Solid Spread Collar Summer Beach Shirts with Pocket</t>
  </si>
  <si>
    <t>https://www.amazon.com/dp/B0CCNBQ941?psc=1</t>
  </si>
  <si>
    <t>https://m.media-amazon.com/images/I/31VR5yhwLWL._AC_SR600,600_.jpg</t>
  </si>
  <si>
    <t>B0CFHLCPZP</t>
  </si>
  <si>
    <t>169</t>
  </si>
  <si>
    <t>2023-08-11</t>
  </si>
  <si>
    <t>8.9 x 6.02 x 1.85 inches</t>
  </si>
  <si>
    <t>22.61 x 15.29 x 4.70 cm</t>
  </si>
  <si>
    <t>B08NSS8W59</t>
  </si>
  <si>
    <t>Size: XX-Large | Color: 01-white</t>
  </si>
  <si>
    <t>Fabric type: Cotton and Linen | Care instructions: Machine Wash | Origin: Imported | Closure type: Button</t>
  </si>
  <si>
    <t>COOFANDY Men's Cotton Henley Shirt Long Sleeve Hippie Casual Beach T Shirts</t>
  </si>
  <si>
    <t>https://www.amazon.com/dp/B08NSS8W59?psc=1</t>
  </si>
  <si>
    <t>https://m.media-amazon.com/images/I/3144isMTgzL._AC_SR600,600_.jpg</t>
  </si>
  <si>
    <t>B07849VCBQ</t>
  </si>
  <si>
    <t>Clothing, Shoes &amp; Jewelry:Men:Clothing:Shirts</t>
  </si>
  <si>
    <t>Men's Shirts</t>
  </si>
  <si>
    <t>106</t>
  </si>
  <si>
    <t>10%</t>
  </si>
  <si>
    <t>2017-11-21</t>
  </si>
  <si>
    <t>coofandy shirts for men men's henley shirts</t>
  </si>
  <si>
    <t>6.74 ounces</t>
  </si>
  <si>
    <t>191.08 g</t>
  </si>
  <si>
    <t>13.98 x 11.18 x 0.91 inches</t>
  </si>
  <si>
    <t>35.51 x 28.40 x 2.31 cm</t>
  </si>
  <si>
    <t>B0CLL2CCJR</t>
  </si>
  <si>
    <t>Size: Large | Color: A-white</t>
  </si>
  <si>
    <t>Fabric type: 65%polyester30%rayon5%spandex | Neck style: Collared Neck | Sleeve type: Short Sleeve | Cuff style: Short Sleeve</t>
  </si>
  <si>
    <t>COOFANDY Men's Casual Button Down Shirts Short Sleeve Textured Summer Beach Shirt with Pocket</t>
  </si>
  <si>
    <t>https://www.amazon.com/dp/B0CLL2CCJR?psc=1</t>
  </si>
  <si>
    <t>https://images-na.ssl-images-amazon.com/images/I/71+PHD2GVlL._AC_US600_.jpg</t>
  </si>
  <si>
    <t>B0DDXWG187</t>
  </si>
  <si>
    <t>171</t>
  </si>
  <si>
    <t>2023-10-22</t>
  </si>
  <si>
    <t>3.53 ounces</t>
  </si>
  <si>
    <t>100.07 g</t>
  </si>
  <si>
    <t>3.94 x 3.94 x 0.39 inches</t>
  </si>
  <si>
    <t>10.01 x 10.01 x 0.99 cm</t>
  </si>
  <si>
    <t>B0D1Y5BQRM</t>
  </si>
  <si>
    <t>Size: Medium | Color: Sky Blue</t>
  </si>
  <si>
    <t>Fabric type: 75%Polyester, 20%Viscose, 5%Elastane | Care instructions: Machine Wash | Origin: S=(US 38), M=(US 40), L=(US 43), XL=(US 46), 2XL=(US 50), 3XL=(US 52) | Closure type: Button | Country of Origin: China</t>
  </si>
  <si>
    <t>JMIERR</t>
  </si>
  <si>
    <t>https://www.amazon.com/stores/JMIERR/page/3F09C8CE-18BF-4AE4-8F69-37AB8F65055E?ref_=ast_bln&amp;store_ref=bl_ast_dp_brandLogo_sto</t>
  </si>
  <si>
    <t>JMIERR Men‘s Shirts Short Sleeve Summer Button Down Casual Beach Hawaiian Shirt with Pocket</t>
  </si>
  <si>
    <t>https://www.amazon.com/dp/B0D1Y5BQRM?psc=1</t>
  </si>
  <si>
    <t>https://m.media-amazon.com/images/I/41gKOsE7hpL._AC_SR600,600_.jpg</t>
  </si>
  <si>
    <t>B0D8ZMB76H</t>
  </si>
  <si>
    <t>1471</t>
  </si>
  <si>
    <t>2024-07-06</t>
  </si>
  <si>
    <t xml:space="preserve">公司名称：quanzhoumuyunshangmaoyouxiangongsi
办公地址：
张坂镇
玉埕村埕边1576号2栋605室
泉州
台商投资区
福建
362123
CN
</t>
  </si>
  <si>
    <t>https://www.amazon.com/gp/help/seller/at-a-glance.html/ref=dp_merchant_link?seller=A2MQT9OK1M7FLP</t>
  </si>
  <si>
    <t>5.29 ounces</t>
  </si>
  <si>
    <t>149.97 g</t>
  </si>
  <si>
    <t>5.91 x 3.94 x 0.39 inches</t>
  </si>
  <si>
    <t>15.01 x 10.01 x 0.99 cm</t>
  </si>
  <si>
    <t>B0CKVPY311</t>
  </si>
  <si>
    <t>Size: X-Large | Color: Army Green</t>
  </si>
  <si>
    <t>Fabric type: High Quality Lightweight Breathable Fabric | Care instructions: Hand Wash Only | Closure type: Button | Neck style: Shirt Neck</t>
  </si>
  <si>
    <t>COOFANDY Mens Linen Shirt Short Sleeve Button Down Shirts Casual Plaid Collar Summer Beach Shirts</t>
  </si>
  <si>
    <t>https://www.amazon.com/dp/B0CKVPY311?psc=1</t>
  </si>
  <si>
    <t>https://m.media-amazon.com/images/I/41OvxAaaiQL._AC_SR600,600_.jpg</t>
  </si>
  <si>
    <t>B0DDX8JWHN</t>
  </si>
  <si>
    <t>740</t>
  </si>
  <si>
    <t>2023-11-13</t>
  </si>
  <si>
    <t>12.09 x 10.47 x 0.67 inches</t>
  </si>
  <si>
    <t>30.71 x 26.59 x 1.70 cm</t>
  </si>
  <si>
    <t>B0869KRDZB</t>
  </si>
  <si>
    <t>Size: X-Large | Color: Navy Blue</t>
  </si>
  <si>
    <t>Fabric type: High Quality Lightweight Breathable Fabric | Care instructions: Machine Wash | Origin: Imported | Fur description: Men's Linen Shirts | Country of Origin: China</t>
  </si>
  <si>
    <t>COOFANDY Mens Casual Linen Shirt Short Sleeve Button Down Shirt Summer Beach Hawaiian Shirts</t>
  </si>
  <si>
    <t>https://www.amazon.com/dp/B0869KRDZB?psc=1</t>
  </si>
  <si>
    <t>https://m.media-amazon.com/images/I/41qmvvUlMYL._AC_SR600,600_.jpg</t>
  </si>
  <si>
    <t>B0CTQK1MKT</t>
  </si>
  <si>
    <t>732</t>
  </si>
  <si>
    <t>2020-03-23</t>
  </si>
  <si>
    <t>mens casual hawaiian shirts short sleeve button do</t>
  </si>
  <si>
    <t>7.04 ounces</t>
  </si>
  <si>
    <t>199.58 g</t>
  </si>
  <si>
    <t>7.87 x 5.9 x 0.22 inches</t>
  </si>
  <si>
    <t>19.99 x 14.99 x 0.56 cm</t>
  </si>
  <si>
    <t>B0CLLBB2Y6</t>
  </si>
  <si>
    <t>Fabric type: 100% Polyester | Care instructions: Machine Wash | Origin: Imported | Closure type: Button</t>
  </si>
  <si>
    <t>COOFANDY Men's Casual Short Sleeve Button Down Summer Beach Shirt Lightweight Textured Wrinkle Free Stretch Shirts</t>
  </si>
  <si>
    <t>https://www.amazon.com/dp/B0CLLBB2Y6?psc=1</t>
  </si>
  <si>
    <t>https://m.media-amazon.com/images/I/317R3DfeesL._AC_SR600,600_.jpg</t>
  </si>
  <si>
    <t>B0DDYBPYLJ</t>
  </si>
  <si>
    <t>825</t>
  </si>
  <si>
    <t>2023-12-08</t>
  </si>
  <si>
    <t>9.88 ounces</t>
  </si>
  <si>
    <t>280.09 g</t>
  </si>
  <si>
    <t>13.43 x 11.14 x 0.71 inches</t>
  </si>
  <si>
    <t>34.11 x 28.30 x 1.80 cm</t>
  </si>
  <si>
    <t>B09B7LS4WP</t>
  </si>
  <si>
    <t>Size: X-Large | Special Size: One Pocket | Color: 1- Sky Blue</t>
  </si>
  <si>
    <t>Fabric type: 70%Rayon30%Linen | Care instructions: Hand Wash Only | Origin: Imported | Closure type: Button | Country of Origin: China</t>
  </si>
  <si>
    <t>COOFANDY Men's Casual Button Down Shirt Long Sleeve Linen Chambray Shirt</t>
  </si>
  <si>
    <t>https://www.amazon.com/dp/B09B7LS4WP?psc=1</t>
  </si>
  <si>
    <t>https://m.media-amazon.com/images/I/41q+eay25mL._AC_SR600,600_.jpg</t>
  </si>
  <si>
    <t>B0DF2HBBWS</t>
  </si>
  <si>
    <t>361</t>
  </si>
  <si>
    <t>2022-08-10</t>
  </si>
  <si>
    <t>7.83 ounces</t>
  </si>
  <si>
    <t>221.98 g</t>
  </si>
  <si>
    <t>14.09 x 11.5 x 0.63 inches</t>
  </si>
  <si>
    <t>35.79 x 29.21 x 1.60 cm</t>
  </si>
  <si>
    <t>B08DR85BV8</t>
  </si>
  <si>
    <t>Size: X-Large | Color: 01 Beige</t>
  </si>
  <si>
    <t>Fabric type: Linen,Cotton | Care instructions: Machine Wash | Origin: Imported | Closure type: Pull On</t>
  </si>
  <si>
    <t>Ryannology</t>
  </si>
  <si>
    <t>https://www.amazon.com/stores/Ryannology/page/8CC69922-1DCB-4EF0-B846-4421B02AA86F?ref_=ast_bln&amp;store_ref=bl_ast_dp_brandLogo_sto</t>
  </si>
  <si>
    <t>Ryannology Mens Linen Shirts Henley 3/4 Sleeve Casual Cotton T-Shirt Regular-Fit Lightweight Beach Yoga Tunic Tops</t>
  </si>
  <si>
    <t>https://www.amazon.com/dp/B08DR85BV8?psc=1</t>
  </si>
  <si>
    <t>https://m.media-amazon.com/images/I/41AbKkZsehL._AC_SR600,600_.jpg</t>
  </si>
  <si>
    <t>B09N1B76TC</t>
  </si>
  <si>
    <t>Clothing, Shoes &amp; Jewelry:Men:Clothing:Shirts:T-Shirts</t>
  </si>
  <si>
    <t>Men's T-Shirts</t>
  </si>
  <si>
    <t>2020-07-27</t>
  </si>
  <si>
    <t>Toufguy</t>
  </si>
  <si>
    <t xml:space="preserve">公司名称：Yiwu Ningxuan E-commerce Co., Ltd
办公地址：
江东街道
下付小区102栋7单元401
金华市
浙江
322000
CN
</t>
  </si>
  <si>
    <t>https://www.amazon.com/gp/help/seller/at-a-glance.html/ref=dp_merchant_link?seller=A3EYPCAO38F4RQ</t>
  </si>
  <si>
    <t>ryannology mens linen shirts</t>
  </si>
  <si>
    <t>11.77 x 10.91 x 0.51 inches</t>
  </si>
  <si>
    <t>29.90 x 27.71 x 1.30 cm</t>
  </si>
  <si>
    <t>B0B1TKV6KP</t>
  </si>
  <si>
    <t>Size: Large | Color: Cuban-white</t>
  </si>
  <si>
    <t>Fabric type: Linen&amp;Cotton | Care instructions: Machine Wash | Origin: Imported | Country of Origin: China</t>
  </si>
  <si>
    <t>Mens Casual Linen Cotton Button Down Short Sleeve Shirts Cuban Camp Guayabera Beach Tops</t>
  </si>
  <si>
    <t>https://www.amazon.com/dp/B0B1TKV6KP?psc=1</t>
  </si>
  <si>
    <t>https://images-na.ssl-images-amazon.com/images/I/51pxyeb3z6L._AC_US600_.jpg</t>
  </si>
  <si>
    <t>B0BN181XPV</t>
  </si>
  <si>
    <t>233</t>
  </si>
  <si>
    <t>2022-06-22</t>
  </si>
  <si>
    <t>10.31 x 7.64 x 1.38 inches</t>
  </si>
  <si>
    <t>26.19 x 19.41 x 3.51 cm</t>
  </si>
  <si>
    <t>B0BKSVFNSM</t>
  </si>
  <si>
    <t>Size: X-Large | Color: A-white</t>
  </si>
  <si>
    <t>Fabric type: 65% Polyester, 30% Rayon, 5% Spandex | Care instructions: Machine Wash | Origin: Imported | Closure type: Button | Country of Origin: China</t>
  </si>
  <si>
    <t>COOFANDY Mens Cuban Guayabera Shirt Casual Button Down Shirts Long Sleeve Summer Beach Shirts</t>
  </si>
  <si>
    <t>https://www.amazon.com/dp/B0BKSVFNSM?psc=1</t>
  </si>
  <si>
    <t>https://images-na.ssl-images-amazon.com/images/I/71MMeRj+CEL._AC_US600_.jpg</t>
  </si>
  <si>
    <t>B0BKSXD5Z2</t>
  </si>
  <si>
    <t>168</t>
  </si>
  <si>
    <t>2022-10-27</t>
  </si>
  <si>
    <t>11.68 ounces</t>
  </si>
  <si>
    <t>331.12 g</t>
  </si>
  <si>
    <t>13.11 x 11.14 x 0.79 inches</t>
  </si>
  <si>
    <t>33.30 x 28.30 x 2.01 cm</t>
  </si>
  <si>
    <t>B003S2DPX6</t>
  </si>
  <si>
    <t>Size: Large | Special Size: Regular | Color: Bright White</t>
  </si>
  <si>
    <t>Fabric type: 100% Linen | Care instructions: Dry clean preferred | Origin: Imported | Closure type: Button</t>
  </si>
  <si>
    <t>Cubavera</t>
  </si>
  <si>
    <t>https://www.amazon.com/stores/Cubavera/page/00EE9CE4-5829-49A7-84F9-C3A2A94E9123?ref_=ast_bln&amp;store_ref=bl_ast_dp_brandLogo_sto</t>
  </si>
  <si>
    <t>Cubavera Men's 100% Linen Long Sleeve Guayabera Shirt with Four Pockets, Camp Collar, Pintuck Detail, Lightweight Relaxed Fit</t>
  </si>
  <si>
    <t>https://www.amazon.com/dp/B003S2DPX6?psc=1</t>
  </si>
  <si>
    <t>https://images-na.ssl-images-amazon.com/images/I/71chNVoEfBS._AC_US600_.jpg</t>
  </si>
  <si>
    <t>B09Y1ZX2MZ</t>
  </si>
  <si>
    <t>2018-05-10</t>
  </si>
  <si>
    <t>EAM-Enterprise</t>
  </si>
  <si>
    <t xml:space="preserve">公司名称：Marcy R. Kennedy
办公地址：
Nona Snoop Shop
13828 Briand Ave
Orlando
FL
32827-7512
US
</t>
  </si>
  <si>
    <t>https://www.amazon.com/gp/help/seller/at-a-glance.html/ref=dp_merchant_link?seller=A1YQINW0AIUDAD</t>
  </si>
  <si>
    <t>100% linen clothing</t>
  </si>
  <si>
    <t>8.82 ounces</t>
  </si>
  <si>
    <t>250.04 g</t>
  </si>
  <si>
    <t>5 x 5 x 0.7 inches</t>
  </si>
  <si>
    <t>12.70 x 12.70 x 1.78 cm</t>
  </si>
  <si>
    <t>B0C4FN7429</t>
  </si>
  <si>
    <t>Fabric type: 70% Cotton, 30% Linen | Care instructions: Machine Wash | Origin: Imported | Closure type: Button | Country of Origin: China</t>
  </si>
  <si>
    <t>Alimens &amp; Gentle</t>
  </si>
  <si>
    <t>https://www.amazon.com/stores/AlimensGentle/page/49CD71DA-8B8C-4DAD-82E3-C4EE212D5CA1?ref_=ast_bln&amp;store_ref=bl_ast_dp_brandLogo_sto</t>
  </si>
  <si>
    <t>Alimens &amp; Gentle Mens Linen Shirts Short Sleeve Button Down Shirts Cotton Summer Beach Cuban Shirts Vacation Hawaiian Shirts</t>
  </si>
  <si>
    <t>https://www.amazon.com/dp/B0C4FN7429?psc=1</t>
  </si>
  <si>
    <t>https://m.media-amazon.com/images/I/41x9XXFnJqL._AC_SR600,600_.jpg</t>
  </si>
  <si>
    <t>B0D4LD99BQ</t>
  </si>
  <si>
    <t>2024-05-19</t>
  </si>
  <si>
    <t xml:space="preserve">公司名称：Henan De-Yuan Trade Co., Ltd.
办公地址：
蓼北路
信阳市
固始县
河南
465200
CN
</t>
  </si>
  <si>
    <t>https://www.amazon.com/gp/help/seller/at-a-glance.html/ref=dp_merchant_link?seller=A2U49OUC4V6GLR</t>
  </si>
  <si>
    <t>mens cotton short sleeve button down shirts</t>
  </si>
  <si>
    <t>9.91 ounces</t>
  </si>
  <si>
    <t>280.94 g</t>
  </si>
  <si>
    <t>8.86 x 6.1 x 1.93 inches</t>
  </si>
  <si>
    <t>22.50 x 15.49 x 4.90 cm</t>
  </si>
  <si>
    <t>B0CKVWMY79</t>
  </si>
  <si>
    <t>Size: Large | Color: Khaki</t>
  </si>
  <si>
    <t>Fabric type: Comfortable &amp; Breathable | Care instructions: Machine Wash | Closure type: Button | Neck style: Henley Neck | Country of Origin: China</t>
  </si>
  <si>
    <t>COOFANDY Men's Henley Shirts Band Collar Short Sleeve Shirt Casual Summer Beach Shirt Hippie T Shirt Fashion Hawaiian Shirt</t>
  </si>
  <si>
    <t>https://www.amazon.com/dp/B0CKVWMY79?psc=1</t>
  </si>
  <si>
    <t>https://m.media-amazon.com/images/I/41mzafddPgL._AC_SR600,600_.jpg</t>
  </si>
  <si>
    <t>B0DDXX9CWQ</t>
  </si>
  <si>
    <t>3284</t>
  </si>
  <si>
    <t>2023-10-10</t>
  </si>
  <si>
    <t>8.11 ounces</t>
  </si>
  <si>
    <t>229.91 g</t>
  </si>
  <si>
    <t>13.7 x 10.98 x 0.43 inches</t>
  </si>
  <si>
    <t>34.80 x 27.89 x 1.09 cm</t>
  </si>
  <si>
    <t>B0CQ1KKKGJ</t>
  </si>
  <si>
    <t>Size: Medium | Special Size: Linen Shirts for Men | Color: All White</t>
  </si>
  <si>
    <t>Fabric type: Cotton Blend | Care instructions: Machine Wash | Origin: Imported | Closure type: Button</t>
  </si>
  <si>
    <t>DEMEANOR</t>
  </si>
  <si>
    <t>https://www.amazon.com/stores/DEMEANOR/page/AB51D4CB-66EF-4F10-A923-7A47881C6B02?ref_=ast_bln</t>
  </si>
  <si>
    <t>DEMEANOR Linen Shirts for Men Short Sleeve Linen Shirts Casual Button Down Shirts Summer Beach Hawaiian Shirt for Men</t>
  </si>
  <si>
    <t>https://www.amazon.com/dp/B0CQ1KKKGJ?psc=1</t>
  </si>
  <si>
    <t>https://images-na.ssl-images-amazon.com/images/I/719EWLT7gmL._AC_US600_.jpg</t>
  </si>
  <si>
    <t>B0CQ5563XL</t>
  </si>
  <si>
    <t>817</t>
  </si>
  <si>
    <t>2023-12-11</t>
  </si>
  <si>
    <t xml:space="preserve">公司名称：Henan Xuan Ong Da Trading Company
办公地址：
南大桥乡乡政府斜对面50米
信阳市
固始县
河南省
465200
CN
</t>
  </si>
  <si>
    <t>https://www.amazon.com/gp/help/seller/at-a-glance.html/ref=dp_merchant_link?seller=A1Q57G0HOV6U0E</t>
  </si>
  <si>
    <t>8 ounces</t>
  </si>
  <si>
    <t>226.80 g</t>
  </si>
  <si>
    <t>0.5 x 0.5 x 0.5 inches</t>
  </si>
  <si>
    <t>1.27 x 1.27 x 1.27 cm</t>
  </si>
  <si>
    <t>B0D12QGQMH</t>
  </si>
  <si>
    <t>https://www.amazon.com/dp/B0D12QGQMH?psc=1</t>
  </si>
  <si>
    <t>https://images-na.ssl-images-amazon.com/images/I/81xTMVsKz5L._AC_US600_.jpg</t>
  </si>
  <si>
    <t>B0CMH4P6NP</t>
  </si>
  <si>
    <t>Size: XX-Large | Color: A-flecking Blue</t>
  </si>
  <si>
    <t>Fabric type: Soft &amp; Breathable Fabric | Care instructions: Machine Wash | Origin: Imported | Closure type: Button | Country of Origin: China</t>
  </si>
  <si>
    <t>COOFANDY Men's Casual Henley Shirt Short Sleeve Band Collar Linen Shirt Summer Beach Hippie T-Shirts</t>
  </si>
  <si>
    <t>https://www.amazon.com/dp/B0CMH4P6NP?psc=1</t>
  </si>
  <si>
    <t>https://m.media-amazon.com/images/I/41wao5XghrL._AC_SR600,600_.jpg</t>
  </si>
  <si>
    <t>B0DDXBPK1H</t>
  </si>
  <si>
    <t>12%</t>
  </si>
  <si>
    <t>2023-11-02</t>
  </si>
  <si>
    <t>7.37 ounces</t>
  </si>
  <si>
    <t>208.94 g</t>
  </si>
  <si>
    <t>10.16 x 8.11 x 2.05 inches</t>
  </si>
  <si>
    <t>25.81 x 20.60 x 5.21 cm</t>
  </si>
  <si>
    <t>B0CJTXG7JY</t>
  </si>
  <si>
    <t>Size: Medium | Color: Black</t>
  </si>
  <si>
    <t>COOFANDY Men's Cuban Guayabera Shirt Short Sleeve Button Down Shirts Casual Summer Beach Linen Shirts</t>
  </si>
  <si>
    <t>https://www.amazon.com/dp/B0CJTXG7JY?psc=1</t>
  </si>
  <si>
    <t>https://m.media-amazon.com/images/I/41P55-qz+1L._AC_SR600,600_.jpg</t>
  </si>
  <si>
    <t>B0DDXQ2WVC</t>
  </si>
  <si>
    <t>68</t>
  </si>
  <si>
    <t>2023-09-25</t>
  </si>
  <si>
    <t>B0C6SYT6YV</t>
  </si>
  <si>
    <t>Size: X-Large | Color: Pocket-blue</t>
  </si>
  <si>
    <t>Mens Casual Linen Button Down Short Sleeve Shirts Beach Summer Spread Collar Pocket Tops</t>
  </si>
  <si>
    <t>https://www.amazon.com/dp/B0C6SYT6YV?psc=1</t>
  </si>
  <si>
    <t>https://m.media-amazon.com/images/I/41Y4mFC0x0L._AC_SR600,600_.jpg</t>
  </si>
  <si>
    <t>B0CKHRX1HS</t>
  </si>
  <si>
    <t>1194</t>
  </si>
  <si>
    <t>2023-10-04</t>
  </si>
  <si>
    <t>7.05 ounces</t>
  </si>
  <si>
    <t>199.86 g</t>
  </si>
  <si>
    <t>12.68 x 10.2 x 2.09 inches</t>
  </si>
  <si>
    <t>32.21 x 25.91 x 5.31 cm</t>
  </si>
  <si>
    <t>B0CWZYQYBR</t>
  </si>
  <si>
    <t>Size: Large | Color: Green</t>
  </si>
  <si>
    <t>Fabric type: 100% Polyester | Care instructions: Machine Wash | Origin: Imported | Closure type: Button | Country of Origin: China</t>
  </si>
  <si>
    <t>COOFANDY Mens Casual Short Sleeve Button Down Shirts Cuban Linen Textured Shirt Summer Beach Wear</t>
  </si>
  <si>
    <t>https://www.amazon.com/dp/B0CWZYQYBR?psc=1</t>
  </si>
  <si>
    <t>https://images-na.ssl-images-amazon.com/images/I/71nDbCvdvwL._AC_US600_.jpg</t>
  </si>
  <si>
    <t>B0DDX77VFD</t>
  </si>
  <si>
    <t>573</t>
  </si>
  <si>
    <t>2024-03-23</t>
  </si>
  <si>
    <t>8.78 ounces</t>
  </si>
  <si>
    <t>248.91 g</t>
  </si>
  <si>
    <t>12.56 x 10.94 x 0.79 inches</t>
  </si>
  <si>
    <t>31.90 x 27.79 x 2.01 cm</t>
  </si>
  <si>
    <t>B09NHT7X66</t>
  </si>
  <si>
    <t>Size: Medium | Special Size: Men | Color: Light Khaki</t>
  </si>
  <si>
    <t>https://www.amazon.com/dp/B09NHT7X66?psc=1</t>
  </si>
  <si>
    <t>https://m.media-amazon.com/images/I/51TbTJaY5rS._AC_SR600,600_.jpg</t>
  </si>
  <si>
    <t>14.29 x 11.54 x 0.59 inches</t>
  </si>
  <si>
    <t>36.30 x 29.31 x 1.50 cm</t>
  </si>
  <si>
    <t>B0BLZHMXJR</t>
  </si>
  <si>
    <t>Fabric type: Cotton &amp; Linen texture | Care instructions: Machine Wash | Origin: Imported | Closure type: Button | Country of Origin: China</t>
  </si>
  <si>
    <t>COOFANDY Men's Cotton Linen Shirt Long Sleeve Button Down Shirts Band Collar Beach Yoga Shirts</t>
  </si>
  <si>
    <t>https://www.amazon.com/dp/B0BLZHMXJR?psc=1</t>
  </si>
  <si>
    <t>https://images-na.ssl-images-amazon.com/images/I/71sicHesUjL._AC_US600_.jpg</t>
  </si>
  <si>
    <t>B0DDYB9JPM</t>
  </si>
  <si>
    <t>902</t>
  </si>
  <si>
    <t>2023-01-12</t>
  </si>
  <si>
    <t>10.41 ounces</t>
  </si>
  <si>
    <t>295.12 g</t>
  </si>
  <si>
    <t>14.88 x 11.54 x 1.73 inches</t>
  </si>
  <si>
    <t>37.80 x 29.31 x 4.39 cm</t>
  </si>
  <si>
    <t>B0CQL2C1P9</t>
  </si>
  <si>
    <t>Size: Large | Color: Beige</t>
  </si>
  <si>
    <t>Fabric type: 49% Rayon, 34% Polyester, 17% Nylon，Super soft and comfortable | Care instructions: Machine Wash | Origin: Imported | Closure type: Button | Country of Origin: China</t>
  </si>
  <si>
    <t>COOFANDY Men's Linen Button Down Shirt Long Sleeve Casual Beach Shirts with Pocket</t>
  </si>
  <si>
    <t>https://www.amazon.com/dp/B0CQL2C1P9?psc=1</t>
  </si>
  <si>
    <t>https://images-na.ssl-images-amazon.com/images/I/71g04ozofuL._AC_US600_.jpg</t>
  </si>
  <si>
    <t>B0CBTF1GC5</t>
  </si>
  <si>
    <t>266</t>
  </si>
  <si>
    <t>2023-07-13</t>
  </si>
  <si>
    <t>14.29 x 11.38 x 1.46 inches</t>
  </si>
  <si>
    <t>36.30 x 28.91 x 3.71 cm</t>
  </si>
  <si>
    <t>B087X2996Y</t>
  </si>
  <si>
    <t>Size: X-Large | Color: Black</t>
  </si>
  <si>
    <t>Fabric type: Cotton &amp; Linen | Care instructions: Machine Wash | Origin: Imported | Closure type: Button | Country of Origin: China</t>
  </si>
  <si>
    <t>COOFANDY Mens Cotton Linen Cuban Guayabera Shirt Casual Short Sleeve Button Down Shirts Summer Beach Tops</t>
  </si>
  <si>
    <t>https://www.amazon.com/dp/B087X2996Y?psc=1</t>
  </si>
  <si>
    <t>https://images-na.ssl-images-amazon.com/images/I/61D1oLYxCVL._AC_US600_.jpg</t>
  </si>
  <si>
    <t>B087WP31H9</t>
  </si>
  <si>
    <t>422</t>
  </si>
  <si>
    <t>2020-04-29</t>
  </si>
  <si>
    <t>Simbama</t>
  </si>
  <si>
    <t xml:space="preserve">公司名称：dongguanshiyanyudianzishangwu youxiangongsi
办公地址：
二路9号1栋2单元209室
东莞市
松山湖园区
广东省
523000
CN
</t>
  </si>
  <si>
    <t>https://www.amazon.com/gp/help/seller/at-a-glance.html/ref=dp_merchant_link?seller=AX9MEOBFAEDU7</t>
  </si>
  <si>
    <t>13.66 x 11.26 x 0.75 inches</t>
  </si>
  <si>
    <t>34.70 x 28.60 x 1.91 cm</t>
  </si>
  <si>
    <t>B0CTKB3BCC</t>
  </si>
  <si>
    <t>Size: X-Large | Color: Grey</t>
  </si>
  <si>
    <t>Fabric type: 70% Cotton, 30% Linen | Care instructions: Machine Wash | Origin: Imported | Closure type: Drawstring | Country of Origin: China</t>
  </si>
  <si>
    <t>Alimens &amp; Gentle Mens Cotton Linen Shirts Short Sleeve Casual Hippie Summer Shirts Beach Lace Up Hawaiian Camp Shirt</t>
  </si>
  <si>
    <t>https://www.amazon.com/dp/B0CTKB3BCC?psc=1</t>
  </si>
  <si>
    <t>https://m.media-amazon.com/images/I/41kO2bwCjBL._AC_SR600,600_.jpg</t>
  </si>
  <si>
    <t>B0CTKB6YBD</t>
  </si>
  <si>
    <t>2644</t>
  </si>
  <si>
    <t>2024-01-29</t>
  </si>
  <si>
    <t>B0CP1N34D6</t>
  </si>
  <si>
    <t>Size: Large | Color: Black</t>
  </si>
  <si>
    <t>Fabric type: 80%Rayon 20%Polyester | Care instructions: Machine Wash | Origin: Imported | Closure type: Button | Country of Origin: China</t>
  </si>
  <si>
    <t>COOFANDY Men's Short Sleeve Knit Shirt Casual Button Down Shirt Vintage Striped Knitted Golf Beach Tops</t>
  </si>
  <si>
    <t>https://www.amazon.com/dp/B0CP1N34D6?psc=1</t>
  </si>
  <si>
    <t>https://m.media-amazon.com/images/I/41PVJ2HLk5L._AC_SR600,600_.jpg</t>
  </si>
  <si>
    <t>B0DDXRVVZ2</t>
  </si>
  <si>
    <t>261</t>
  </si>
  <si>
    <t>2023-11-26</t>
  </si>
  <si>
    <t>11.65 x 9.84 x 1.18 inches</t>
  </si>
  <si>
    <t>29.59 x 24.99 x 3.00 cm</t>
  </si>
  <si>
    <t>B0867B2ZDN</t>
  </si>
  <si>
    <t>Size: Large | Color: Grey</t>
  </si>
  <si>
    <t>Fabric type: Linen,Cotton | Care instructions: Machine Wash | Origin: Imported | Fur description: Be Aware: Refer to our SIZE CHART in the description below please. | Country of Origin: China</t>
  </si>
  <si>
    <t>Button Down Short Sleeve Linen Shirts for Men Summer Casual Cotton Spread Collar Beach Shirts</t>
  </si>
  <si>
    <t>https://www.amazon.com/dp/B0867B2ZDN?psc=1</t>
  </si>
  <si>
    <t>https://m.media-amazon.com/images/I/41xOicVFAvL._AC_SR600,600_.jpg</t>
  </si>
  <si>
    <t>B0867BKGLG</t>
  </si>
  <si>
    <t>158</t>
  </si>
  <si>
    <t>2020-03-19</t>
  </si>
  <si>
    <t xml:space="preserve">公司名称：Huzhou Deqing Meijie Textile Trade Co., Ltd.
办公地址：
Room 106, No. 66 Zhenxing Road
Leidian Town, Deqing County
Huzhou
Zhejiang
313200
CN
</t>
  </si>
  <si>
    <t>https://www.amazon.com/gp/help/seller/at-a-glance.html/ref=dp_merchant_link?seller=A107Z78SG8ROPE</t>
  </si>
  <si>
    <t>mens casual dress shirt short sleeve</t>
  </si>
  <si>
    <t>8.15 ounces</t>
  </si>
  <si>
    <t>231.05 g</t>
  </si>
  <si>
    <t>11.26 x 11.22 x 0.79 inches</t>
  </si>
  <si>
    <t>28.60 x 28.50 x 2.01 cm</t>
  </si>
  <si>
    <t>B079BZ3326</t>
  </si>
  <si>
    <t>Size: Large | Color: Port Royale</t>
  </si>
  <si>
    <t>Fabric type: 51% Polyester, 49% Cotton | Care instructions: Machine Wash | Origin: Imported | Closure type: No Closure | Country of Origin: Guatemala</t>
  </si>
  <si>
    <t>Lucky Brand</t>
  </si>
  <si>
    <t>https://www.amazon.com/stores/LuckyBrand/page/2C35F610-19EF-47A1-8A38-B3186DDB0DF6?ref_=ast_bln</t>
  </si>
  <si>
    <t>Lucky Brand Men's Venice Burnout Notch Neck Tee</t>
  </si>
  <si>
    <t>https://www.amazon.com/dp/B079BZ3326?psc=1</t>
  </si>
  <si>
    <t>https://m.media-amazon.com/images/I/41CMvgrZRAL._AC_SR600,600_.jpg</t>
  </si>
  <si>
    <t>B0D4J8PKS6</t>
  </si>
  <si>
    <t>23</t>
  </si>
  <si>
    <t>2024-05-17</t>
  </si>
  <si>
    <t>AMZ</t>
  </si>
  <si>
    <t>Amazon.com</t>
  </si>
  <si>
    <t>8 x 10 x 1 inches</t>
  </si>
  <si>
    <t>20.32 x 25.40 x 2.54 cm</t>
  </si>
  <si>
    <t>B0CQ28BD67</t>
  </si>
  <si>
    <t>Size: Medium | Color: All White</t>
  </si>
  <si>
    <t>Fabric type: 70% Cotton, 30% Linen | Care instructions: Machine Wash | Origin: Made in USA or Imported | Fur description: 70%Cotton,30%Linen</t>
  </si>
  <si>
    <t>Lion Nardo</t>
  </si>
  <si>
    <t>https://www.amazon.com/stores/LionNardo/page/9165DF9C-317B-42AC-9433-C7A10B3B29CA?ref_=ast_bln</t>
  </si>
  <si>
    <t>Linen Shirts for Men Short Sleeve Linen Button Down Shirts Hawaiian Shirt for Men Beach Shirts Summer Shirts</t>
  </si>
  <si>
    <t>https://www.amazon.com/dp/B0CQ28BD67?psc=1</t>
  </si>
  <si>
    <t>https://m.media-amazon.com/images/I/31Kk27GSxRL._AC_SR600,600_.jpg</t>
  </si>
  <si>
    <t>B0CQ2FLXJC</t>
  </si>
  <si>
    <t>798</t>
  </si>
  <si>
    <t xml:space="preserve">公司名称：KingCo Fashion Co., Ltd.
办公地址：
8053 Newmark Unite 5-9B
ROSEMEAD
CA
91770-3171
US
</t>
  </si>
  <si>
    <t>https://www.amazon.com/gp/help/seller/at-a-glance.html/ref=dp_merchant_link?seller=A1VPF17XU672VP</t>
  </si>
  <si>
    <t>12.2 x 8.98 x 0.79 inches</t>
  </si>
  <si>
    <t>30.99 x 22.81 x 2.01 cm</t>
  </si>
  <si>
    <t>B08VNK59NS</t>
  </si>
  <si>
    <t>Size: X-Large | Color: Pink</t>
  </si>
  <si>
    <t>Fabric type: Linen,Cotton | Care instructions: Cold Wash, No Iron, Hang Dry | Closure type: Button | Neck style: Collared Neck</t>
  </si>
  <si>
    <t>Bbalizko</t>
  </si>
  <si>
    <t>https://www.amazon.com/stores/Bbalizko/page/F2EDF5CC-1580-4135-A6AF-74E8A574B815?ref_=ast_bln</t>
  </si>
  <si>
    <t>Bbalizko Mens Short Sleeve Button Up Shirts Linen Cotton Beach Tops Spread Collar Plain Summer T Shirt with Pocket</t>
  </si>
  <si>
    <t>https://www.amazon.com/dp/B08VNK59NS?psc=1</t>
  </si>
  <si>
    <t>https://m.media-amazon.com/images/I/41vfohinvOL._AC_SR600,600_.jpg</t>
  </si>
  <si>
    <t>B0CQRF8GRL</t>
  </si>
  <si>
    <t>479</t>
  </si>
  <si>
    <t>2021-02-01</t>
  </si>
  <si>
    <t>You Feng Yu</t>
  </si>
  <si>
    <t xml:space="preserve">公司名称：Qianshan YouFengYu Network Tech Co.,Ltd.
办公地址：
经济开发区
潜阳路1号
安庆市
安徽
246300
CN
</t>
  </si>
  <si>
    <t>https://www.amazon.com/gp/help/seller/at-a-glance.html/ref=dp_merchant_link?seller=AVALB4136Z111</t>
  </si>
  <si>
    <t>12.99 x 11.02 x 0.59 inches</t>
  </si>
  <si>
    <t>32.99 x 27.99 x 1.50 cm</t>
  </si>
  <si>
    <t>B0CRRBWS1F</t>
  </si>
  <si>
    <t>Size: 3X-Large | Color: Navy Blue</t>
  </si>
  <si>
    <t>Fabric type: 70%Rayon+30%Linen | Care instructions: Machine Wash | Origin: Imported</t>
  </si>
  <si>
    <t>COOFANDY Men's Linen Henley Shirts Long Sleeve Collarless T-Shirts Longline Kurta Beach Shirts with Pocket</t>
  </si>
  <si>
    <t>https://www.amazon.com/dp/B0CRRBWS1F?psc=1</t>
  </si>
  <si>
    <t>https://m.media-amazon.com/images/I/41CFztD13gL._AC_SR600,600_.jpg</t>
  </si>
  <si>
    <t>B0BJT56MNG</t>
  </si>
  <si>
    <t>2019</t>
  </si>
  <si>
    <t>2022-10-19</t>
  </si>
  <si>
    <t>15.52 ounces</t>
  </si>
  <si>
    <t>439.98 g</t>
  </si>
  <si>
    <t>14.57 x 11.42 x 0.79 inches</t>
  </si>
  <si>
    <t>37.01 x 29.01 x 2.01 cm</t>
  </si>
  <si>
    <t>B0D4QXKTRR</t>
  </si>
  <si>
    <t>Size: X-Large | Color: Khaki</t>
  </si>
  <si>
    <t>Fabric type: Cotton &amp; Linen | Care instructions: Machine Wash. Due to the linen material, dry at low temperature, do not soak for a long time, wash with cold water, the maximum water temperature should not exceed 40 degrees to avoid shrinkage or deformation, dry the clothes in a cool and ventilated place, avoid direct sunlight or exposure to avoid fading and deformation | Origin: Imported | Closure type: Button</t>
  </si>
  <si>
    <t>PJ PAUL JONES</t>
  </si>
  <si>
    <t>https://www.amazon.com/stores/PJPAULJONES/page/900C5CBD-4371-40E3-9FF7-1AF3D2180072?ref_=ast_bln&amp;store_ref=bl_ast_dp_brandLogo_sto</t>
  </si>
  <si>
    <t>PJ PAUL JONES Men's Linen Shirts Casual Button Down Long Sleeve Shirt Lightweight Beach Shirt with Pocket</t>
  </si>
  <si>
    <t>https://www.amazon.com/dp/B0D4QXKTRR?psc=1</t>
  </si>
  <si>
    <t>https://images-na.ssl-images-amazon.com/images/I/81ELjjyIFSL._AC_US600_.jpg</t>
  </si>
  <si>
    <t>B0D4QWDYNM</t>
  </si>
  <si>
    <t>598</t>
  </si>
  <si>
    <t>$5.00</t>
  </si>
  <si>
    <t>2024-05-20</t>
  </si>
  <si>
    <t>P &amp; J HOME</t>
  </si>
  <si>
    <t xml:space="preserve">公司名称：Suzhou Xiangrugu Trading Co.,Ltd.
办公地址：
Room 2326, No. 301, Dongzhongshi
Suzhou
Gusu
Jiangsu
215005
CN
</t>
  </si>
  <si>
    <t>https://www.amazon.com/gp/help/seller/at-a-glance.html/ref=dp_merchant_link?seller=A2FOAMAM1NPBGV</t>
  </si>
  <si>
    <t>B08CXFF3B8</t>
  </si>
  <si>
    <t>Fabric type: Linen,Cotton | Care instructions: Machine Wash on Cold, Delicate Cycle; Low Heat Tumble Dry | Origin: Imported | Closure type: Pull On</t>
  </si>
  <si>
    <t>Rela Bota</t>
  </si>
  <si>
    <t>https://www.amazon.com/stores/RelaBota/page/E6C4685C-FE96-4F24-9D93-631B4BE2D09C?ref_=ast_bln&amp;store_ref=bl_ast_dp_brandLogo_sto</t>
  </si>
  <si>
    <t>Men's Fashion Cotton Linen Shirt Long Sleeve Solid Color Ethnic Beach Yoga Top</t>
  </si>
  <si>
    <t>https://www.amazon.com/dp/B08CXFF3B8?psc=1</t>
  </si>
  <si>
    <t>https://m.media-amazon.com/images/I/51lG7hNrgDL._AC_SR600,600_.jpg</t>
  </si>
  <si>
    <t>B08D6CFY9H</t>
  </si>
  <si>
    <t>209</t>
  </si>
  <si>
    <t>2020-07-13</t>
  </si>
  <si>
    <t>Xiamen Jingliang</t>
  </si>
  <si>
    <t xml:space="preserve">公司名称：Xiamen Bizhiyingkeji Youxiangongsi
办公地址：
穆厝路9号1201室之三
厦门市
湖里区
福建
361000
CN
</t>
  </si>
  <si>
    <t>https://www.amazon.com/gp/help/seller/at-a-glance.html/ref=dp_merchant_link?seller=A3USB205X5P9XH</t>
  </si>
  <si>
    <t>11.5 x 7.32 x 1.54 inches</t>
  </si>
  <si>
    <t>29.21 x 18.59 x 3.91 cm</t>
  </si>
  <si>
    <t>B08ZYN1WDR</t>
  </si>
  <si>
    <t>Size: Medium | Color: 01 Army Green</t>
  </si>
  <si>
    <t>Fabric type: 70% Cotton, 30% Linen | Care instructions: Machine Wash | Origin: Imported | Closure type: Button</t>
  </si>
  <si>
    <t>Makkrom</t>
  </si>
  <si>
    <t>https://www.amazon.com/stores/Makkrom/page/AB5A30AA-7168-48B6-B807-1768EB25800B?ref_=ast_bln&amp;store_ref=bl_ast_dp_brandLogo_sto</t>
  </si>
  <si>
    <t>Makkrom Men Linen Shirt Button Down Long Sleeve Cotton Beach Band Collar Casual Summer Shirts</t>
  </si>
  <si>
    <t>https://www.amazon.com/dp/B08ZYN1WDR?psc=1</t>
  </si>
  <si>
    <t>https://m.media-amazon.com/images/I/41trg5yR4tS._AC_SR600,600_.jpg</t>
  </si>
  <si>
    <t>B0D9W5NDWQ</t>
  </si>
  <si>
    <t>447</t>
  </si>
  <si>
    <t>2023-12-20</t>
  </si>
  <si>
    <t xml:space="preserve">公司名称：Hangzhou MengVan Technology Co.,Ltd
办公地址：
南苑街道永安大厦203室
杭州市
临平区
浙江省
311199
CN
</t>
  </si>
  <si>
    <t>https://www.amazon.com/gp/help/seller/at-a-glance.html/ref=dp_merchant_link?seller=A8AY448W7VP9Q</t>
  </si>
  <si>
    <t>green linen shirt men</t>
  </si>
  <si>
    <t>11.77 x 10.87 x 0.59 inches</t>
  </si>
  <si>
    <t>29.90 x 27.61 x 1.50 cm</t>
  </si>
  <si>
    <t>B0CQYWF4PB</t>
  </si>
  <si>
    <t>Size: 3X-Large | Color: Brown</t>
  </si>
  <si>
    <t>Fabric type: 95% Polyester, 5% Spandex | Care instructions: Machine Wash | Origin: Imported | Closure type: Button</t>
  </si>
  <si>
    <t>COOFANDY Men's Casual Button Down Shirt Short Sleeve Textured Summer Cuban Beach Shirts</t>
  </si>
  <si>
    <t>https://www.amazon.com/dp/B0CQYWF4PB?psc=1</t>
  </si>
  <si>
    <t>https://m.media-amazon.com/images/I/41CZJ8ZM7UL._AC_SR600,600_.jpg</t>
  </si>
  <si>
    <t>B0DDXJWZSX</t>
  </si>
  <si>
    <t>384</t>
  </si>
  <si>
    <t>2024-01-15</t>
  </si>
  <si>
    <t>11.81 x 9.53 x 0.98 inches</t>
  </si>
  <si>
    <t>30.00 x 24.21 x 2.49 cm</t>
  </si>
  <si>
    <t>B0D87CJLY6</t>
  </si>
  <si>
    <t>Fabric type: 65%Cotton, 30%Viscose, 5%Linen | Closure type: Button | Neck style: Spread Collar | Sleeve type: Long Sleeve</t>
  </si>
  <si>
    <t>Runcati</t>
  </si>
  <si>
    <t>https://www.amazon.com/stores/Runcati/page/20015B80-E9FF-41BF-8597-56689F64944D?ref_=ast_bln&amp;store_ref=bl_ast_dp_brandLogo_sto</t>
  </si>
  <si>
    <t>Runcati Mens Button Down Shirt Cotton Linen Casual Long Sleeve Shirts Collared Hippie Beach Tops</t>
  </si>
  <si>
    <t>https://www.amazon.com/dp/B0D87CJLY6?psc=1</t>
  </si>
  <si>
    <t>https://m.media-amazon.com/images/I/41-oEN2cNIL._AC_SR600,600_.jpg</t>
  </si>
  <si>
    <t>B0D87F5TXN</t>
  </si>
  <si>
    <t>1024</t>
  </si>
  <si>
    <t>2024-06-26</t>
  </si>
  <si>
    <t>Runcati America</t>
  </si>
  <si>
    <t xml:space="preserve">公司名称：Qian Shan Chun Meng Fu Shi E-Commerce Co., Ltd
办公地址：
潜山县经济开发区潜阳路1号
安庆市
安徽
246300
CN
</t>
  </si>
  <si>
    <t>https://www.amazon.com/gp/help/seller/at-a-glance.html/ref=dp_merchant_link?seller=AXTLB7JAR0E88</t>
  </si>
  <si>
    <t>10.76 ounces</t>
  </si>
  <si>
    <t>305.04 g</t>
  </si>
  <si>
    <t>13.03 x 11.3 x 0.67 inches</t>
  </si>
  <si>
    <t>33.10 x 28.70 x 1.70 cm</t>
  </si>
  <si>
    <t>B0CQLPY73Y</t>
  </si>
  <si>
    <t>Fabric type: 70%polyester,27%rayon,3%spandex | Care instructions: Machine Wash | Origin: Imported | Closure type: Button</t>
  </si>
  <si>
    <t>COOFANDY Men's Button Down Shirts Short Sleeve Casual Shirts Summer Beach Shirts Vacation Wedding Shirts with Pocket</t>
  </si>
  <si>
    <t>https://www.amazon.com/dp/B0CQLPY73Y?psc=1</t>
  </si>
  <si>
    <t>https://m.media-amazon.com/images/I/41IIr-FduPL._AC_SR600,600_.jpg</t>
  </si>
  <si>
    <t>B0DDXKTR4D</t>
  </si>
  <si>
    <t>45</t>
  </si>
  <si>
    <t>2023-12-18</t>
  </si>
  <si>
    <t>7.87 x 7.09 x 0.2 inches</t>
  </si>
  <si>
    <t>19.99 x 18.01 x 0.51 cm</t>
  </si>
  <si>
    <t>B083K8DD4K</t>
  </si>
  <si>
    <t>Size: Large | Color: 01-white</t>
  </si>
  <si>
    <t>Fabric type: Linen,Cotton | Care instructions: Machine Wash | Origin: Made in the USA | Closure type: Button</t>
  </si>
  <si>
    <t>COOFANDY Men's Cotton Linen Henley Shirt Short Sleeve Hippie Casual Beach T-Shirts with Pocket</t>
  </si>
  <si>
    <t>https://www.amazon.com/dp/B083K8DD4K?psc=1</t>
  </si>
  <si>
    <t>https://images-na.ssl-images-amazon.com/images/I/71w61TDc4WL._AC_US600_.jpg</t>
  </si>
  <si>
    <t>B094XZM7M6</t>
  </si>
  <si>
    <t>473</t>
  </si>
  <si>
    <t>2020-01-19</t>
  </si>
  <si>
    <t>8 x 5 x 1 inches</t>
  </si>
  <si>
    <t>20.32 x 12.70 x 2.54 cm</t>
  </si>
  <si>
    <t>B096RT3Z8W</t>
  </si>
  <si>
    <t>Size: X-Large | Color: Sky Blue</t>
  </si>
  <si>
    <t>Fabric type: Cotton Linen | Care instructions: Hand Wash Only | Origin: Imported | Fur description: It is recommended to wash at low temperature, DO Not Bleach. | Country of Origin: China</t>
  </si>
  <si>
    <t>Enlision</t>
  </si>
  <si>
    <t>https://www.amazon.com/stores/Enlision/page/0F59DEF7-EAE3-4314-84BF-EB87376CF28E?ref_=ast_bln&amp;store_ref=bl_ast_dp_brandLogo_sto</t>
  </si>
  <si>
    <t>Enlision Mens Cotton Linen Henley Shirts Casual Long Sleeve Summer Beach Shirt Hawaii Hippie Button Down T-Shirt for Men</t>
  </si>
  <si>
    <t>https://www.amazon.com/dp/B096RT3Z8W?psc=1</t>
  </si>
  <si>
    <t>https://m.media-amazon.com/images/I/41T5VyZQDfL._AC_SR600,600_.jpg</t>
  </si>
  <si>
    <t>B0DLBBLG1L</t>
  </si>
  <si>
    <t>330</t>
  </si>
  <si>
    <t>2023-05-16</t>
  </si>
  <si>
    <t>Devorank Life</t>
  </si>
  <si>
    <t xml:space="preserve">公司名称：guangzhou meixin maoyi youxiangongsi
办公地址：
黄石街鹤龙一路32号御丰广场7栋306室
广州市
白云区
广东省
510000
CN
</t>
  </si>
  <si>
    <t>https://www.amazon.com/gp/help/seller/at-a-glance.html/ref=dp_merchant_link?seller=AQP4ASUEX2LN3</t>
  </si>
  <si>
    <t>12.28 x 9.57 x 1.3 inches</t>
  </si>
  <si>
    <t>31.19 x 24.31 x 3.30 cm</t>
  </si>
  <si>
    <t>B016PD1UQI</t>
  </si>
  <si>
    <t>Size: Large | Color: Bright White</t>
  </si>
  <si>
    <t>Fabric type: 100% Linen | Care instructions: Machine Wash | Origin: Imported | Closure type: Button | Country of Origin: Vietnam</t>
  </si>
  <si>
    <t>Perry Ellis</t>
  </si>
  <si>
    <t>https://www.amazon.com/stores/PerryEllis/page/B2BFB9F3-FA96-40B7-B963-B68DFA81BF65?ref_=ast_bln&amp;store_ref=bl_ast_dp_brandLogo_sto</t>
  </si>
  <si>
    <t>Perry Ellis Men's Long Sleeve Solid Linen Popover Shirt</t>
  </si>
  <si>
    <t>https://www.amazon.com/dp/B016PD1UQI?psc=1</t>
  </si>
  <si>
    <t>https://m.media-amazon.com/images/I/31yUtobBafL._AC_SR600,600_.jpg</t>
  </si>
  <si>
    <t>B0D636DXLN</t>
  </si>
  <si>
    <t>2520</t>
  </si>
  <si>
    <t>2024-06-03</t>
  </si>
  <si>
    <t>7.94 Ounces</t>
  </si>
  <si>
    <t>225.10 g</t>
  </si>
  <si>
    <t>13.39 x 10.43 x 1.06 inches</t>
  </si>
  <si>
    <t>34.01 x 26.49 x 2.69 cm</t>
  </si>
  <si>
    <t>B0CYZHDH9V</t>
  </si>
  <si>
    <t>Mens Linen Cuban Guayabera Button Down Shirts Short Sleeve Casual Summer Beach Tops</t>
  </si>
  <si>
    <t>https://www.amazon.com/dp/B0CYZHDH9V?psc=1</t>
  </si>
  <si>
    <t>https://m.media-amazon.com/images/I/31DqGwtZuLL._AC_SR600,600_.jpg</t>
  </si>
  <si>
    <t>B0CYZT264J</t>
  </si>
  <si>
    <t>660</t>
  </si>
  <si>
    <t>2024-03-24</t>
  </si>
  <si>
    <t>11.3 x 10.75 x 0.75 inches</t>
  </si>
  <si>
    <t>28.70 x 27.31 x 1.91 cm</t>
  </si>
  <si>
    <t>B01AAMOI3W</t>
  </si>
  <si>
    <t>Size: Large | Color: Delft Blue</t>
  </si>
  <si>
    <t>Perry Ellis Men's Roll Sleeve 100% Linen Button-Down Shirt (Size X-Small - 5X Big &amp; Tall)</t>
  </si>
  <si>
    <t>https://www.amazon.com/dp/B01AAMOI3W?psc=1</t>
  </si>
  <si>
    <t>https://m.media-amazon.com/images/I/51WV8QyajPL._AC_SR600,600_.jpg</t>
  </si>
  <si>
    <t>B06XPMS43W</t>
  </si>
  <si>
    <t>1882</t>
  </si>
  <si>
    <t>2015-07-10</t>
  </si>
  <si>
    <t>white linen dress shirt for men</t>
  </si>
  <si>
    <t>2.4 ounces</t>
  </si>
  <si>
    <t>68.04 g</t>
  </si>
  <si>
    <t>13.2 x 11.2 x 0.5 inches</t>
  </si>
  <si>
    <t>33.53 x 28.45 x 1.27 cm</t>
  </si>
  <si>
    <t>B0CLV6N8HD</t>
  </si>
  <si>
    <t>Size: Medium | Color: Navy Blue</t>
  </si>
  <si>
    <t>Fabric type: 100% Cotton with Linen Texture | Care instructions: Machine Wash | Origin: Imported | Closure type: Button | Country of Origin: China</t>
  </si>
  <si>
    <t>COOFANDY Mens Casual Cotton Linen Shirt Short Sleeve Button Up Shirts Summer Beach Top</t>
  </si>
  <si>
    <t>https://www.amazon.com/dp/B0CLV6N8HD?psc=1</t>
  </si>
  <si>
    <t>https://m.media-amazon.com/images/I/41syS9p5z3L._AC_SR600,600_.jpg</t>
  </si>
  <si>
    <t>B0DDXF5CY9</t>
  </si>
  <si>
    <t>799</t>
  </si>
  <si>
    <t>2024-06-09</t>
  </si>
  <si>
    <t>13.46 x 11.3 x 0.51 inches</t>
  </si>
  <si>
    <t>34.19 x 28.70 x 1.30 cm</t>
  </si>
  <si>
    <t>B0BKFXG8SG</t>
  </si>
  <si>
    <t>Size: Medium | Color: Light Khaki</t>
  </si>
  <si>
    <t>Fabric type: 70%Rayon30%Linen | Care instructions: Hand Wash or Machine Wash on Gentle Cycle | Origin: Imported | Closure type: Button</t>
  </si>
  <si>
    <t>COOFANDY Men's Linen Casual Short Sleeve Shirt Button Down Summer Beach Wedding Shirts</t>
  </si>
  <si>
    <t>https://www.amazon.com/dp/B0BKFXG8SG?psc=1</t>
  </si>
  <si>
    <t>https://m.media-amazon.com/images/I/410+Zg19T0L._AC_SR600,600_.jpg</t>
  </si>
  <si>
    <t>B0BSXFQD62</t>
  </si>
  <si>
    <t>388</t>
  </si>
  <si>
    <t>2023-01-23</t>
  </si>
  <si>
    <t>13.07 x 11.02 x 0.75 inches</t>
  </si>
  <si>
    <t>33.20 x 27.99 x 1.91 cm</t>
  </si>
  <si>
    <t>B0CLRKS8PF</t>
  </si>
  <si>
    <t>Size: XX-Large | Color: White</t>
  </si>
  <si>
    <t>Fabric type: 95% Polyester, 5% Spandex | Care instructions: Machine Wash | Origin: Imported | Closure type: Button | Country of Origin: China</t>
  </si>
  <si>
    <t>COOFANDY Men's Casual Button Down Shirt Short Sleeve Summer Beach Vacation Shirts Textured Untucked Shirts</t>
  </si>
  <si>
    <t>https://www.amazon.com/dp/B0CLRKS8PF?psc=1</t>
  </si>
  <si>
    <t>https://images-na.ssl-images-amazon.com/images/I/718YY+biqvL._AC_US600_.jpg</t>
  </si>
  <si>
    <t>B0DDXSBHHN</t>
  </si>
  <si>
    <t>637</t>
  </si>
  <si>
    <t>20%</t>
  </si>
  <si>
    <t>2023-12-07</t>
  </si>
  <si>
    <t>11.81 x 9.06 x 0.3 inches</t>
  </si>
  <si>
    <t>30.00 x 23.01 x 0.76 cm</t>
  </si>
  <si>
    <t>B09Z6T72BL</t>
  </si>
  <si>
    <t>Size: X-Large | Color: 0 White</t>
  </si>
  <si>
    <t>Fabric type: Linen, Cotton | Care instructions: Machine Wash | Origin: S=(US 38), M=(US 40), L=(US 43), XL=(US 46), 2XL=(US 50), 3XL=(US 52), 4XL=(US 56), 5XL=(US 60) | Closure type: Button | Country of Origin: China</t>
  </si>
  <si>
    <t>JMIERR Mens Cotton Linen Casual Stylish Button Down Shirt Long Sleeve Dress Shirts</t>
  </si>
  <si>
    <t>https://www.amazon.com/dp/B09Z6T72BL?psc=1</t>
  </si>
  <si>
    <t>https://m.media-amazon.com/images/I/31CiWvSX2gL._AC_SR600,600_.jpg</t>
  </si>
  <si>
    <t>B0D4RBCQTL</t>
  </si>
  <si>
    <t>586</t>
  </si>
  <si>
    <t>B0D12PV54R</t>
  </si>
  <si>
    <t>https://www.amazon.com/dp/B0D12PV54R?psc=1</t>
  </si>
  <si>
    <t>https://m.media-amazon.com/images/I/41LzisgL3OL._AC_SR600,600_.jpg</t>
  </si>
  <si>
    <t>9.52 ounces</t>
  </si>
  <si>
    <t>269.89 g</t>
  </si>
  <si>
    <t>14.13 x 11.06 x 1.18 inches</t>
  </si>
  <si>
    <t>35.89 x 28.09 x 3.00 cm</t>
  </si>
  <si>
    <t>B0BF5CJFMS</t>
  </si>
  <si>
    <t>Button Down Linen Shirts for Men Casual Long Sleeve Regular Fit Cotton Beach Shirts with Pocket</t>
  </si>
  <si>
    <t>https://www.amazon.com/dp/B0BF5CJFMS?psc=1</t>
  </si>
  <si>
    <t>https://images-na.ssl-images-amazon.com/images/I/51ZeZCV+O0L._AC_US600_.jpg</t>
  </si>
  <si>
    <t>B0BF5DJTX9</t>
  </si>
  <si>
    <t>152</t>
  </si>
  <si>
    <t>2022-09-12</t>
  </si>
  <si>
    <t>jekaoyi mens button down long sleeve linen shirt</t>
  </si>
  <si>
    <t>9.33 x 7.01 x 1.46 inches</t>
  </si>
  <si>
    <t>23.70 x 17.81 x 3.71 cm</t>
  </si>
  <si>
    <t>B09VXHPVCV</t>
  </si>
  <si>
    <t>Fabric type: Linen,Cotton | Care instructions: Machine Wash, Hand Wash Only | Origin: Imported | Closure type: Button | Country of Origin: China</t>
  </si>
  <si>
    <t>ZEROYAA</t>
  </si>
  <si>
    <t>https://www.amazon.com/stores/ZEROYAA/page/11927683-E34D-4AAF-939F-FCE47A057DDA?ref_=ast_bln&amp;store_ref=bl_ast_dp_brandLogo_sto</t>
  </si>
  <si>
    <t>ZEROYAA Men's Fitted Cotton Linen Casual Short Sleeve Button Up Shirts Lightweight Beach Tops with Pocket</t>
  </si>
  <si>
    <t>https://www.amazon.com/dp/B09VXHPVCV?psc=1</t>
  </si>
  <si>
    <t>https://m.media-amazon.com/images/I/31DDYq6aWZL._AC_SR600,600_.jpg</t>
  </si>
  <si>
    <t>B09VXC3FN1</t>
  </si>
  <si>
    <t>370</t>
  </si>
  <si>
    <t>2022-03-17</t>
  </si>
  <si>
    <t xml:space="preserve">公司名称：Hangzhou Tuofeilun E-Commerce Co., Ltd
办公地址：
临平街道杭柏城12幢2306室
杭州
临平区
浙江
311199
CN
</t>
  </si>
  <si>
    <t>https://www.amazon.com/gp/help/seller/at-a-glance.html/ref=dp_merchant_link?seller=A2L7HXVRX7K0FT</t>
  </si>
  <si>
    <t>mens xs linen shirt</t>
  </si>
  <si>
    <t>8.66 x 6.73 x 1.26 inches</t>
  </si>
  <si>
    <t>22.00 x 17.09 x 3.20 cm</t>
  </si>
  <si>
    <t>B0C3M99KPD</t>
  </si>
  <si>
    <t>Size: Small | Color: Light Tan</t>
  </si>
  <si>
    <t>Fabric type: 49%rayon34%polyester17%Polyamide | Care instructions: Machine Wash | Origin: Imported | Closure type: Button | Country of Origin: China</t>
  </si>
  <si>
    <t>COOFANDY Men's Cuban Guayabera Shirts Casual Long Sleeve Button Down Shirts Band Collar Linen Summer Beach Shirts</t>
  </si>
  <si>
    <t>https://www.amazon.com/dp/B0C3M99KPD?psc=1</t>
  </si>
  <si>
    <t>https://m.media-amazon.com/images/I/419XxSgveHL._AC_SR600,600_.jpg</t>
  </si>
  <si>
    <t>B0B1D1R97Y</t>
  </si>
  <si>
    <t>481</t>
  </si>
  <si>
    <t>2022-05-15</t>
  </si>
  <si>
    <t>5.91 x 5.91 x 0.39 inches</t>
  </si>
  <si>
    <t>15.01 x 15.01 x 0.99 cm</t>
  </si>
  <si>
    <t>B091HP7SZ8</t>
  </si>
  <si>
    <t>https://www.amazon.com/dp/B091HP7SZ8?psc=1</t>
  </si>
  <si>
    <t>https://m.media-amazon.com/images/I/41PbUgphMfL._AC_SR600,600_.jpg</t>
  </si>
  <si>
    <t>B0BQJVWHD5</t>
  </si>
  <si>
    <t>Size: XX-Large | Color: Light Blue</t>
  </si>
  <si>
    <t>Fabric type: 95% Polyester, 5% Spandex | Care instructions: Machine Wash | Closure type: Pull On | Neck style: Henley Neck | Country of Origin: China</t>
  </si>
  <si>
    <t>COOFANDY Men's Casual Henley Shirt Band Collar Short Sleeve Shirt Summer Beach Hippie Shirt</t>
  </si>
  <si>
    <t>https://www.amazon.com/dp/B0BQJVWHD5?psc=1</t>
  </si>
  <si>
    <t>https://m.media-amazon.com/images/I/414+b4JmLKL._AC_SR600,600_.jpg</t>
  </si>
  <si>
    <t>B0DDYCJ96V</t>
  </si>
  <si>
    <t>390</t>
  </si>
  <si>
    <t>2022-12-18</t>
  </si>
  <si>
    <t>men's casual summer shirts</t>
  </si>
  <si>
    <t>11.5 x 9.88 x 0.94 inches</t>
  </si>
  <si>
    <t>29.21 x 25.10 x 2.39 cm</t>
  </si>
  <si>
    <t>B0CJXX83CZ</t>
  </si>
  <si>
    <t>https://www.amazon.com/dp/B0CJXX83CZ?psc=1</t>
  </si>
  <si>
    <t>https://images-na.ssl-images-amazon.com/images/I/71qsDGI8zLL._AC_US600_.jpg</t>
  </si>
  <si>
    <t>2023-11-18</t>
  </si>
  <si>
    <t>B0CPSSNZV7</t>
  </si>
  <si>
    <t>Size: Medium | Color: Light Purple</t>
  </si>
  <si>
    <t>COOFANDY Mens Beach Shirt Short Sleeve Button Down Shirts Casual Cuban Collared Summer Vacation Tropical Shirts</t>
  </si>
  <si>
    <t>https://www.amazon.com/dp/B0CPSSNZV7?psc=1</t>
  </si>
  <si>
    <t>https://m.media-amazon.com/images/I/51odOy7GzHL._AC_SR600,600_.jpg</t>
  </si>
  <si>
    <t>B0DDXM1PHC</t>
  </si>
  <si>
    <t>460</t>
  </si>
  <si>
    <t>12.28 ounces</t>
  </si>
  <si>
    <t>348.13 g</t>
  </si>
  <si>
    <t>10.87 x 9.88 x 1.34 inches</t>
  </si>
  <si>
    <t>27.61 x 25.10 x 3.40 cm</t>
  </si>
  <si>
    <t>B0D4ZH2YS5</t>
  </si>
  <si>
    <t>Size: XX-Large | Color: Sage Green</t>
  </si>
  <si>
    <t>Fabric type: 70% Cotton, 30% Linen | Care instructions: Care instructions: The shirt can be dry cleaned, machine washed, or hand washed. Iron on low temperature if necessary. | Origin: Imported | Closure type: Button | Country of Origin: China</t>
  </si>
  <si>
    <t>Gleeease</t>
  </si>
  <si>
    <t>https://www.amazon.com/s/ref=bl_sl_s_ap_web_7141123011?ie=UTF8&amp;node=7141123011&amp;field-brandtextbin=Gleeease</t>
  </si>
  <si>
    <t>Linen Shirts for Men Button Down Short Sleeve Shirt Button up Men's Casual Shirt Mens Beach Summer Vacation Hawaiian</t>
  </si>
  <si>
    <t>https://www.amazon.com/dp/B0D4ZH2YS5?psc=1</t>
  </si>
  <si>
    <t>https://m.media-amazon.com/images/I/41tfnamhY1L._AC_SR600,600_.jpg</t>
  </si>
  <si>
    <t>B0D9SMZX2C</t>
  </si>
  <si>
    <t>767</t>
  </si>
  <si>
    <t>2024-05-22</t>
  </si>
  <si>
    <t xml:space="preserve">公司名称：Yiwu Gleeease Network Technology Co., LTD
办公地址：
城西街道河畔山四区
99栋三单元B203
金华市义乌市
浙江省
322014
CN
</t>
  </si>
  <si>
    <t>https://www.amazon.com/gp/help/seller/at-a-glance.html/ref=dp_merchant_link?seller=A1H3Q7T6YW37ZA</t>
  </si>
  <si>
    <t>12.24 x 9.02 x 0.91 inches</t>
  </si>
  <si>
    <t>31.09 x 22.91 x 2.31 cm</t>
  </si>
  <si>
    <t>B0BV2639FP</t>
  </si>
  <si>
    <t>Size: Large | Color: Light Denim Blue</t>
  </si>
  <si>
    <t>https://www.amazon.com/dp/B0BV2639FP?psc=1</t>
  </si>
  <si>
    <t>https://m.media-amazon.com/images/I/41vfEGAKQCL._AC_SR600,600_.jpg</t>
  </si>
  <si>
    <t>tall linen shirts for men</t>
  </si>
  <si>
    <t>B0BY956X2M</t>
  </si>
  <si>
    <t>https://www.amazon.com/dp/B0BY956X2M?psc=1</t>
  </si>
  <si>
    <t>https://m.media-amazon.com/images/I/41r-ckXLZlL._AC_SR600,600_.jpg</t>
  </si>
  <si>
    <t>B0C4FMK4HY</t>
  </si>
  <si>
    <t>Size: X-Large | Color: A-creamy White</t>
  </si>
  <si>
    <t>https://www.amazon.com/dp/B0C4FMK4HY?psc=1</t>
  </si>
  <si>
    <t>https://images-na.ssl-images-amazon.com/images/I/71lgA5q7QQL._AC_US600_.jpg</t>
  </si>
  <si>
    <t>2023-06-11</t>
  </si>
  <si>
    <t>mens linen shirt short sleeve</t>
  </si>
  <si>
    <t>9.14 ounces</t>
  </si>
  <si>
    <t>259.11 g</t>
  </si>
  <si>
    <t>12.2 x 9.02 x 0.71 inches</t>
  </si>
  <si>
    <t>30.99 x 22.91 x 1.80 cm</t>
  </si>
  <si>
    <t>B0C6LXC4H1</t>
  </si>
  <si>
    <t>Size: Large | Color: 0 White</t>
  </si>
  <si>
    <t>Fabric type: 52% Linen, 48% Cotton | Care instructions: Machine Wash | Origin: We Use American Standard Size: S=(US 38), M=(US 40), L=(US 43), XL=(US 46), 2XL=(US 50), 3XL=(US 52). | Closure type: Button | Country of Origin: China</t>
  </si>
  <si>
    <t>JMIERR Men's Cotton Linen Button Down Shirt Casual Stylish Long Sleeve Business Dress Shirts</t>
  </si>
  <si>
    <t>https://www.amazon.com/dp/B0C6LXC4H1?psc=1</t>
  </si>
  <si>
    <t>https://images-na.ssl-images-amazon.com/images/I/61YZngpzt5L._AC_US600_.jpg</t>
  </si>
  <si>
    <t>B0D4QSQT87</t>
  </si>
  <si>
    <t>400</t>
  </si>
  <si>
    <t>2023-07-05</t>
  </si>
  <si>
    <t>9.84 x 4.72 x 2.17 inches</t>
  </si>
  <si>
    <t>24.99 x 11.99 x 5.51 cm</t>
  </si>
  <si>
    <t>B09M3LVM9S</t>
  </si>
  <si>
    <t>Size: 3X-Large | Color: White</t>
  </si>
  <si>
    <t>Fabric type: Soft &amp; Breathable Fabric | Care instructions: Machine Wash | Origin: Imported | Closure type: Pull On | Country of Origin: China</t>
  </si>
  <si>
    <t>COOFANDY Men's Linen Henley Shirt Long Sleeve Casual Hippie Cotton Beach T-Shirts</t>
  </si>
  <si>
    <t>https://www.amazon.com/dp/B09M3LVM9S?psc=1</t>
  </si>
  <si>
    <t>https://images-na.ssl-images-amazon.com/images/I/71dpVLz+dBL._AC_US600_.jpg</t>
  </si>
  <si>
    <t>B0DDY3LSBR</t>
  </si>
  <si>
    <t>4813</t>
  </si>
  <si>
    <t>2019-12-12</t>
  </si>
  <si>
    <t>0.75 pounds</t>
  </si>
  <si>
    <t>340.19 g</t>
  </si>
  <si>
    <t>B0B6D1S1NQ</t>
  </si>
  <si>
    <t>Size: X-Large | Color: Honey Im Home</t>
  </si>
  <si>
    <t>Fabric type: 55% Flax(Linen), 45% Cotton | Care instructions: Machine Wash | Origin: Imported | Closure type: Button | Country of Origin: Sri Lanka</t>
  </si>
  <si>
    <t>GAP</t>
  </si>
  <si>
    <t>https://www.amazon.com/stores/GAP/page/24BB2C96-D999-4A3D-A127-9B0AF9691CBF?ref_=ast_bln</t>
  </si>
  <si>
    <t>GAP Men's Short Sleeve Linen Resort Collar Shirt</t>
  </si>
  <si>
    <t>https://www.amazon.com/dp/B0B6D1S1NQ?psc=1</t>
  </si>
  <si>
    <t>https://images-na.ssl-images-amazon.com/images/I/61vbTcrRU8L._AC_US600_.jpg</t>
  </si>
  <si>
    <t>B0CLS6J38Y</t>
  </si>
  <si>
    <t>7069</t>
  </si>
  <si>
    <t>2023-07-17</t>
  </si>
  <si>
    <t>B0D3F1XHB4</t>
  </si>
  <si>
    <t>Size: Small | Color: Navy Blue</t>
  </si>
  <si>
    <t>Fabric type: 65%polyester30%rayon5%spandex | Care instructions: Hand Wash (Max 40°C) &amp; Machine Wash | Origin: Imported | Closure type: Button</t>
  </si>
  <si>
    <t>COOFANDY Men's Casual Button Down Shirts Long Sleeve Untucked Shirts Regular Fit Linen Shirt</t>
  </si>
  <si>
    <t>https://www.amazon.com/dp/B0D3F1XHB4?psc=1</t>
  </si>
  <si>
    <t>https://m.media-amazon.com/images/I/41G+eJ20AZL._AC_SR600,600_.jpg</t>
  </si>
  <si>
    <t>B0DDX9BR48</t>
  </si>
  <si>
    <t>321</t>
  </si>
  <si>
    <t>2024-06-29</t>
  </si>
  <si>
    <t>12.87 ounces</t>
  </si>
  <si>
    <t>364.86 g</t>
  </si>
  <si>
    <t>12.87 x 9.92 x 0.67 inches</t>
  </si>
  <si>
    <t>32.69 x 25.20 x 1.70 cm</t>
  </si>
  <si>
    <t>B0D62NJT7S</t>
  </si>
  <si>
    <t>Size: Medium | Color: White</t>
  </si>
  <si>
    <t>Fabric type: 60% Cotton, 30% Viscose, 10% Linen | Care instructions: Machine Wash | Origin: Imported | Closure type: Button</t>
  </si>
  <si>
    <t>COOFANDY Men's Long Sleeve Button Down Shirts Casual Cotton Linen Shirts Summer Beach Shirt with Pocket</t>
  </si>
  <si>
    <t>https://www.amazon.com/dp/B0D62NJT7S?psc=1</t>
  </si>
  <si>
    <t>https://images-na.ssl-images-amazon.com/images/I/71kx5P0Pi7L._AC_US600_.jpg</t>
  </si>
  <si>
    <t>B0DF2B3F6Y</t>
  </si>
  <si>
    <t>647</t>
  </si>
  <si>
    <t>2024-07-15</t>
  </si>
  <si>
    <t>7.76 ounces</t>
  </si>
  <si>
    <t>219.99 g</t>
  </si>
  <si>
    <t>12.6 x 10.63 x 0.71 inches</t>
  </si>
  <si>
    <t>32.00 x 27.00 x 1.80 cm</t>
  </si>
  <si>
    <t>B0CCNDN7K8</t>
  </si>
  <si>
    <t>https://www.amazon.com/dp/B0CCNDN7K8?psc=1</t>
  </si>
  <si>
    <t>men's long sleeve linen shirt</t>
  </si>
  <si>
    <t>B0C3MD5TT7</t>
  </si>
  <si>
    <t>Size: Large | Color: Light Green</t>
  </si>
  <si>
    <t>Fabric type: 50%Cotton 20%Viscose 30%Linen | Care instructions: Machine Wash, Hand Wash Only | Origin: Imported | Closure type: Button | Country of Origin: China</t>
  </si>
  <si>
    <t>VATPAVE Mens Hawaiian Floral Shirts Cotton Linen Casual Button Down Short Sleeve Beach Shirts</t>
  </si>
  <si>
    <t>https://www.amazon.com/dp/B0C3MD5TT7?psc=1</t>
  </si>
  <si>
    <t>https://m.media-amazon.com/images/I/51ouqIzR8lL._AC_SR600,600_.jpg</t>
  </si>
  <si>
    <t>B0C3MJXCLP</t>
  </si>
  <si>
    <t>1124</t>
  </si>
  <si>
    <t>2023-04-25</t>
  </si>
  <si>
    <t>men linen shirt slim fit</t>
  </si>
  <si>
    <t>7.5 x 6.7 x 0.1 inches</t>
  </si>
  <si>
    <t>19.05 x 17.02 x 0.25 cm</t>
  </si>
  <si>
    <t>B0D38NPVY3</t>
  </si>
  <si>
    <t>BANZHUKE</t>
  </si>
  <si>
    <t>https://www.amazon.com/stores/BANZHUKE/page/91035940-E5C2-4C08-AFBC-9DB86220D933?ref_=ast_bln</t>
  </si>
  <si>
    <t>Men's Casual Button Down Shirts Short Sleeve Summer Cuban Vacation Beach Shirts</t>
  </si>
  <si>
    <t>https://www.amazon.com/dp/B0D38NPVY3?psc=1</t>
  </si>
  <si>
    <t>https://m.media-amazon.com/images/I/41qw7yJXAzL._AC_SR600,600_.jpg</t>
  </si>
  <si>
    <t>B0D39KG7HT</t>
  </si>
  <si>
    <t>2584</t>
  </si>
  <si>
    <t>50%</t>
  </si>
  <si>
    <t>2024-05-03</t>
  </si>
  <si>
    <t>BAIZHOU</t>
  </si>
  <si>
    <t xml:space="preserve">公司名称：Guangdong Bozhou e-commerce Co., LTD
办公地址：
新坛村新美路南侧大德北路西第一幢首层101号
流沙东街道
揭阳市
广东
515300
CN
</t>
  </si>
  <si>
    <t>https://www.amazon.com/gp/help/seller/at-a-glance.html/ref=dp_merchant_link?seller=A2JCPOXU2IIWWC</t>
  </si>
  <si>
    <t>11.57 x 9.06 x 1.38 inches</t>
  </si>
  <si>
    <t>29.39 x 23.01 x 3.51 cm</t>
  </si>
  <si>
    <t>B0CRVHBJ5Q</t>
  </si>
  <si>
    <t>Fabric type: 80%Cotton,20%Linen | Care instructions: Hand Wash Only | Origin: Imported | Closure type: Button</t>
  </si>
  <si>
    <t>Comdecevis</t>
  </si>
  <si>
    <t>https://www.amazon.com/stores/Comdecevis/page/6FEF7C2C-9AEE-48E0-9713-B045D5B416AC?ref_=ast_bln</t>
  </si>
  <si>
    <t>Comdecevis Men's Cotton Linen Short Sleeve Shirts Casual Lightweight Button Down Summer Beach Tops with Pocket</t>
  </si>
  <si>
    <t>https://www.amazon.com/dp/B0CRVHBJ5Q?psc=1</t>
  </si>
  <si>
    <t>https://images-na.ssl-images-amazon.com/images/I/71JXbRnIiCL._AC_US600_.jpg</t>
  </si>
  <si>
    <t>B0CRVB2GXN</t>
  </si>
  <si>
    <t>994</t>
  </si>
  <si>
    <t>2024-01-08</t>
  </si>
  <si>
    <t xml:space="preserve">公司名称：guangzhoushixuefengxinxikejiyouxiangongsi
办公地址：
番禺区南村镇汇智三路70号807
番禺区南村镇汇智三路70号807
广州市
番禺区
广州市
510620
CN
</t>
  </si>
  <si>
    <t>https://www.amazon.com/gp/help/seller/at-a-glance.html/ref=dp_merchant_link?seller=A1QSJE4DM3M7B9</t>
  </si>
  <si>
    <t>12.25 x 9.75 x 0.7 inches</t>
  </si>
  <si>
    <t>31.12 x 24.77 x 1.78 cm</t>
  </si>
  <si>
    <t>B0C3QYF1H1</t>
  </si>
  <si>
    <t>Fabric type: Polyester Linen | Care instructions: Machine Wash | Origin: Imported | Closure type: Button</t>
  </si>
  <si>
    <t>QIVICIMA</t>
  </si>
  <si>
    <t>https://www.amazon.com/stores/QIVICIMA/page/086B1491-0799-4AD5-9491-A92181BF0500?ref_=ast_bln&amp;store_ref=bl_ast_dp_brandLogo_sto</t>
  </si>
  <si>
    <t>QIVICIMA Men's Hawaiian Shirt Linen Short Sleeve White Pink Sky Blue Button Down Shirt Casual Print Shirts</t>
  </si>
  <si>
    <t>https://www.amazon.com/dp/B0C3QYF1H1?psc=1</t>
  </si>
  <si>
    <t>https://m.media-amazon.com/images/I/41joe3lxSML._AC_SR600,600_.jpg</t>
  </si>
  <si>
    <t>B0CT4V98J3</t>
  </si>
  <si>
    <t>1679</t>
  </si>
  <si>
    <t>2024-01-23</t>
  </si>
  <si>
    <t>Qivicima</t>
  </si>
  <si>
    <t xml:space="preserve">公司名称：Xiangyang Qiuxiang Trading Co., Ltd.
办公地址：
航空路星悦里15栋2单元1701室
襄阳市
襄州区
湖北省
441000
CN
</t>
  </si>
  <si>
    <t>https://www.amazon.com/gp/help/seller/at-a-glance.html/ref=dp_merchant_link?seller=AOPBOX3ZIES5D</t>
  </si>
  <si>
    <t>5.93 ounces</t>
  </si>
  <si>
    <t>168.11 g</t>
  </si>
  <si>
    <t>10.16 x 8.94 x 1.02 inches</t>
  </si>
  <si>
    <t>25.81 x 22.71 x 2.59 cm</t>
  </si>
  <si>
    <t>B0CF2FP99V</t>
  </si>
  <si>
    <t>Fabric type: 70%cotton+30linen | Care instructions: Machine Wash | Origin: Imported | Closure type: Button | Country of Origin: China</t>
  </si>
  <si>
    <t>J.VER Men's Linen Roll Up Long Sleeve Shirt Cotton Casual Beach Shirts Henley T-Shirt Band Collar Vacation Tops with Pocket</t>
  </si>
  <si>
    <t>https://www.amazon.com/dp/B0CF2FP99V?psc=1</t>
  </si>
  <si>
    <t>https://m.media-amazon.com/images/I/41Io2LFenEL._AC_SR600,600_.jpg</t>
  </si>
  <si>
    <t>B0CGLWVKWW</t>
  </si>
  <si>
    <t>1154</t>
  </si>
  <si>
    <t>2023-08-24</t>
  </si>
  <si>
    <t>8.86 x 6.02 x 1.97 inches</t>
  </si>
  <si>
    <t>22.50 x 15.29 x 5.00 cm</t>
  </si>
  <si>
    <t>B0C2H3D3T2</t>
  </si>
  <si>
    <t>https://www.amazon.com/dp/B0C2H3D3T2?psc=1</t>
  </si>
  <si>
    <t>https://images-na.ssl-images-amazon.com/images/I/71NR6SBkxZL._AC_US600_.jpg</t>
  </si>
  <si>
    <t>mens old money clothing</t>
  </si>
  <si>
    <t>B0CJ4J12B4</t>
  </si>
  <si>
    <t>Size: X-Large | Color: Light Green</t>
  </si>
  <si>
    <t>Fabric type: 49% Rayon 34% polyester 17% nylon | Care instructions: Machine Wash | Origin: Imported | Closure type: Button</t>
  </si>
  <si>
    <t>COOFANDY Men's Casual Long Sleeve Button Down Shirts Linen Dress Shirt Beach Summer Shirts with Pocket</t>
  </si>
  <si>
    <t>https://www.amazon.com/dp/B0CJ4J12B4?psc=1</t>
  </si>
  <si>
    <t>https://m.media-amazon.com/images/I/41DYSjNvHcL._AC_SR600,600_.jpg</t>
  </si>
  <si>
    <t>B0DDY29GQR</t>
  </si>
  <si>
    <t>1229</t>
  </si>
  <si>
    <t>2023-09-14</t>
  </si>
  <si>
    <t>3.94 x 3.94 x 0.08 inches</t>
  </si>
  <si>
    <t>10.01 x 10.01 x 0.20 cm</t>
  </si>
  <si>
    <t>B0CQSXD6JB</t>
  </si>
  <si>
    <t>Size: Large | Special Size: Casual Summer Beach Shirts | Color: All White</t>
  </si>
  <si>
    <t>DEMEANOR Linen Shirts for Men Short Sleeve Mens Linen Shirt Textured Button Down Shirt Men Hawaiian Shirt for Men Beach</t>
  </si>
  <si>
    <t>https://www.amazon.com/dp/B0CQSXD6JB?psc=1</t>
  </si>
  <si>
    <t>https://images-na.ssl-images-amazon.com/images/I/81Rg0P7ouNL._AC_US600_.jpg</t>
  </si>
  <si>
    <t>B0CQSNH7TC</t>
  </si>
  <si>
    <t>1252</t>
  </si>
  <si>
    <t>2023-12-21</t>
  </si>
  <si>
    <t>B0CVXF4XSS</t>
  </si>
  <si>
    <t>Size: Medium | Color: Grey</t>
  </si>
  <si>
    <t>Fabric type: 45%Linen 55%Cotton | Care instructions: Machine Wash | Closure type: Button | Neck style: V-Neck</t>
  </si>
  <si>
    <t>Angbater</t>
  </si>
  <si>
    <t>https://www.amazon.com/stores/Angbater/page/FE42154C-BCB2-4A07-BFEC-92EEB5BCC767?ref_=ast_bln&amp;store_ref=bl_ast_dp_brandLogo_sto</t>
  </si>
  <si>
    <t>Angbater Mens Cotton Linen Shirts Short Sleeve Casual Button Down Shirts Summer Beach Hawaiian Shirt for Men</t>
  </si>
  <si>
    <t>https://www.amazon.com/dp/B0CVXF4XSS?psc=1</t>
  </si>
  <si>
    <t>https://m.media-amazon.com/images/I/41r3ZlIOFIL._AC_SR600,600_.jpg</t>
  </si>
  <si>
    <t>B0CVXCB4P9</t>
  </si>
  <si>
    <t>1537</t>
  </si>
  <si>
    <t>2024-02-18</t>
  </si>
  <si>
    <t>Edisonchok</t>
  </si>
  <si>
    <t xml:space="preserve">公司名称：Quanzhou Kenminiti Maoyi Youxian Gongsi
办公地址：
Jinjiangshi Meilingjiedao Zhushuxiashequ Beiqu63hao
Quanzhou
Fujian
362299
CN
</t>
  </si>
  <si>
    <t>https://www.amazon.com/gp/help/seller/at-a-glance.html/ref=dp_merchant_link?seller=A2NVOM2M0D0QPW</t>
  </si>
  <si>
    <t>8 x 4 x 0.75 inches</t>
  </si>
  <si>
    <t>20.32 x 10.16 x 1.91 cm</t>
  </si>
  <si>
    <t>B0CNTG7HQC</t>
  </si>
  <si>
    <t>Size: X-Large | Color: Blue</t>
  </si>
  <si>
    <t>Fabric type: 70% Cotton, 30% Linen | Care instructions: Hand Wash or Machine Wash ,Do Not Bleach | Origin: Imported | Closure type: Button | Country of Origin: China</t>
  </si>
  <si>
    <t>Enlision Mens Cotton Linen Henley Shirts Long Sleeve Casual Shirt Summer Beach Hippie T-Shirt Band Collar Shirt &amp; Pocket</t>
  </si>
  <si>
    <t>https://www.amazon.com/dp/B0CNTG7HQC?psc=1</t>
  </si>
  <si>
    <t>https://images-na.ssl-images-amazon.com/images/I/71+05TIQAAL._AC_US600_.jpg</t>
  </si>
  <si>
    <t>B0CNTHY8TR</t>
  </si>
  <si>
    <t>583</t>
  </si>
  <si>
    <t>2023-11-21</t>
  </si>
  <si>
    <t>QIWEIUS</t>
  </si>
  <si>
    <t xml:space="preserve">公司名称：Guang Zhou Qi Wei Shang Mao You Xian Gong Si
电话号码：1-810-251-0487
办公地址：
竹料商贸城商业一街3号301室
广州
白云区
510000
CN
</t>
  </si>
  <si>
    <t>https://www.amazon.com/gp/help/seller/at-a-glance.html/ref=dp_merchant_link?seller=A2WTH0OD6K37NE</t>
  </si>
  <si>
    <t>7.94 ounces</t>
  </si>
  <si>
    <t>12.99 x 9.72 x 1.18 inches</t>
  </si>
  <si>
    <t>32.99 x 24.69 x 3.00 cm</t>
  </si>
  <si>
    <t>B0CN6BZRTJ</t>
  </si>
  <si>
    <t>Size: Large | Color: Navy Blue</t>
  </si>
  <si>
    <t>Fabric type: 49% rayon,34% polyester,17% nylon | Care instructions: Machine Wash | Closure type: Button | Neck style: Collared Neck</t>
  </si>
  <si>
    <t>COOFANDY Men's Cuban Guayabera Shirt Short Sleeve Button Down Shirts Casual Summer Beach Shirts</t>
  </si>
  <si>
    <t>https://www.amazon.com/dp/B0CN6BZRTJ?psc=1</t>
  </si>
  <si>
    <t>https://m.media-amazon.com/images/I/41wUmulb8QL._AC_SR600,600_.jpg</t>
  </si>
  <si>
    <t>B0DDXZJH1D</t>
  </si>
  <si>
    <t>203</t>
  </si>
  <si>
    <t>2023-11-12</t>
  </si>
  <si>
    <t>5.64 ounces</t>
  </si>
  <si>
    <t>159.89 g</t>
  </si>
  <si>
    <t>9.84 x 7.87 x 0.24 inches</t>
  </si>
  <si>
    <t>24.99 x 19.99 x 0.61 cm</t>
  </si>
  <si>
    <t>B0CF61W5QD</t>
  </si>
  <si>
    <t>Size: X-Large | Color: All White</t>
  </si>
  <si>
    <t>Fabric type: 70% Cotton, 30% Linen | Care instructions: Machine Wash | Closure type: Button | Neck style: Mandarin Neck</t>
  </si>
  <si>
    <t>Alimens &amp; Gentle Men's Cotton Linen Shirts Long Sleeve Button Down Shirt Band Collar Beach Shirts</t>
  </si>
  <si>
    <t>https://www.amazon.com/dp/B0CF61W5QD?psc=1</t>
  </si>
  <si>
    <t>https://images-na.ssl-images-amazon.com/images/I/81SBBZDVMjL._AC_US600_.jpg</t>
  </si>
  <si>
    <t>B0CF63NYFD</t>
  </si>
  <si>
    <t>326</t>
  </si>
  <si>
    <t>2023-08-19</t>
  </si>
  <si>
    <t>8.82 x 6.06 x 1.93 inches</t>
  </si>
  <si>
    <t>22.40 x 15.39 x 4.90 cm</t>
  </si>
  <si>
    <t>B0D5B5BFD3</t>
  </si>
  <si>
    <t>Size: Large | Color: Sesame</t>
  </si>
  <si>
    <t>Fabric type: 70%Polyester27%Viscose3%Spandex | Care instructions: Machine Wash | Origin: Imported | Closure type: Button</t>
  </si>
  <si>
    <t>COOFANDY Men's Long Sleeve Button Down Linen Shirt Casual Untucked Chambray Shirt Wrinkle Free Wedding Shirts</t>
  </si>
  <si>
    <t>https://www.amazon.com/dp/B0D5B5BFD3?psc=1</t>
  </si>
  <si>
    <t>https://images-na.ssl-images-amazon.com/images/I/81TUXJr+DGL._AC_US600_.jpg</t>
  </si>
  <si>
    <t>B0DDY5F24D</t>
  </si>
  <si>
    <t>382</t>
  </si>
  <si>
    <t>2024-07-07</t>
  </si>
  <si>
    <t>13.05 ounces</t>
  </si>
  <si>
    <t>369.96 g</t>
  </si>
  <si>
    <t>12.68 x 10.39 x 0.83 inches</t>
  </si>
  <si>
    <t>32.21 x 26.39 x 2.11 cm</t>
  </si>
  <si>
    <t>B0BHYHYRSR</t>
  </si>
  <si>
    <t>Size: Large | Color: All White</t>
  </si>
  <si>
    <t>Fabric type: Linen,Cotton | Care instructions: Machine Wash | Country of Origin: China</t>
  </si>
  <si>
    <t>COOFANDY Men's 2 Pieces Cotton Linen Set Long Sleeve Henley Shirts Casual Beach Pants With Pockets Summer Yoga Outfits</t>
  </si>
  <si>
    <t>https://www.amazon.com/dp/B0BHYHYRSR?psc=1</t>
  </si>
  <si>
    <t>https://m.media-amazon.com/images/I/316DlaX44KL._AC_SR600,600_.jpg</t>
  </si>
  <si>
    <t>B0DDXNDHZ3</t>
  </si>
  <si>
    <t>Clothing, Shoes &amp; Jewelry:Men:Clothing:Active:Sets:Active Tracksuits</t>
  </si>
  <si>
    <t>Men's Clothing</t>
  </si>
  <si>
    <t>4147</t>
  </si>
  <si>
    <t>2022-11-05</t>
  </si>
  <si>
    <t>all white african outfits for men</t>
  </si>
  <si>
    <t>11.54 x 8.58 x 3.98 inches</t>
  </si>
  <si>
    <t>29.31 x 21.79 x 10.11 cm</t>
  </si>
  <si>
    <t>B07SR1JQHR</t>
  </si>
  <si>
    <t>Size: Large | Color: Delphinium Blue</t>
  </si>
  <si>
    <t>Fabric type: 100% Polyester | Care instructions: Machine Wash | Origin: Imported | Closure type: Button | Country of Origin: Bangladesh</t>
  </si>
  <si>
    <t>Cubavera Embroidered Chambray Short Sleeve Button, Classic Fit, Men’s Casual Shirts (Sizes Small-5xl)</t>
  </si>
  <si>
    <t>https://www.amazon.com/dp/B07SR1JQHR?psc=1</t>
  </si>
  <si>
    <t>https://m.media-amazon.com/images/I/41zVYIlJQdL._AC_SR600,600_.jpg</t>
  </si>
  <si>
    <t>B09Q8DLBCN</t>
  </si>
  <si>
    <t>809</t>
  </si>
  <si>
    <t>2021-11-13</t>
  </si>
  <si>
    <t>mens beach wedding shirt</t>
  </si>
  <si>
    <t>7.58 Ounces</t>
  </si>
  <si>
    <t>214.89 g</t>
  </si>
  <si>
    <t>13.74 x 10.04 x 1.02 inches</t>
  </si>
  <si>
    <t>34.90 x 25.50 x 2.59 cm</t>
  </si>
  <si>
    <t>B0D7CH5PLK</t>
  </si>
  <si>
    <t>Size: X-Large | Color: Snow White</t>
  </si>
  <si>
    <t>Fabric type: Polyester-blend | Care instructions: Machine Wash | Origin: Imported | Closure type: Button | Country of Origin: China</t>
  </si>
  <si>
    <t>Men's Linen Shirts Button Down Casual Shirts Short Sleeve Beach Summer Tops with Pocket</t>
  </si>
  <si>
    <t>https://www.amazon.com/dp/B0D7CH5PLK?psc=1</t>
  </si>
  <si>
    <t>https://m.media-amazon.com/images/I/41GPLWjUzmL._AC_SR600,600_.jpg</t>
  </si>
  <si>
    <t>B0D7CFC6WV</t>
  </si>
  <si>
    <t>1214</t>
  </si>
  <si>
    <t>2024-06-24</t>
  </si>
  <si>
    <t>B0CRKDZJHW</t>
  </si>
  <si>
    <t>Size: Small | Color: Colorful Stripe</t>
  </si>
  <si>
    <t>Fabric type: Cotton Linen | Care instructions: Machine Wash | Origin: Imported | Closure type: Button</t>
  </si>
  <si>
    <t>PARKLEES</t>
  </si>
  <si>
    <t>https://www.amazon.com/stores/PARKLEES/page/A67ABD9D-D373-4ADA-BE0B-4974553BBA93?ref_=ast_bln&amp;store_ref=bl_ast_dp_brandLogo_sto</t>
  </si>
  <si>
    <t>Men's Cotton Linen Vintage Pattern Printed Old Style Shirt Casual Short Sleeve Button Down Retro Shirts</t>
  </si>
  <si>
    <t>https://www.amazon.com/dp/B0CRKDZJHW?psc=1</t>
  </si>
  <si>
    <t>https://images-na.ssl-images-amazon.com/images/I/71B4LQjxh6L._AC_US600_.jpg</t>
  </si>
  <si>
    <t>B0CPSRR382</t>
  </si>
  <si>
    <t>206</t>
  </si>
  <si>
    <t>8.62 x 6.5 x 1.54 inches</t>
  </si>
  <si>
    <t>21.89 x 16.51 x 3.91 cm</t>
  </si>
  <si>
    <t>B0CY1JC7HN</t>
  </si>
  <si>
    <t>Size: 3X-Large | Color: A-red-white Floral</t>
  </si>
  <si>
    <t>Fabric type: Polyester&amp;Spandex | Care instructions: Machine Wash | Closure type: Button | Neck style: Button</t>
  </si>
  <si>
    <t>COOFANDY Mens Hawaiian Shirt Short Sleeve Button Down Shirts Tropical Summer Beach Shirts Casual Floral Aloha Shirts</t>
  </si>
  <si>
    <t>https://www.amazon.com/dp/B0CY1JC7HN?psc=1</t>
  </si>
  <si>
    <t>https://m.media-amazon.com/images/I/51cabfxEIUL._AC_SR600,600_.jpg</t>
  </si>
  <si>
    <t>B0CY1T1S6R</t>
  </si>
  <si>
    <t>741</t>
  </si>
  <si>
    <t>2024-03-13</t>
  </si>
  <si>
    <t>B09LVHW341</t>
  </si>
  <si>
    <t>Size: 3X-Large | Color: A - Navy Blue / Lily</t>
  </si>
  <si>
    <t>Fabric type: 98% Cotton, 2% Polyester | Care instructions: Machine Wash | Origin: Imported | Closure type: Button</t>
  </si>
  <si>
    <t>COOFANDY Mens Hawaiian Shirts Short Sleeve Casual Button Down Tropical Beach Shirt</t>
  </si>
  <si>
    <t>https://www.amazon.com/dp/B09LVHW341?psc=1</t>
  </si>
  <si>
    <t>https://m.media-amazon.com/images/I/51o74Zp68xL._AC_SR600,600_.jpg</t>
  </si>
  <si>
    <t>B0DDX6X5F9</t>
  </si>
  <si>
    <t>553</t>
  </si>
  <si>
    <t>2023-12-06</t>
  </si>
  <si>
    <t>FBM</t>
  </si>
  <si>
    <t>Lishan No.21</t>
  </si>
  <si>
    <t xml:space="preserve">公司名称：kun ming yu he shang mao you xian gong si
办公地址：
呈贡区
龙城街文笔小区2号楼2单元402
昆明市
云南
650000
CN
</t>
  </si>
  <si>
    <t>https://www.amazon.com/gp/help/seller/at-a-glance.html/ref=dp_merchant_link?seller=AIH806NDO4OC3</t>
  </si>
  <si>
    <t>14.13 x 11.06 x 0.75 inches</t>
  </si>
  <si>
    <t>35.89 x 28.09 x 1.91 cm</t>
  </si>
  <si>
    <t>B0CSVVRN4M</t>
  </si>
  <si>
    <t>Size: Medium | Color: Khaki</t>
  </si>
  <si>
    <t>PJ PAUL JONES Men's Linen Shirts Short Sleeve Casual Button Down Shirts Summer Beach Shirt with Pocket</t>
  </si>
  <si>
    <t>https://www.amazon.com/dp/B0CSVVRN4M?psc=1</t>
  </si>
  <si>
    <t>https://m.media-amazon.com/images/I/41rmsuha4PL._AC_SR600,600_.jpg</t>
  </si>
  <si>
    <t>B0CSW3VS44</t>
  </si>
  <si>
    <t>2332</t>
  </si>
  <si>
    <t>2024-01-19</t>
  </si>
  <si>
    <t>7.58 ounces</t>
  </si>
  <si>
    <t>14.09 x 9.92 x 1.18 inches</t>
  </si>
  <si>
    <t>35.79 x 25.20 x 3.00 cm</t>
  </si>
  <si>
    <t>B0CB69ZYXP</t>
  </si>
  <si>
    <t>Fabric type: 70%Rayon30%Linen | Care instructions: Machine Wash | Origin: Made in USA or Imported | Closure type: Button | Country of Origin: China</t>
  </si>
  <si>
    <t>COOFANDY Men Linen Shirts Guayabera Cuban Shirts Long Sleeve Dress Shirts Beach Wedding Shirts</t>
  </si>
  <si>
    <t>https://www.amazon.com/dp/B0CB69ZYXP?psc=1</t>
  </si>
  <si>
    <t>https://m.media-amazon.com/images/I/41hiC5ZKXHL._AC_SR600,600_.jpg</t>
  </si>
  <si>
    <t>B0DF6WJDH4</t>
  </si>
  <si>
    <t>3294</t>
  </si>
  <si>
    <t>2024-08-25</t>
  </si>
  <si>
    <t>B0D62MJMF9</t>
  </si>
  <si>
    <t>Size: Medium | Color: Beige</t>
  </si>
  <si>
    <t>https://www.amazon.com/dp/B0D62MJMF9?psc=1</t>
  </si>
  <si>
    <t>https://m.media-amazon.com/images/I/41VDYKrzX5L._AC_SR600,600_.jpg</t>
  </si>
  <si>
    <t>2024-08-22</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</si>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</sst>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 numFmtId="178" formatCode="#,##0.00%"/>
  </numFmts>
  <fonts count="25">
    <font>
      <sz val="11"/>
      <color theme="1"/>
      <name val="宋体"/>
      <charset val="134"/>
      <scheme val="minor"/>
    </font>
    <font>
      <sz val="11"/>
      <name val="等线"/>
      <charset val="134"/>
    </font>
    <font>
      <sz val="11"/>
      <name val="微软雅黑"/>
      <charset val="134"/>
    </font>
    <font>
      <sz val="11"/>
      <color rgb="FFFF0000"/>
      <name val="微软雅黑"/>
      <charset val="134"/>
    </font>
    <font>
      <sz val="15"/>
      <color rgb="FFFFFFFF"/>
      <name val="微软雅黑"/>
      <charset val="134"/>
    </font>
    <font>
      <sz val="11"/>
      <color rgb="FFFEFEFE"/>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E98A00"/>
        <bgColor rgb="FF0000FF"/>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1">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176" fontId="0" fillId="0" borderId="0" xfId="0" applyNumberFormat="1" applyAlignment="1">
      <alignment horizontal="center" vertical="center"/>
    </xf>
    <xf numFmtId="4" fontId="0" fillId="0" borderId="0" xfId="0" applyNumberFormat="1"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0" fontId="5" fillId="2" borderId="0" xfId="0" applyFont="1" applyFill="1" applyAlignment="1">
      <alignment horizontal="center" vertical="center"/>
    </xf>
    <xf numFmtId="0" fontId="1" fillId="0" borderId="0" xfId="0" applyFont="1" applyAlignment="1">
      <alignment horizontal="left" vertical="center"/>
    </xf>
    <xf numFmtId="3" fontId="5" fillId="2" borderId="0" xfId="0" applyNumberFormat="1" applyFont="1" applyFill="1" applyAlignment="1">
      <alignment horizontal="center" vertical="center"/>
    </xf>
    <xf numFmtId="176" fontId="5" fillId="2" borderId="0" xfId="0" applyNumberFormat="1" applyFont="1" applyFill="1" applyAlignment="1">
      <alignment horizontal="center" vertical="center"/>
    </xf>
    <xf numFmtId="3" fontId="1" fillId="0" borderId="0" xfId="0" applyNumberFormat="1" applyFont="1" applyAlignment="1">
      <alignment horizontal="right" vertical="center"/>
    </xf>
    <xf numFmtId="176" fontId="1" fillId="0" borderId="0" xfId="0" applyNumberFormat="1" applyFont="1" applyAlignment="1">
      <alignment horizontal="right" vertical="center"/>
    </xf>
    <xf numFmtId="0" fontId="1" fillId="0" borderId="0" xfId="0" applyFont="1" applyAlignment="1">
      <alignment horizontal="left" vertical="center" wrapText="1"/>
    </xf>
    <xf numFmtId="0" fontId="1" fillId="3" borderId="0" xfId="0" applyFont="1" applyFill="1" applyAlignment="1">
      <alignment horizontal="left" vertical="center"/>
    </xf>
    <xf numFmtId="4" fontId="5" fillId="2" borderId="0" xfId="0" applyNumberFormat="1" applyFont="1" applyFill="1" applyAlignment="1">
      <alignment horizontal="center" vertical="center"/>
    </xf>
    <xf numFmtId="3" fontId="1" fillId="0" borderId="0" xfId="0" applyNumberFormat="1" applyFont="1" applyAlignment="1">
      <alignment horizontal="right" vertical="center" wrapText="1"/>
    </xf>
    <xf numFmtId="0" fontId="1" fillId="0" borderId="0" xfId="0" applyFont="1" applyAlignment="1">
      <alignment horizontal="right" vertical="center"/>
    </xf>
    <xf numFmtId="3" fontId="1" fillId="0" borderId="0" xfId="0" applyNumberFormat="1" applyFont="1" applyAlignment="1">
      <alignment horizontal="center" vertical="center"/>
    </xf>
    <xf numFmtId="4" fontId="1" fillId="0" borderId="0" xfId="0" applyNumberFormat="1" applyFont="1" applyAlignment="1">
      <alignment horizontal="right" vertical="center"/>
    </xf>
    <xf numFmtId="177" fontId="5" fillId="2" borderId="0" xfId="0" applyNumberFormat="1" applyFont="1" applyFill="1" applyAlignment="1">
      <alignment horizontal="center" vertical="center"/>
    </xf>
    <xf numFmtId="178" fontId="5" fillId="2" borderId="0" xfId="0" applyNumberFormat="1" applyFont="1" applyFill="1" applyAlignment="1">
      <alignment horizontal="center" vertical="center"/>
    </xf>
    <xf numFmtId="177" fontId="1" fillId="0" borderId="0" xfId="0" applyNumberFormat="1" applyFont="1" applyAlignment="1">
      <alignment horizontal="right" vertical="center"/>
    </xf>
    <xf numFmtId="178" fontId="1"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6" Type="http://schemas.openxmlformats.org/officeDocument/2006/relationships/image" Target="media/image33.jpeg"/><Relationship Id="rId95" Type="http://schemas.openxmlformats.org/officeDocument/2006/relationships/image" Target="media/image32.jpeg"/><Relationship Id="rId94" Type="http://schemas.openxmlformats.org/officeDocument/2006/relationships/image" Target="media/image97.jpeg"/><Relationship Id="rId93" Type="http://schemas.openxmlformats.org/officeDocument/2006/relationships/image" Target="media/image96.jpeg"/><Relationship Id="rId92" Type="http://schemas.openxmlformats.org/officeDocument/2006/relationships/image" Target="media/image95.jpeg"/><Relationship Id="rId91" Type="http://schemas.openxmlformats.org/officeDocument/2006/relationships/image" Target="media/image94.jpeg"/><Relationship Id="rId90" Type="http://schemas.openxmlformats.org/officeDocument/2006/relationships/image" Target="media/image93.jpeg"/><Relationship Id="rId9" Type="http://schemas.openxmlformats.org/officeDocument/2006/relationships/image" Target="media/image53.jpeg"/><Relationship Id="rId89" Type="http://schemas.openxmlformats.org/officeDocument/2006/relationships/image" Target="media/image92.jpeg"/><Relationship Id="rId88" Type="http://schemas.openxmlformats.org/officeDocument/2006/relationships/image" Target="media/image30.jpeg"/><Relationship Id="rId87" Type="http://schemas.openxmlformats.org/officeDocument/2006/relationships/image" Target="media/image29.jpeg"/><Relationship Id="rId86" Type="http://schemas.openxmlformats.org/officeDocument/2006/relationships/image" Target="media/image28.jpeg"/><Relationship Id="rId85" Type="http://schemas.openxmlformats.org/officeDocument/2006/relationships/image" Target="media/image91.jpeg"/><Relationship Id="rId84" Type="http://schemas.openxmlformats.org/officeDocument/2006/relationships/image" Target="media/image90.jpeg"/><Relationship Id="rId83" Type="http://schemas.openxmlformats.org/officeDocument/2006/relationships/image" Target="media/image26.jpeg"/><Relationship Id="rId82" Type="http://schemas.openxmlformats.org/officeDocument/2006/relationships/image" Target="media/image89.jpeg"/><Relationship Id="rId81" Type="http://schemas.openxmlformats.org/officeDocument/2006/relationships/image" Target="media/image27.jpeg"/><Relationship Id="rId80" Type="http://schemas.openxmlformats.org/officeDocument/2006/relationships/image" Target="media/image88.jpeg"/><Relationship Id="rId8" Type="http://schemas.openxmlformats.org/officeDocument/2006/relationships/image" Target="media/image52.jpeg"/><Relationship Id="rId79" Type="http://schemas.openxmlformats.org/officeDocument/2006/relationships/image" Target="media/image87.jpeg"/><Relationship Id="rId78" Type="http://schemas.openxmlformats.org/officeDocument/2006/relationships/image" Target="media/image22.jpeg"/><Relationship Id="rId77" Type="http://schemas.openxmlformats.org/officeDocument/2006/relationships/image" Target="media/image86.jpeg"/><Relationship Id="rId76" Type="http://schemas.openxmlformats.org/officeDocument/2006/relationships/image" Target="media/image85.jpeg"/><Relationship Id="rId75" Type="http://schemas.openxmlformats.org/officeDocument/2006/relationships/image" Target="media/image84.jpeg"/><Relationship Id="rId74" Type="http://schemas.openxmlformats.org/officeDocument/2006/relationships/image" Target="media/image25.jpeg"/><Relationship Id="rId73" Type="http://schemas.openxmlformats.org/officeDocument/2006/relationships/image" Target="media/image83.jpeg"/><Relationship Id="rId72" Type="http://schemas.openxmlformats.org/officeDocument/2006/relationships/image" Target="media/image82.jpeg"/><Relationship Id="rId71" Type="http://schemas.openxmlformats.org/officeDocument/2006/relationships/image" Target="media/image81.jpeg"/><Relationship Id="rId70" Type="http://schemas.openxmlformats.org/officeDocument/2006/relationships/image" Target="media/image24.jpeg"/><Relationship Id="rId7" Type="http://schemas.openxmlformats.org/officeDocument/2006/relationships/image" Target="media/image46.jpeg"/><Relationship Id="rId69" Type="http://schemas.openxmlformats.org/officeDocument/2006/relationships/image" Target="media/image19.jpeg"/><Relationship Id="rId68" Type="http://schemas.openxmlformats.org/officeDocument/2006/relationships/image" Target="media/image23.jpeg"/><Relationship Id="rId67" Type="http://schemas.openxmlformats.org/officeDocument/2006/relationships/image" Target="media/image21.jpeg"/><Relationship Id="rId66" Type="http://schemas.openxmlformats.org/officeDocument/2006/relationships/image" Target="media/image80.jpeg"/><Relationship Id="rId65" Type="http://schemas.openxmlformats.org/officeDocument/2006/relationships/image" Target="media/image79.jpeg"/><Relationship Id="rId64" Type="http://schemas.openxmlformats.org/officeDocument/2006/relationships/image" Target="media/image20.jpeg"/><Relationship Id="rId63" Type="http://schemas.openxmlformats.org/officeDocument/2006/relationships/image" Target="media/image78.jpeg"/><Relationship Id="rId62" Type="http://schemas.openxmlformats.org/officeDocument/2006/relationships/image" Target="media/image17.jpeg"/><Relationship Id="rId61" Type="http://schemas.openxmlformats.org/officeDocument/2006/relationships/image" Target="media/image18.jpeg"/><Relationship Id="rId60" Type="http://schemas.openxmlformats.org/officeDocument/2006/relationships/image" Target="media/image16.jpeg"/><Relationship Id="rId6" Type="http://schemas.openxmlformats.org/officeDocument/2006/relationships/image" Target="media/image45.jpeg"/><Relationship Id="rId59" Type="http://schemas.openxmlformats.org/officeDocument/2006/relationships/image" Target="media/image12.jpeg"/><Relationship Id="rId58" Type="http://schemas.openxmlformats.org/officeDocument/2006/relationships/image" Target="media/image77.jpeg"/><Relationship Id="rId57" Type="http://schemas.openxmlformats.org/officeDocument/2006/relationships/image" Target="media/image76.jpeg"/><Relationship Id="rId56" Type="http://schemas.openxmlformats.org/officeDocument/2006/relationships/image" Target="media/image15.jpeg"/><Relationship Id="rId55" Type="http://schemas.openxmlformats.org/officeDocument/2006/relationships/image" Target="media/image75.jpeg"/><Relationship Id="rId54" Type="http://schemas.openxmlformats.org/officeDocument/2006/relationships/image" Target="media/image74.jpeg"/><Relationship Id="rId53" Type="http://schemas.openxmlformats.org/officeDocument/2006/relationships/image" Target="media/image13.jpeg"/><Relationship Id="rId52" Type="http://schemas.openxmlformats.org/officeDocument/2006/relationships/image" Target="media/image14.jpeg"/><Relationship Id="rId51" Type="http://schemas.openxmlformats.org/officeDocument/2006/relationships/image" Target="media/image11.jpeg"/><Relationship Id="rId50" Type="http://schemas.openxmlformats.org/officeDocument/2006/relationships/image" Target="media/image7.jpeg"/><Relationship Id="rId5" Type="http://schemas.openxmlformats.org/officeDocument/2006/relationships/image" Target="media/image48.jpeg"/><Relationship Id="rId49" Type="http://schemas.openxmlformats.org/officeDocument/2006/relationships/image" Target="media/image10.jpeg"/><Relationship Id="rId48" Type="http://schemas.openxmlformats.org/officeDocument/2006/relationships/image" Target="media/image6.jpeg"/><Relationship Id="rId47" Type="http://schemas.openxmlformats.org/officeDocument/2006/relationships/image" Target="media/image9.jpeg"/><Relationship Id="rId46" Type="http://schemas.openxmlformats.org/officeDocument/2006/relationships/image" Target="media/image8.jpeg"/><Relationship Id="rId45" Type="http://schemas.openxmlformats.org/officeDocument/2006/relationships/image" Target="media/image73.jpeg"/><Relationship Id="rId44" Type="http://schemas.openxmlformats.org/officeDocument/2006/relationships/image" Target="media/image72.jpeg"/><Relationship Id="rId43" Type="http://schemas.openxmlformats.org/officeDocument/2006/relationships/image" Target="media/image44.jpeg"/><Relationship Id="rId42" Type="http://schemas.openxmlformats.org/officeDocument/2006/relationships/image" Target="media/image3.jpeg"/><Relationship Id="rId41" Type="http://schemas.openxmlformats.org/officeDocument/2006/relationships/image" Target="media/image71.jpeg"/><Relationship Id="rId40" Type="http://schemas.openxmlformats.org/officeDocument/2006/relationships/image" Target="media/image2.jpeg"/><Relationship Id="rId4" Type="http://schemas.openxmlformats.org/officeDocument/2006/relationships/image" Target="media/image51.jpeg"/><Relationship Id="rId39" Type="http://schemas.openxmlformats.org/officeDocument/2006/relationships/image" Target="media/image5.jpeg"/><Relationship Id="rId38" Type="http://schemas.openxmlformats.org/officeDocument/2006/relationships/image" Target="media/image70.jpeg"/><Relationship Id="rId37" Type="http://schemas.openxmlformats.org/officeDocument/2006/relationships/image" Target="media/image4.jpeg"/><Relationship Id="rId36" Type="http://schemas.openxmlformats.org/officeDocument/2006/relationships/image" Target="media/image34.jpeg"/><Relationship Id="rId35" Type="http://schemas.openxmlformats.org/officeDocument/2006/relationships/image" Target="media/image35.jpeg"/><Relationship Id="rId34" Type="http://schemas.openxmlformats.org/officeDocument/2006/relationships/image" Target="media/image37.jpeg"/><Relationship Id="rId33" Type="http://schemas.openxmlformats.org/officeDocument/2006/relationships/image" Target="media/image69.jpeg"/><Relationship Id="rId32" Type="http://schemas.openxmlformats.org/officeDocument/2006/relationships/image" Target="media/image68.jpeg"/><Relationship Id="rId31" Type="http://schemas.openxmlformats.org/officeDocument/2006/relationships/image" Target="media/image36.jpeg"/><Relationship Id="rId30" Type="http://schemas.openxmlformats.org/officeDocument/2006/relationships/image" Target="media/image67.jpeg"/><Relationship Id="rId3" Type="http://schemas.openxmlformats.org/officeDocument/2006/relationships/image" Target="media/image50.jpeg"/><Relationship Id="rId29" Type="http://schemas.openxmlformats.org/officeDocument/2006/relationships/image" Target="media/image66.jpeg"/><Relationship Id="rId28" Type="http://schemas.openxmlformats.org/officeDocument/2006/relationships/image" Target="media/image39.jpeg"/><Relationship Id="rId27" Type="http://schemas.openxmlformats.org/officeDocument/2006/relationships/image" Target="media/image65.jpeg"/><Relationship Id="rId26" Type="http://schemas.openxmlformats.org/officeDocument/2006/relationships/image" Target="media/image64.jpeg"/><Relationship Id="rId25" Type="http://schemas.openxmlformats.org/officeDocument/2006/relationships/image" Target="media/image40.jpeg"/><Relationship Id="rId24" Type="http://schemas.openxmlformats.org/officeDocument/2006/relationships/image" Target="media/image31.jpeg"/><Relationship Id="rId23" Type="http://schemas.openxmlformats.org/officeDocument/2006/relationships/image" Target="media/image38.jpeg"/><Relationship Id="rId22" Type="http://schemas.openxmlformats.org/officeDocument/2006/relationships/image" Target="media/image63.jpeg"/><Relationship Id="rId21" Type="http://schemas.openxmlformats.org/officeDocument/2006/relationships/image" Target="media/image62.jpeg"/><Relationship Id="rId20" Type="http://schemas.openxmlformats.org/officeDocument/2006/relationships/image" Target="media/image61.jpeg"/><Relationship Id="rId2" Type="http://schemas.openxmlformats.org/officeDocument/2006/relationships/image" Target="media/image49.jpeg"/><Relationship Id="rId19" Type="http://schemas.openxmlformats.org/officeDocument/2006/relationships/image" Target="media/image41.jpeg"/><Relationship Id="rId18" Type="http://schemas.openxmlformats.org/officeDocument/2006/relationships/image" Target="media/image60.jpeg"/><Relationship Id="rId17" Type="http://schemas.openxmlformats.org/officeDocument/2006/relationships/image" Target="media/image59.jpeg"/><Relationship Id="rId16" Type="http://schemas.openxmlformats.org/officeDocument/2006/relationships/image" Target="media/image58.jpeg"/><Relationship Id="rId15" Type="http://schemas.openxmlformats.org/officeDocument/2006/relationships/image" Target="media/image57.jpeg"/><Relationship Id="rId14" Type="http://schemas.openxmlformats.org/officeDocument/2006/relationships/image" Target="media/image56.jpeg"/><Relationship Id="rId13" Type="http://schemas.openxmlformats.org/officeDocument/2006/relationships/image" Target="media/image55.jpeg"/><Relationship Id="rId12" Type="http://schemas.openxmlformats.org/officeDocument/2006/relationships/image" Target="media/image43.jpeg"/><Relationship Id="rId11" Type="http://schemas.openxmlformats.org/officeDocument/2006/relationships/image" Target="media/image54.jpeg"/><Relationship Id="rId10" Type="http://schemas.openxmlformats.org/officeDocument/2006/relationships/image" Target="media/image42.jpeg"/><Relationship Id="rId1" Type="http://schemas.openxmlformats.org/officeDocument/2006/relationships/image" Target="media/image47.jpe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10.jpeg"/><Relationship Id="rId8" Type="http://schemas.openxmlformats.org/officeDocument/2006/relationships/image" Target="../media/image9.jpeg"/><Relationship Id="rId7" Type="http://schemas.openxmlformats.org/officeDocument/2006/relationships/image" Target="../media/image8.jpeg"/><Relationship Id="rId6" Type="http://schemas.openxmlformats.org/officeDocument/2006/relationships/image" Target="../media/image7.jpeg"/><Relationship Id="rId5" Type="http://schemas.openxmlformats.org/officeDocument/2006/relationships/image" Target="../media/image6.jpeg"/><Relationship Id="rId47" Type="http://schemas.openxmlformats.org/officeDocument/2006/relationships/image" Target="../media/image48.jpeg"/><Relationship Id="rId46" Type="http://schemas.openxmlformats.org/officeDocument/2006/relationships/image" Target="../media/image47.jpeg"/><Relationship Id="rId45" Type="http://schemas.openxmlformats.org/officeDocument/2006/relationships/image" Target="../media/image46.jpeg"/><Relationship Id="rId44" Type="http://schemas.openxmlformats.org/officeDocument/2006/relationships/image" Target="../media/image45.jpeg"/><Relationship Id="rId43" Type="http://schemas.openxmlformats.org/officeDocument/2006/relationships/image" Target="../media/image44.jpeg"/><Relationship Id="rId42" Type="http://schemas.openxmlformats.org/officeDocument/2006/relationships/image" Target="../media/image43.jpeg"/><Relationship Id="rId41" Type="http://schemas.openxmlformats.org/officeDocument/2006/relationships/image" Target="../media/image42.jpeg"/><Relationship Id="rId40" Type="http://schemas.openxmlformats.org/officeDocument/2006/relationships/image" Target="../media/image41.jpeg"/><Relationship Id="rId4" Type="http://schemas.openxmlformats.org/officeDocument/2006/relationships/image" Target="../media/image5.jpeg"/><Relationship Id="rId39" Type="http://schemas.openxmlformats.org/officeDocument/2006/relationships/image" Target="../media/image40.jpeg"/><Relationship Id="rId38" Type="http://schemas.openxmlformats.org/officeDocument/2006/relationships/image" Target="../media/image39.jpeg"/><Relationship Id="rId37" Type="http://schemas.openxmlformats.org/officeDocument/2006/relationships/image" Target="../media/image38.jpeg"/><Relationship Id="rId36" Type="http://schemas.openxmlformats.org/officeDocument/2006/relationships/image" Target="../media/image37.jpeg"/><Relationship Id="rId35" Type="http://schemas.openxmlformats.org/officeDocument/2006/relationships/image" Target="../media/image36.jpeg"/><Relationship Id="rId34" Type="http://schemas.openxmlformats.org/officeDocument/2006/relationships/image" Target="../media/image35.jpeg"/><Relationship Id="rId33" Type="http://schemas.openxmlformats.org/officeDocument/2006/relationships/image" Target="../media/image34.jpeg"/><Relationship Id="rId32" Type="http://schemas.openxmlformats.org/officeDocument/2006/relationships/image" Target="../media/image33.jpeg"/><Relationship Id="rId31" Type="http://schemas.openxmlformats.org/officeDocument/2006/relationships/image" Target="../media/image32.jpeg"/><Relationship Id="rId30" Type="http://schemas.openxmlformats.org/officeDocument/2006/relationships/image" Target="../media/image31.jpeg"/><Relationship Id="rId3" Type="http://schemas.openxmlformats.org/officeDocument/2006/relationships/image" Target="../media/image4.jpeg"/><Relationship Id="rId29" Type="http://schemas.openxmlformats.org/officeDocument/2006/relationships/image" Target="../media/image30.jpeg"/><Relationship Id="rId28" Type="http://schemas.openxmlformats.org/officeDocument/2006/relationships/image" Target="../media/image29.jpeg"/><Relationship Id="rId27" Type="http://schemas.openxmlformats.org/officeDocument/2006/relationships/image" Target="../media/image28.jpeg"/><Relationship Id="rId26" Type="http://schemas.openxmlformats.org/officeDocument/2006/relationships/image" Target="../media/image27.jpeg"/><Relationship Id="rId25" Type="http://schemas.openxmlformats.org/officeDocument/2006/relationships/image" Target="../media/image26.jpeg"/><Relationship Id="rId24" Type="http://schemas.openxmlformats.org/officeDocument/2006/relationships/image" Target="../media/image25.jpeg"/><Relationship Id="rId23" Type="http://schemas.openxmlformats.org/officeDocument/2006/relationships/image" Target="../media/image24.jpeg"/><Relationship Id="rId22" Type="http://schemas.openxmlformats.org/officeDocument/2006/relationships/image" Target="../media/image23.jpeg"/><Relationship Id="rId21" Type="http://schemas.openxmlformats.org/officeDocument/2006/relationships/image" Target="../media/image22.jpeg"/><Relationship Id="rId20" Type="http://schemas.openxmlformats.org/officeDocument/2006/relationships/image" Target="../media/image21.jpeg"/><Relationship Id="rId2" Type="http://schemas.openxmlformats.org/officeDocument/2006/relationships/image" Target="../media/image3.jpeg"/><Relationship Id="rId19" Type="http://schemas.openxmlformats.org/officeDocument/2006/relationships/image" Target="../media/image20.jpeg"/><Relationship Id="rId18" Type="http://schemas.openxmlformats.org/officeDocument/2006/relationships/image" Target="../media/image19.jpeg"/><Relationship Id="rId17" Type="http://schemas.openxmlformats.org/officeDocument/2006/relationships/image" Target="../media/image18.jpeg"/><Relationship Id="rId16" Type="http://schemas.openxmlformats.org/officeDocument/2006/relationships/image" Target="../media/image17.jpeg"/><Relationship Id="rId15" Type="http://schemas.openxmlformats.org/officeDocument/2006/relationships/image" Target="../media/image16.jpeg"/><Relationship Id="rId14" Type="http://schemas.openxmlformats.org/officeDocument/2006/relationships/image" Target="../media/image15.jpeg"/><Relationship Id="rId13" Type="http://schemas.openxmlformats.org/officeDocument/2006/relationships/image" Target="../media/image14.jpeg"/><Relationship Id="rId12" Type="http://schemas.openxmlformats.org/officeDocument/2006/relationships/image" Target="../media/image13.jpeg"/><Relationship Id="rId11" Type="http://schemas.openxmlformats.org/officeDocument/2006/relationships/image" Target="../media/image12.jpeg"/><Relationship Id="rId10" Type="http://schemas.openxmlformats.org/officeDocument/2006/relationships/image" Target="../media/image11.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376555</xdr:colOff>
      <xdr:row>0</xdr:row>
      <xdr:rowOff>635</xdr:rowOff>
    </xdr:from>
    <xdr:to>
      <xdr:col>5</xdr:col>
      <xdr:colOff>432435</xdr:colOff>
      <xdr:row>10</xdr:row>
      <xdr:rowOff>57785</xdr:rowOff>
    </xdr:to>
    <xdr:grpSp>
      <xdr:nvGrpSpPr>
        <xdr:cNvPr id="3" name="组合 2"/>
        <xdr:cNvGrpSpPr/>
      </xdr:nvGrpSpPr>
      <xdr:grpSpPr>
        <a:xfrm>
          <a:off x="376555" y="635"/>
          <a:ext cx="6726555" cy="12757150"/>
          <a:chOff x="857" y="812"/>
          <a:chExt cx="10588" cy="20010"/>
        </a:xfrm>
      </xdr:grpSpPr>
      <xdr:pic>
        <xdr:nvPicPr>
          <xdr:cNvPr id="102" name="ID_11D633A4BC9C4118A36EEE13651DC78C"/>
          <xdr:cNvPicPr>
            <a:picLocks noChangeAspect="1"/>
          </xdr:cNvPicPr>
        </xdr:nvPicPr>
        <xdr:blipFill>
          <a:blip r:embed="rId1" cstate="print"/>
          <a:stretch>
            <a:fillRect/>
          </a:stretch>
        </xdr:blipFill>
        <xdr:spPr>
          <a:xfrm>
            <a:off x="857" y="812"/>
            <a:ext cx="2188" cy="2083"/>
          </a:xfrm>
          <a:prstGeom prst="rect">
            <a:avLst/>
          </a:prstGeom>
        </xdr:spPr>
      </xdr:pic>
      <xdr:pic>
        <xdr:nvPicPr>
          <xdr:cNvPr id="103" name="ID_761E4CD89CD3467ABB1EEECB254F7E4A"/>
          <xdr:cNvPicPr>
            <a:picLocks noChangeAspect="1"/>
          </xdr:cNvPicPr>
        </xdr:nvPicPr>
        <xdr:blipFill>
          <a:blip r:embed="rId2" cstate="print"/>
          <a:stretch>
            <a:fillRect/>
          </a:stretch>
        </xdr:blipFill>
        <xdr:spPr>
          <a:xfrm>
            <a:off x="2957" y="812"/>
            <a:ext cx="2188" cy="2083"/>
          </a:xfrm>
          <a:prstGeom prst="rect">
            <a:avLst/>
          </a:prstGeom>
        </xdr:spPr>
      </xdr:pic>
      <xdr:pic>
        <xdr:nvPicPr>
          <xdr:cNvPr id="104" name="ID_AF97F2A66BBB4351884C8804BA223845"/>
          <xdr:cNvPicPr>
            <a:picLocks noChangeAspect="1"/>
          </xdr:cNvPicPr>
        </xdr:nvPicPr>
        <xdr:blipFill>
          <a:blip r:embed="rId3" cstate="print"/>
          <a:stretch>
            <a:fillRect/>
          </a:stretch>
        </xdr:blipFill>
        <xdr:spPr>
          <a:xfrm>
            <a:off x="5057" y="812"/>
            <a:ext cx="2188" cy="2083"/>
          </a:xfrm>
          <a:prstGeom prst="rect">
            <a:avLst/>
          </a:prstGeom>
        </xdr:spPr>
      </xdr:pic>
      <xdr:pic>
        <xdr:nvPicPr>
          <xdr:cNvPr id="105" name="ID_0AA342E49434447B9CCD7C627CF11289"/>
          <xdr:cNvPicPr>
            <a:picLocks noChangeAspect="1"/>
          </xdr:cNvPicPr>
        </xdr:nvPicPr>
        <xdr:blipFill>
          <a:blip r:embed="rId4" cstate="print"/>
          <a:stretch>
            <a:fillRect/>
          </a:stretch>
        </xdr:blipFill>
        <xdr:spPr>
          <a:xfrm>
            <a:off x="7157" y="812"/>
            <a:ext cx="2188" cy="2083"/>
          </a:xfrm>
          <a:prstGeom prst="rect">
            <a:avLst/>
          </a:prstGeom>
        </xdr:spPr>
      </xdr:pic>
      <xdr:pic>
        <xdr:nvPicPr>
          <xdr:cNvPr id="106" name="ID_122035052A4C41CB9906454157E216EE"/>
          <xdr:cNvPicPr>
            <a:picLocks noChangeAspect="1"/>
          </xdr:cNvPicPr>
        </xdr:nvPicPr>
        <xdr:blipFill>
          <a:blip r:embed="rId5" cstate="print"/>
          <a:stretch>
            <a:fillRect/>
          </a:stretch>
        </xdr:blipFill>
        <xdr:spPr>
          <a:xfrm>
            <a:off x="9257" y="812"/>
            <a:ext cx="2188" cy="2083"/>
          </a:xfrm>
          <a:prstGeom prst="rect">
            <a:avLst/>
          </a:prstGeom>
        </xdr:spPr>
      </xdr:pic>
      <xdr:pic>
        <xdr:nvPicPr>
          <xdr:cNvPr id="107" name="ID_9C63188BA1564CE184738FB6EF47437D"/>
          <xdr:cNvPicPr>
            <a:picLocks noChangeAspect="1"/>
          </xdr:cNvPicPr>
        </xdr:nvPicPr>
        <xdr:blipFill>
          <a:blip r:embed="rId6" cstate="print"/>
          <a:stretch>
            <a:fillRect/>
          </a:stretch>
        </xdr:blipFill>
        <xdr:spPr>
          <a:xfrm>
            <a:off x="857" y="2804"/>
            <a:ext cx="2188" cy="2083"/>
          </a:xfrm>
          <a:prstGeom prst="rect">
            <a:avLst/>
          </a:prstGeom>
        </xdr:spPr>
      </xdr:pic>
      <xdr:pic>
        <xdr:nvPicPr>
          <xdr:cNvPr id="108" name="ID_D5E91BA16AC24C199E27DAE6FA32FC5E"/>
          <xdr:cNvPicPr>
            <a:picLocks noChangeAspect="1"/>
          </xdr:cNvPicPr>
        </xdr:nvPicPr>
        <xdr:blipFill>
          <a:blip r:embed="rId7" cstate="print"/>
          <a:stretch>
            <a:fillRect/>
          </a:stretch>
        </xdr:blipFill>
        <xdr:spPr>
          <a:xfrm>
            <a:off x="2957" y="2804"/>
            <a:ext cx="2188" cy="2083"/>
          </a:xfrm>
          <a:prstGeom prst="rect">
            <a:avLst/>
          </a:prstGeom>
        </xdr:spPr>
      </xdr:pic>
      <xdr:pic>
        <xdr:nvPicPr>
          <xdr:cNvPr id="109" name="ID_31FBA1C254F84D1CBBA87A57C5BF88F4"/>
          <xdr:cNvPicPr>
            <a:picLocks noChangeAspect="1"/>
          </xdr:cNvPicPr>
        </xdr:nvPicPr>
        <xdr:blipFill>
          <a:blip r:embed="rId8" cstate="print"/>
          <a:stretch>
            <a:fillRect/>
          </a:stretch>
        </xdr:blipFill>
        <xdr:spPr>
          <a:xfrm>
            <a:off x="5057" y="2804"/>
            <a:ext cx="2188" cy="2083"/>
          </a:xfrm>
          <a:prstGeom prst="rect">
            <a:avLst/>
          </a:prstGeom>
        </xdr:spPr>
      </xdr:pic>
      <xdr:pic>
        <xdr:nvPicPr>
          <xdr:cNvPr id="110" name="ID_2B272D36E6FE4EBFB80B4481C3DAD3A2"/>
          <xdr:cNvPicPr>
            <a:picLocks noChangeAspect="1"/>
          </xdr:cNvPicPr>
        </xdr:nvPicPr>
        <xdr:blipFill>
          <a:blip r:embed="rId9" cstate="print"/>
          <a:stretch>
            <a:fillRect/>
          </a:stretch>
        </xdr:blipFill>
        <xdr:spPr>
          <a:xfrm>
            <a:off x="7157" y="2804"/>
            <a:ext cx="2188" cy="2083"/>
          </a:xfrm>
          <a:prstGeom prst="rect">
            <a:avLst/>
          </a:prstGeom>
        </xdr:spPr>
      </xdr:pic>
      <xdr:pic>
        <xdr:nvPicPr>
          <xdr:cNvPr id="111" name="ID_AA1357C725E44ACFB5468522954791F0"/>
          <xdr:cNvPicPr>
            <a:picLocks noChangeAspect="1"/>
          </xdr:cNvPicPr>
        </xdr:nvPicPr>
        <xdr:blipFill>
          <a:blip r:embed="rId10" cstate="print"/>
          <a:stretch>
            <a:fillRect/>
          </a:stretch>
        </xdr:blipFill>
        <xdr:spPr>
          <a:xfrm>
            <a:off x="9257" y="2804"/>
            <a:ext cx="2188" cy="2083"/>
          </a:xfrm>
          <a:prstGeom prst="rect">
            <a:avLst/>
          </a:prstGeom>
        </xdr:spPr>
      </xdr:pic>
      <xdr:pic>
        <xdr:nvPicPr>
          <xdr:cNvPr id="112" name="ID_2ED318906A87490E858C5389ABED31A8"/>
          <xdr:cNvPicPr>
            <a:picLocks noChangeAspect="1"/>
          </xdr:cNvPicPr>
        </xdr:nvPicPr>
        <xdr:blipFill>
          <a:blip r:embed="rId11" cstate="print"/>
          <a:stretch>
            <a:fillRect/>
          </a:stretch>
        </xdr:blipFill>
        <xdr:spPr>
          <a:xfrm>
            <a:off x="857" y="4796"/>
            <a:ext cx="2188" cy="2083"/>
          </a:xfrm>
          <a:prstGeom prst="rect">
            <a:avLst/>
          </a:prstGeom>
        </xdr:spPr>
      </xdr:pic>
      <xdr:pic>
        <xdr:nvPicPr>
          <xdr:cNvPr id="113" name="ID_D479B37A901844EE9A13C2275918FCFF"/>
          <xdr:cNvPicPr>
            <a:picLocks noChangeAspect="1"/>
          </xdr:cNvPicPr>
        </xdr:nvPicPr>
        <xdr:blipFill>
          <a:blip r:embed="rId12" cstate="print"/>
          <a:stretch>
            <a:fillRect/>
          </a:stretch>
        </xdr:blipFill>
        <xdr:spPr>
          <a:xfrm>
            <a:off x="2957" y="4796"/>
            <a:ext cx="2188" cy="2083"/>
          </a:xfrm>
          <a:prstGeom prst="rect">
            <a:avLst/>
          </a:prstGeom>
        </xdr:spPr>
      </xdr:pic>
      <xdr:pic>
        <xdr:nvPicPr>
          <xdr:cNvPr id="114" name="ID_C51EFED7F33143899C203840CB28213A"/>
          <xdr:cNvPicPr>
            <a:picLocks noChangeAspect="1"/>
          </xdr:cNvPicPr>
        </xdr:nvPicPr>
        <xdr:blipFill>
          <a:blip r:embed="rId13" cstate="print"/>
          <a:stretch>
            <a:fillRect/>
          </a:stretch>
        </xdr:blipFill>
        <xdr:spPr>
          <a:xfrm>
            <a:off x="5057" y="4796"/>
            <a:ext cx="2188" cy="2083"/>
          </a:xfrm>
          <a:prstGeom prst="rect">
            <a:avLst/>
          </a:prstGeom>
        </xdr:spPr>
      </xdr:pic>
      <xdr:pic>
        <xdr:nvPicPr>
          <xdr:cNvPr id="115" name="ID_04DDF5654F9C4C79A70AC7E59B046275"/>
          <xdr:cNvPicPr>
            <a:picLocks noChangeAspect="1"/>
          </xdr:cNvPicPr>
        </xdr:nvPicPr>
        <xdr:blipFill>
          <a:blip r:embed="rId14" cstate="print"/>
          <a:stretch>
            <a:fillRect/>
          </a:stretch>
        </xdr:blipFill>
        <xdr:spPr>
          <a:xfrm>
            <a:off x="7157" y="4796"/>
            <a:ext cx="2188" cy="2083"/>
          </a:xfrm>
          <a:prstGeom prst="rect">
            <a:avLst/>
          </a:prstGeom>
        </xdr:spPr>
      </xdr:pic>
      <xdr:pic>
        <xdr:nvPicPr>
          <xdr:cNvPr id="116" name="ID_1D0DB4D431B2437B93AD8AEA65B1889B"/>
          <xdr:cNvPicPr>
            <a:picLocks noChangeAspect="1"/>
          </xdr:cNvPicPr>
        </xdr:nvPicPr>
        <xdr:blipFill>
          <a:blip r:embed="rId15" cstate="print"/>
          <a:stretch>
            <a:fillRect/>
          </a:stretch>
        </xdr:blipFill>
        <xdr:spPr>
          <a:xfrm>
            <a:off x="9257" y="4796"/>
            <a:ext cx="2188" cy="2083"/>
          </a:xfrm>
          <a:prstGeom prst="rect">
            <a:avLst/>
          </a:prstGeom>
        </xdr:spPr>
      </xdr:pic>
      <xdr:pic>
        <xdr:nvPicPr>
          <xdr:cNvPr id="117" name="ID_AD3CBD7C9B6C4E6BA4FF339C835828C6"/>
          <xdr:cNvPicPr>
            <a:picLocks noChangeAspect="1"/>
          </xdr:cNvPicPr>
        </xdr:nvPicPr>
        <xdr:blipFill>
          <a:blip r:embed="rId16" cstate="print"/>
          <a:stretch>
            <a:fillRect/>
          </a:stretch>
        </xdr:blipFill>
        <xdr:spPr>
          <a:xfrm>
            <a:off x="857" y="6788"/>
            <a:ext cx="2188" cy="2083"/>
          </a:xfrm>
          <a:prstGeom prst="rect">
            <a:avLst/>
          </a:prstGeom>
        </xdr:spPr>
      </xdr:pic>
      <xdr:pic>
        <xdr:nvPicPr>
          <xdr:cNvPr id="118" name="ID_C432FE2CCD4140FA8168CFBACB2F73E2"/>
          <xdr:cNvPicPr>
            <a:picLocks noChangeAspect="1"/>
          </xdr:cNvPicPr>
        </xdr:nvPicPr>
        <xdr:blipFill>
          <a:blip r:embed="rId17" cstate="print"/>
          <a:stretch>
            <a:fillRect/>
          </a:stretch>
        </xdr:blipFill>
        <xdr:spPr>
          <a:xfrm>
            <a:off x="2957" y="6788"/>
            <a:ext cx="2188" cy="2083"/>
          </a:xfrm>
          <a:prstGeom prst="rect">
            <a:avLst/>
          </a:prstGeom>
        </xdr:spPr>
      </xdr:pic>
      <xdr:pic>
        <xdr:nvPicPr>
          <xdr:cNvPr id="119" name="ID_BE96C68FB1444369A0C59692A700F4B9"/>
          <xdr:cNvPicPr>
            <a:picLocks noChangeAspect="1"/>
          </xdr:cNvPicPr>
        </xdr:nvPicPr>
        <xdr:blipFill>
          <a:blip r:embed="rId18" cstate="print"/>
          <a:stretch>
            <a:fillRect/>
          </a:stretch>
        </xdr:blipFill>
        <xdr:spPr>
          <a:xfrm>
            <a:off x="5057" y="6788"/>
            <a:ext cx="2188" cy="2083"/>
          </a:xfrm>
          <a:prstGeom prst="rect">
            <a:avLst/>
          </a:prstGeom>
        </xdr:spPr>
      </xdr:pic>
      <xdr:pic>
        <xdr:nvPicPr>
          <xdr:cNvPr id="120" name="ID_052ED7922E6F4D73950437C044B2CA77"/>
          <xdr:cNvPicPr>
            <a:picLocks noChangeAspect="1"/>
          </xdr:cNvPicPr>
        </xdr:nvPicPr>
        <xdr:blipFill>
          <a:blip r:embed="rId19" cstate="print"/>
          <a:stretch>
            <a:fillRect/>
          </a:stretch>
        </xdr:blipFill>
        <xdr:spPr>
          <a:xfrm>
            <a:off x="7157" y="6788"/>
            <a:ext cx="2188" cy="2083"/>
          </a:xfrm>
          <a:prstGeom prst="rect">
            <a:avLst/>
          </a:prstGeom>
        </xdr:spPr>
      </xdr:pic>
      <xdr:pic>
        <xdr:nvPicPr>
          <xdr:cNvPr id="121" name="ID_894AAD5B4E8940A6A904560FF21FFD14"/>
          <xdr:cNvPicPr>
            <a:picLocks noChangeAspect="1"/>
          </xdr:cNvPicPr>
        </xdr:nvPicPr>
        <xdr:blipFill>
          <a:blip r:embed="rId20" cstate="print"/>
          <a:stretch>
            <a:fillRect/>
          </a:stretch>
        </xdr:blipFill>
        <xdr:spPr>
          <a:xfrm>
            <a:off x="9257" y="6788"/>
            <a:ext cx="2188" cy="2083"/>
          </a:xfrm>
          <a:prstGeom prst="rect">
            <a:avLst/>
          </a:prstGeom>
        </xdr:spPr>
      </xdr:pic>
      <xdr:pic>
        <xdr:nvPicPr>
          <xdr:cNvPr id="122" name="ID_35CAECDD833B49DABC57E20B43E93A97"/>
          <xdr:cNvPicPr>
            <a:picLocks noChangeAspect="1"/>
          </xdr:cNvPicPr>
        </xdr:nvPicPr>
        <xdr:blipFill>
          <a:blip r:embed="rId21" cstate="print"/>
          <a:stretch>
            <a:fillRect/>
          </a:stretch>
        </xdr:blipFill>
        <xdr:spPr>
          <a:xfrm>
            <a:off x="857" y="8780"/>
            <a:ext cx="2188" cy="2083"/>
          </a:xfrm>
          <a:prstGeom prst="rect">
            <a:avLst/>
          </a:prstGeom>
        </xdr:spPr>
      </xdr:pic>
      <xdr:pic>
        <xdr:nvPicPr>
          <xdr:cNvPr id="123" name="ID_69D791C43871465A9A8D10FB074E09DC"/>
          <xdr:cNvPicPr>
            <a:picLocks noChangeAspect="1"/>
          </xdr:cNvPicPr>
        </xdr:nvPicPr>
        <xdr:blipFill>
          <a:blip r:embed="rId22" cstate="print"/>
          <a:stretch>
            <a:fillRect/>
          </a:stretch>
        </xdr:blipFill>
        <xdr:spPr>
          <a:xfrm>
            <a:off x="2957" y="8780"/>
            <a:ext cx="2188" cy="2083"/>
          </a:xfrm>
          <a:prstGeom prst="rect">
            <a:avLst/>
          </a:prstGeom>
        </xdr:spPr>
      </xdr:pic>
      <xdr:pic>
        <xdr:nvPicPr>
          <xdr:cNvPr id="124" name="ID_A5326FD5EF4143C89F533472D0C9A650"/>
          <xdr:cNvPicPr>
            <a:picLocks noChangeAspect="1"/>
          </xdr:cNvPicPr>
        </xdr:nvPicPr>
        <xdr:blipFill>
          <a:blip r:embed="rId23" cstate="print"/>
          <a:stretch>
            <a:fillRect/>
          </a:stretch>
        </xdr:blipFill>
        <xdr:spPr>
          <a:xfrm>
            <a:off x="5057" y="8780"/>
            <a:ext cx="2188" cy="2083"/>
          </a:xfrm>
          <a:prstGeom prst="rect">
            <a:avLst/>
          </a:prstGeom>
        </xdr:spPr>
      </xdr:pic>
      <xdr:pic>
        <xdr:nvPicPr>
          <xdr:cNvPr id="125" name="ID_996047700A414EAC8B64EE299C4CF3D5"/>
          <xdr:cNvPicPr>
            <a:picLocks noChangeAspect="1"/>
          </xdr:cNvPicPr>
        </xdr:nvPicPr>
        <xdr:blipFill>
          <a:blip r:embed="rId24" cstate="print"/>
          <a:stretch>
            <a:fillRect/>
          </a:stretch>
        </xdr:blipFill>
        <xdr:spPr>
          <a:xfrm>
            <a:off x="7157" y="8780"/>
            <a:ext cx="2188" cy="2083"/>
          </a:xfrm>
          <a:prstGeom prst="rect">
            <a:avLst/>
          </a:prstGeom>
        </xdr:spPr>
      </xdr:pic>
      <xdr:pic>
        <xdr:nvPicPr>
          <xdr:cNvPr id="126" name="ID_8AC91BEB9A4B4FB4BD2F2CF6CA0C2621"/>
          <xdr:cNvPicPr>
            <a:picLocks noChangeAspect="1"/>
          </xdr:cNvPicPr>
        </xdr:nvPicPr>
        <xdr:blipFill>
          <a:blip r:embed="rId25" cstate="print"/>
          <a:stretch>
            <a:fillRect/>
          </a:stretch>
        </xdr:blipFill>
        <xdr:spPr>
          <a:xfrm>
            <a:off x="9257" y="8780"/>
            <a:ext cx="2188" cy="2083"/>
          </a:xfrm>
          <a:prstGeom prst="rect">
            <a:avLst/>
          </a:prstGeom>
        </xdr:spPr>
      </xdr:pic>
      <xdr:pic>
        <xdr:nvPicPr>
          <xdr:cNvPr id="127" name="ID_80254ADA21EA493DBF6FC96F9B67F16F"/>
          <xdr:cNvPicPr>
            <a:picLocks noChangeAspect="1"/>
          </xdr:cNvPicPr>
        </xdr:nvPicPr>
        <xdr:blipFill>
          <a:blip r:embed="rId26" cstate="print"/>
          <a:stretch>
            <a:fillRect/>
          </a:stretch>
        </xdr:blipFill>
        <xdr:spPr>
          <a:xfrm>
            <a:off x="857" y="10772"/>
            <a:ext cx="2188" cy="2083"/>
          </a:xfrm>
          <a:prstGeom prst="rect">
            <a:avLst/>
          </a:prstGeom>
        </xdr:spPr>
      </xdr:pic>
      <xdr:pic>
        <xdr:nvPicPr>
          <xdr:cNvPr id="128" name="ID_8425046282F44246AFEADA388DCEB69D"/>
          <xdr:cNvPicPr>
            <a:picLocks noChangeAspect="1"/>
          </xdr:cNvPicPr>
        </xdr:nvPicPr>
        <xdr:blipFill>
          <a:blip r:embed="rId27" cstate="print"/>
          <a:stretch>
            <a:fillRect/>
          </a:stretch>
        </xdr:blipFill>
        <xdr:spPr>
          <a:xfrm>
            <a:off x="2957" y="10772"/>
            <a:ext cx="2188" cy="2083"/>
          </a:xfrm>
          <a:prstGeom prst="rect">
            <a:avLst/>
          </a:prstGeom>
        </xdr:spPr>
      </xdr:pic>
      <xdr:pic>
        <xdr:nvPicPr>
          <xdr:cNvPr id="129" name="ID_D5F609BFA0564345A952EB7B3A7E68D1"/>
          <xdr:cNvPicPr>
            <a:picLocks noChangeAspect="1"/>
          </xdr:cNvPicPr>
        </xdr:nvPicPr>
        <xdr:blipFill>
          <a:blip r:embed="rId28" cstate="print"/>
          <a:stretch>
            <a:fillRect/>
          </a:stretch>
        </xdr:blipFill>
        <xdr:spPr>
          <a:xfrm>
            <a:off x="5057" y="10772"/>
            <a:ext cx="2188" cy="2083"/>
          </a:xfrm>
          <a:prstGeom prst="rect">
            <a:avLst/>
          </a:prstGeom>
        </xdr:spPr>
      </xdr:pic>
      <xdr:pic>
        <xdr:nvPicPr>
          <xdr:cNvPr id="130" name="ID_5C717E2C110946EB8F533832529ABD3F"/>
          <xdr:cNvPicPr>
            <a:picLocks noChangeAspect="1"/>
          </xdr:cNvPicPr>
        </xdr:nvPicPr>
        <xdr:blipFill>
          <a:blip r:embed="rId29" cstate="print"/>
          <a:stretch>
            <a:fillRect/>
          </a:stretch>
        </xdr:blipFill>
        <xdr:spPr>
          <a:xfrm>
            <a:off x="7157" y="10772"/>
            <a:ext cx="2188" cy="2083"/>
          </a:xfrm>
          <a:prstGeom prst="rect">
            <a:avLst/>
          </a:prstGeom>
        </xdr:spPr>
      </xdr:pic>
      <xdr:pic>
        <xdr:nvPicPr>
          <xdr:cNvPr id="131" name="ID_737BF37BB64F40B897DFC9849140D108"/>
          <xdr:cNvPicPr>
            <a:picLocks noChangeAspect="1"/>
          </xdr:cNvPicPr>
        </xdr:nvPicPr>
        <xdr:blipFill>
          <a:blip r:embed="rId30" cstate="print"/>
          <a:stretch>
            <a:fillRect/>
          </a:stretch>
        </xdr:blipFill>
        <xdr:spPr>
          <a:xfrm>
            <a:off x="9257" y="10772"/>
            <a:ext cx="2188" cy="2083"/>
          </a:xfrm>
          <a:prstGeom prst="rect">
            <a:avLst/>
          </a:prstGeom>
        </xdr:spPr>
      </xdr:pic>
      <xdr:pic>
        <xdr:nvPicPr>
          <xdr:cNvPr id="132" name="ID_B2F7D32C6F2D41DE85EFE3D1CE0A8DD7"/>
          <xdr:cNvPicPr>
            <a:picLocks noChangeAspect="1"/>
          </xdr:cNvPicPr>
        </xdr:nvPicPr>
        <xdr:blipFill>
          <a:blip r:embed="rId31" cstate="print"/>
          <a:stretch>
            <a:fillRect/>
          </a:stretch>
        </xdr:blipFill>
        <xdr:spPr>
          <a:xfrm>
            <a:off x="857" y="12764"/>
            <a:ext cx="2188" cy="2083"/>
          </a:xfrm>
          <a:prstGeom prst="rect">
            <a:avLst/>
          </a:prstGeom>
        </xdr:spPr>
      </xdr:pic>
      <xdr:pic>
        <xdr:nvPicPr>
          <xdr:cNvPr id="133" name="ID_50DD57811A054993A625210D9D93AADA"/>
          <xdr:cNvPicPr>
            <a:picLocks noChangeAspect="1"/>
          </xdr:cNvPicPr>
        </xdr:nvPicPr>
        <xdr:blipFill>
          <a:blip r:embed="rId32" cstate="print"/>
          <a:stretch>
            <a:fillRect/>
          </a:stretch>
        </xdr:blipFill>
        <xdr:spPr>
          <a:xfrm>
            <a:off x="2957" y="12764"/>
            <a:ext cx="2188" cy="2083"/>
          </a:xfrm>
          <a:prstGeom prst="rect">
            <a:avLst/>
          </a:prstGeom>
        </xdr:spPr>
      </xdr:pic>
      <xdr:pic>
        <xdr:nvPicPr>
          <xdr:cNvPr id="134" name="ID_983B48336143498D87DD4502ADEAB9CF"/>
          <xdr:cNvPicPr>
            <a:picLocks noChangeAspect="1"/>
          </xdr:cNvPicPr>
        </xdr:nvPicPr>
        <xdr:blipFill>
          <a:blip r:embed="rId33" cstate="print"/>
          <a:stretch>
            <a:fillRect/>
          </a:stretch>
        </xdr:blipFill>
        <xdr:spPr>
          <a:xfrm>
            <a:off x="5057" y="12764"/>
            <a:ext cx="2188" cy="2083"/>
          </a:xfrm>
          <a:prstGeom prst="rect">
            <a:avLst/>
          </a:prstGeom>
        </xdr:spPr>
      </xdr:pic>
      <xdr:pic>
        <xdr:nvPicPr>
          <xdr:cNvPr id="135" name="ID_E6E8228F1E5E4594AA17C8E53196171C"/>
          <xdr:cNvPicPr>
            <a:picLocks noChangeAspect="1"/>
          </xdr:cNvPicPr>
        </xdr:nvPicPr>
        <xdr:blipFill>
          <a:blip r:embed="rId34" cstate="print"/>
          <a:stretch>
            <a:fillRect/>
          </a:stretch>
        </xdr:blipFill>
        <xdr:spPr>
          <a:xfrm>
            <a:off x="7157" y="12764"/>
            <a:ext cx="2188" cy="2083"/>
          </a:xfrm>
          <a:prstGeom prst="rect">
            <a:avLst/>
          </a:prstGeom>
        </xdr:spPr>
      </xdr:pic>
      <xdr:pic>
        <xdr:nvPicPr>
          <xdr:cNvPr id="136" name="ID_E9A9600F8C9D422A989303DFC62F73AB"/>
          <xdr:cNvPicPr>
            <a:picLocks noChangeAspect="1"/>
          </xdr:cNvPicPr>
        </xdr:nvPicPr>
        <xdr:blipFill>
          <a:blip r:embed="rId35" cstate="print"/>
          <a:stretch>
            <a:fillRect/>
          </a:stretch>
        </xdr:blipFill>
        <xdr:spPr>
          <a:xfrm>
            <a:off x="9257" y="12764"/>
            <a:ext cx="2188" cy="2083"/>
          </a:xfrm>
          <a:prstGeom prst="rect">
            <a:avLst/>
          </a:prstGeom>
        </xdr:spPr>
      </xdr:pic>
      <xdr:pic>
        <xdr:nvPicPr>
          <xdr:cNvPr id="137" name="ID_5989B63FCF6144AE976DDCAF187F8851"/>
          <xdr:cNvPicPr>
            <a:picLocks noChangeAspect="1"/>
          </xdr:cNvPicPr>
        </xdr:nvPicPr>
        <xdr:blipFill>
          <a:blip r:embed="rId36" cstate="print"/>
          <a:stretch>
            <a:fillRect/>
          </a:stretch>
        </xdr:blipFill>
        <xdr:spPr>
          <a:xfrm>
            <a:off x="857" y="14756"/>
            <a:ext cx="2188" cy="2083"/>
          </a:xfrm>
          <a:prstGeom prst="rect">
            <a:avLst/>
          </a:prstGeom>
        </xdr:spPr>
      </xdr:pic>
      <xdr:pic>
        <xdr:nvPicPr>
          <xdr:cNvPr id="138" name="ID_8EAC170383E14054949BBCCC703732EB"/>
          <xdr:cNvPicPr>
            <a:picLocks noChangeAspect="1"/>
          </xdr:cNvPicPr>
        </xdr:nvPicPr>
        <xdr:blipFill>
          <a:blip r:embed="rId37" cstate="print"/>
          <a:stretch>
            <a:fillRect/>
          </a:stretch>
        </xdr:blipFill>
        <xdr:spPr>
          <a:xfrm>
            <a:off x="2957" y="14756"/>
            <a:ext cx="2188" cy="2083"/>
          </a:xfrm>
          <a:prstGeom prst="rect">
            <a:avLst/>
          </a:prstGeom>
        </xdr:spPr>
      </xdr:pic>
      <xdr:pic>
        <xdr:nvPicPr>
          <xdr:cNvPr id="139" name="ID_8348E66BE1DC43A1A0A45E9D674BDB11"/>
          <xdr:cNvPicPr>
            <a:picLocks noChangeAspect="1"/>
          </xdr:cNvPicPr>
        </xdr:nvPicPr>
        <xdr:blipFill>
          <a:blip r:embed="rId38" cstate="print"/>
          <a:stretch>
            <a:fillRect/>
          </a:stretch>
        </xdr:blipFill>
        <xdr:spPr>
          <a:xfrm>
            <a:off x="5057" y="14756"/>
            <a:ext cx="2188" cy="2083"/>
          </a:xfrm>
          <a:prstGeom prst="rect">
            <a:avLst/>
          </a:prstGeom>
        </xdr:spPr>
      </xdr:pic>
      <xdr:pic>
        <xdr:nvPicPr>
          <xdr:cNvPr id="140" name="ID_FFEC0C1562964B1FA9DFEFB6D883AE6F"/>
          <xdr:cNvPicPr>
            <a:picLocks noChangeAspect="1"/>
          </xdr:cNvPicPr>
        </xdr:nvPicPr>
        <xdr:blipFill>
          <a:blip r:embed="rId39" cstate="print"/>
          <a:stretch>
            <a:fillRect/>
          </a:stretch>
        </xdr:blipFill>
        <xdr:spPr>
          <a:xfrm>
            <a:off x="7157" y="14756"/>
            <a:ext cx="2188" cy="2083"/>
          </a:xfrm>
          <a:prstGeom prst="rect">
            <a:avLst/>
          </a:prstGeom>
        </xdr:spPr>
      </xdr:pic>
      <xdr:pic>
        <xdr:nvPicPr>
          <xdr:cNvPr id="141" name="ID_74098C5D37F84004A34CA08538A1432E"/>
          <xdr:cNvPicPr>
            <a:picLocks noChangeAspect="1"/>
          </xdr:cNvPicPr>
        </xdr:nvPicPr>
        <xdr:blipFill>
          <a:blip r:embed="rId40" cstate="print"/>
          <a:stretch>
            <a:fillRect/>
          </a:stretch>
        </xdr:blipFill>
        <xdr:spPr>
          <a:xfrm>
            <a:off x="9257" y="14756"/>
            <a:ext cx="2188" cy="2083"/>
          </a:xfrm>
          <a:prstGeom prst="rect">
            <a:avLst/>
          </a:prstGeom>
        </xdr:spPr>
      </xdr:pic>
      <xdr:pic>
        <xdr:nvPicPr>
          <xdr:cNvPr id="142" name="ID_547FE37F2DE3458BA63C6E29DD081E2B"/>
          <xdr:cNvPicPr>
            <a:picLocks noChangeAspect="1"/>
          </xdr:cNvPicPr>
        </xdr:nvPicPr>
        <xdr:blipFill>
          <a:blip r:embed="rId41" cstate="print"/>
          <a:stretch>
            <a:fillRect/>
          </a:stretch>
        </xdr:blipFill>
        <xdr:spPr>
          <a:xfrm>
            <a:off x="857" y="16748"/>
            <a:ext cx="2188" cy="2083"/>
          </a:xfrm>
          <a:prstGeom prst="rect">
            <a:avLst/>
          </a:prstGeom>
        </xdr:spPr>
      </xdr:pic>
      <xdr:pic>
        <xdr:nvPicPr>
          <xdr:cNvPr id="143" name="ID_EA5C1F54D9F54E98855A08DE85685D80"/>
          <xdr:cNvPicPr>
            <a:picLocks noChangeAspect="1"/>
          </xdr:cNvPicPr>
        </xdr:nvPicPr>
        <xdr:blipFill>
          <a:blip r:embed="rId42" cstate="print"/>
          <a:stretch>
            <a:fillRect/>
          </a:stretch>
        </xdr:blipFill>
        <xdr:spPr>
          <a:xfrm>
            <a:off x="2957" y="16748"/>
            <a:ext cx="2188" cy="2083"/>
          </a:xfrm>
          <a:prstGeom prst="rect">
            <a:avLst/>
          </a:prstGeom>
        </xdr:spPr>
      </xdr:pic>
      <xdr:pic>
        <xdr:nvPicPr>
          <xdr:cNvPr id="144" name="ID_C00F7C5DF6E6475A9763329F9E1D6992"/>
          <xdr:cNvPicPr>
            <a:picLocks noChangeAspect="1"/>
          </xdr:cNvPicPr>
        </xdr:nvPicPr>
        <xdr:blipFill>
          <a:blip r:embed="rId43" cstate="print"/>
          <a:stretch>
            <a:fillRect/>
          </a:stretch>
        </xdr:blipFill>
        <xdr:spPr>
          <a:xfrm>
            <a:off x="5057" y="16748"/>
            <a:ext cx="2188" cy="2083"/>
          </a:xfrm>
          <a:prstGeom prst="rect">
            <a:avLst/>
          </a:prstGeom>
        </xdr:spPr>
      </xdr:pic>
      <xdr:pic>
        <xdr:nvPicPr>
          <xdr:cNvPr id="145" name="ID_52F5055156B947E1A5B1D95AC574D65E"/>
          <xdr:cNvPicPr>
            <a:picLocks noChangeAspect="1"/>
          </xdr:cNvPicPr>
        </xdr:nvPicPr>
        <xdr:blipFill>
          <a:blip r:embed="rId44" cstate="print"/>
          <a:stretch>
            <a:fillRect/>
          </a:stretch>
        </xdr:blipFill>
        <xdr:spPr>
          <a:xfrm>
            <a:off x="7157" y="16748"/>
            <a:ext cx="2188" cy="2083"/>
          </a:xfrm>
          <a:prstGeom prst="rect">
            <a:avLst/>
          </a:prstGeom>
        </xdr:spPr>
      </xdr:pic>
      <xdr:pic>
        <xdr:nvPicPr>
          <xdr:cNvPr id="146" name="ID_F2CADC2A55BE42D68CC9DC4B2B6AEC84"/>
          <xdr:cNvPicPr>
            <a:picLocks noChangeAspect="1"/>
          </xdr:cNvPicPr>
        </xdr:nvPicPr>
        <xdr:blipFill>
          <a:blip r:embed="rId45" cstate="print"/>
          <a:stretch>
            <a:fillRect/>
          </a:stretch>
        </xdr:blipFill>
        <xdr:spPr>
          <a:xfrm>
            <a:off x="9257" y="16748"/>
            <a:ext cx="2188" cy="2083"/>
          </a:xfrm>
          <a:prstGeom prst="rect">
            <a:avLst/>
          </a:prstGeom>
        </xdr:spPr>
      </xdr:pic>
      <xdr:pic>
        <xdr:nvPicPr>
          <xdr:cNvPr id="147" name="ID_44540DAE5A704AB78F2C41C9874CF8CF"/>
          <xdr:cNvPicPr>
            <a:picLocks noChangeAspect="1"/>
          </xdr:cNvPicPr>
        </xdr:nvPicPr>
        <xdr:blipFill>
          <a:blip r:embed="rId46" cstate="print"/>
          <a:stretch>
            <a:fillRect/>
          </a:stretch>
        </xdr:blipFill>
        <xdr:spPr>
          <a:xfrm>
            <a:off x="857" y="18740"/>
            <a:ext cx="2188" cy="2083"/>
          </a:xfrm>
          <a:prstGeom prst="rect">
            <a:avLst/>
          </a:prstGeom>
        </xdr:spPr>
      </xdr:pic>
      <xdr:pic>
        <xdr:nvPicPr>
          <xdr:cNvPr id="148" name="ID_C77A4FAC369845A68E7A71755BF136ED"/>
          <xdr:cNvPicPr>
            <a:picLocks noChangeAspect="1"/>
          </xdr:cNvPicPr>
        </xdr:nvPicPr>
        <xdr:blipFill>
          <a:blip r:embed="rId47" cstate="print"/>
          <a:stretch>
            <a:fillRect/>
          </a:stretch>
        </xdr:blipFill>
        <xdr:spPr>
          <a:xfrm>
            <a:off x="2957" y="18740"/>
            <a:ext cx="2188" cy="2083"/>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9B7LS4WP" TargetMode="External"/><Relationship Id="rId98" Type="http://schemas.openxmlformats.org/officeDocument/2006/relationships/hyperlink" Target="https://www.amazon.com/dp/B0DDYBPYLJ" TargetMode="External"/><Relationship Id="rId97" Type="http://schemas.openxmlformats.org/officeDocument/2006/relationships/hyperlink" Target="https://m.media-amazon.com/images/I/317R3DfeesL._AC_SR600,600_.jpg" TargetMode="External"/><Relationship Id="rId96" Type="http://schemas.openxmlformats.org/officeDocument/2006/relationships/hyperlink" Target="https://www.amazon.com/dp/B0CLLBB2Y6?psc=1" TargetMode="External"/><Relationship Id="rId95" Type="http://schemas.openxmlformats.org/officeDocument/2006/relationships/hyperlink" Target="https://www.amazon.com/dp/B0CLLBB2Y6" TargetMode="External"/><Relationship Id="rId94" Type="http://schemas.openxmlformats.org/officeDocument/2006/relationships/hyperlink" Target="https://www.amazon.com/dp/B0CTQK1MKT" TargetMode="External"/><Relationship Id="rId93" Type="http://schemas.openxmlformats.org/officeDocument/2006/relationships/hyperlink" Target="https://m.media-amazon.com/images/I/41qmvvUlMYL._AC_SR600,600_.jpg" TargetMode="External"/><Relationship Id="rId92" Type="http://schemas.openxmlformats.org/officeDocument/2006/relationships/hyperlink" Target="https://www.amazon.com/dp/B0869KRDZB?psc=1" TargetMode="External"/><Relationship Id="rId91" Type="http://schemas.openxmlformats.org/officeDocument/2006/relationships/hyperlink" Target="https://www.amazon.com/dp/B0869KRDZB" TargetMode="External"/><Relationship Id="rId90" Type="http://schemas.openxmlformats.org/officeDocument/2006/relationships/hyperlink" Target="https://www.amazon.com/dp/B0DDX8JWHN" TargetMode="External"/><Relationship Id="rId9" Type="http://schemas.openxmlformats.org/officeDocument/2006/relationships/hyperlink" Target="https://www.amazon.com/dp/B0D12QBDKB" TargetMode="External"/><Relationship Id="rId89" Type="http://schemas.openxmlformats.org/officeDocument/2006/relationships/hyperlink" Target="https://m.media-amazon.com/images/I/41OvxAaaiQL._AC_SR600,600_.jpg" TargetMode="External"/><Relationship Id="rId88" Type="http://schemas.openxmlformats.org/officeDocument/2006/relationships/hyperlink" Target="https://www.amazon.com/dp/B0CKVPY311?psc=1" TargetMode="External"/><Relationship Id="rId87" Type="http://schemas.openxmlformats.org/officeDocument/2006/relationships/hyperlink" Target="https://www.amazon.com/dp/B0CKVPY311" TargetMode="External"/><Relationship Id="rId86" Type="http://schemas.openxmlformats.org/officeDocument/2006/relationships/hyperlink" Target="https://www.amazon.com/gp/help/seller/at-a-glance.html/ref=dp_merchant_link?seller=A2MQT9OK1M7FLP" TargetMode="External"/><Relationship Id="rId85" Type="http://schemas.openxmlformats.org/officeDocument/2006/relationships/hyperlink" Target="https://www.amazon.com/dp/B0D8ZMB76H" TargetMode="External"/><Relationship Id="rId84" Type="http://schemas.openxmlformats.org/officeDocument/2006/relationships/hyperlink" Target="https://m.media-amazon.com/images/I/41gKOsE7hpL._AC_SR600,600_.jpg" TargetMode="External"/><Relationship Id="rId83" Type="http://schemas.openxmlformats.org/officeDocument/2006/relationships/hyperlink" Target="https://www.amazon.com/dp/B0D1Y5BQRM?psc=1" TargetMode="External"/><Relationship Id="rId82" Type="http://schemas.openxmlformats.org/officeDocument/2006/relationships/hyperlink" Target="https://www.amazon.com/stores/JMIERR/page/3F09C8CE-18BF-4AE4-8F69-37AB8F65055E?ref_=ast_bln&amp;store_ref=bl_ast_dp_brandLogo_sto" TargetMode="External"/><Relationship Id="rId81" Type="http://schemas.openxmlformats.org/officeDocument/2006/relationships/hyperlink" Target="https://www.amazon.com/dp/B0D1Y5BQRM" TargetMode="External"/><Relationship Id="rId80" Type="http://schemas.openxmlformats.org/officeDocument/2006/relationships/hyperlink" Target="https://www.amazon.com/dp/B0DDXWG187" TargetMode="External"/><Relationship Id="rId8" Type="http://schemas.openxmlformats.org/officeDocument/2006/relationships/hyperlink" Target="https://www.amazon.com/gp/help/seller/at-a-glance.html/ref=dp_merchant_link?seller=A2AFTVCB3HZ74Y" TargetMode="External"/><Relationship Id="rId79" Type="http://schemas.openxmlformats.org/officeDocument/2006/relationships/hyperlink" Target="https://images-na.ssl-images-amazon.com/images/I/71+PHD2GVlL._AC_US600_.jpg" TargetMode="External"/><Relationship Id="rId78" Type="http://schemas.openxmlformats.org/officeDocument/2006/relationships/hyperlink" Target="https://www.amazon.com/dp/B0CLL2CCJR?psc=1" TargetMode="External"/><Relationship Id="rId77" Type="http://schemas.openxmlformats.org/officeDocument/2006/relationships/hyperlink" Target="https://www.amazon.com/dp/B0CLL2CCJR" TargetMode="External"/><Relationship Id="rId76" Type="http://schemas.openxmlformats.org/officeDocument/2006/relationships/hyperlink" Target="https://www.amazon.com/b?node=2476517011" TargetMode="External"/><Relationship Id="rId75" Type="http://schemas.openxmlformats.org/officeDocument/2006/relationships/hyperlink" Target="https://www.amazon.com/dp/B07849VCBQ" TargetMode="External"/><Relationship Id="rId74" Type="http://schemas.openxmlformats.org/officeDocument/2006/relationships/hyperlink" Target="https://m.media-amazon.com/images/I/3144isMTgzL._AC_SR600,600_.jpg" TargetMode="External"/><Relationship Id="rId73" Type="http://schemas.openxmlformats.org/officeDocument/2006/relationships/hyperlink" Target="https://www.amazon.com/dp/B08NSS8W59?psc=1" TargetMode="External"/><Relationship Id="rId72" Type="http://schemas.openxmlformats.org/officeDocument/2006/relationships/hyperlink" Target="https://www.amazon.com/dp/B08NSS8W59" TargetMode="External"/><Relationship Id="rId71" Type="http://schemas.openxmlformats.org/officeDocument/2006/relationships/hyperlink" Target="https://www.amazon.com/dp/B0CFHLCPZP" TargetMode="External"/><Relationship Id="rId70" Type="http://schemas.openxmlformats.org/officeDocument/2006/relationships/hyperlink" Target="https://m.media-amazon.com/images/I/31VR5yhwLWL._AC_SR600,600_.jpg" TargetMode="External"/><Relationship Id="rId7" Type="http://schemas.openxmlformats.org/officeDocument/2006/relationships/hyperlink" Target="https://www.amazon.com/gp/bestsellers/fashion" TargetMode="External"/><Relationship Id="rId69" Type="http://schemas.openxmlformats.org/officeDocument/2006/relationships/hyperlink" Target="https://www.amazon.com/dp/B0CCNBQ941?psc=1" TargetMode="External"/><Relationship Id="rId68" Type="http://schemas.openxmlformats.org/officeDocument/2006/relationships/hyperlink" Target="https://www.amazon.com/dp/B0CCNBQ941" TargetMode="External"/><Relationship Id="rId67" Type="http://schemas.openxmlformats.org/officeDocument/2006/relationships/hyperlink" Target="https://www.amazon.com/dp/B0DDY46FDW" TargetMode="External"/><Relationship Id="rId66" Type="http://schemas.openxmlformats.org/officeDocument/2006/relationships/hyperlink" Target="https://images-na.ssl-images-amazon.com/images/I/81-LRcOfIdL._AC_US600_.jpg" TargetMode="External"/><Relationship Id="rId65" Type="http://schemas.openxmlformats.org/officeDocument/2006/relationships/hyperlink" Target="https://www.amazon.com/dp/B0CWH3G4KM?psc=1" TargetMode="External"/><Relationship Id="rId64" Type="http://schemas.openxmlformats.org/officeDocument/2006/relationships/hyperlink" Target="https://www.amazon.com/dp/B0CWH3G4KM" TargetMode="External"/><Relationship Id="rId63" Type="http://schemas.openxmlformats.org/officeDocument/2006/relationships/hyperlink" Target="https://www.amazon.com/dp/B0DDXBS2QW" TargetMode="External"/><Relationship Id="rId62" Type="http://schemas.openxmlformats.org/officeDocument/2006/relationships/hyperlink" Target="https://m.media-amazon.com/images/I/51+XBxbNteL._AC_SR600,600_.jpg" TargetMode="External"/><Relationship Id="rId61" Type="http://schemas.openxmlformats.org/officeDocument/2006/relationships/hyperlink" Target="https://www.amazon.com/dp/B09NKT42GZ?psc=1" TargetMode="External"/><Relationship Id="rId60" Type="http://schemas.openxmlformats.org/officeDocument/2006/relationships/hyperlink" Target="https://www.amazon.com/dp/B09NKT42GZ" TargetMode="External"/><Relationship Id="rId6" Type="http://schemas.openxmlformats.org/officeDocument/2006/relationships/hyperlink" Target="https://www.amazon.com/b?node=121177981011" TargetMode="External"/><Relationship Id="rId59" Type="http://schemas.openxmlformats.org/officeDocument/2006/relationships/hyperlink" Target="https://www.amazon.com/dp/B0DG4RNXZ9" TargetMode="External"/><Relationship Id="rId58" Type="http://schemas.openxmlformats.org/officeDocument/2006/relationships/hyperlink" Target="https://m.media-amazon.com/images/I/31WAM-CqWrL._AC_SR600,600_.jpg" TargetMode="External"/><Relationship Id="rId57" Type="http://schemas.openxmlformats.org/officeDocument/2006/relationships/hyperlink" Target="https://www.amazon.com/dp/B0DG4R7YNZ?psc=1" TargetMode="External"/><Relationship Id="rId56" Type="http://schemas.openxmlformats.org/officeDocument/2006/relationships/hyperlink" Target="https://www.amazon.com/dp/B0DG4R7YNZ" TargetMode="External"/><Relationship Id="rId55" Type="http://schemas.openxmlformats.org/officeDocument/2006/relationships/hyperlink" Target="https://www.amazon.com/gp/help/seller/at-a-glance.html/ref=dp_merchant_link?seller=A60375D51PSXW" TargetMode="External"/><Relationship Id="rId54" Type="http://schemas.openxmlformats.org/officeDocument/2006/relationships/hyperlink" Target="https://www.amazon.com/dp/B0BS3HCFMQ" TargetMode="External"/><Relationship Id="rId53" Type="http://schemas.openxmlformats.org/officeDocument/2006/relationships/hyperlink" Target="https://m.media-amazon.com/images/I/41Vu5yyOdxL._AC_SR600,600_.jpg" TargetMode="External"/><Relationship Id="rId52" Type="http://schemas.openxmlformats.org/officeDocument/2006/relationships/hyperlink" Target="https://www.amazon.com/dp/B0C2H34MHG?psc=1" TargetMode="External"/><Relationship Id="rId51" Type="http://schemas.openxmlformats.org/officeDocument/2006/relationships/hyperlink" Target="https://www.amazon.com/stores/VATPAVE/page/56E298D3-4201-4761-9CD6-F70F67AB957B?ref_=ast_bln&amp;store_ref=bl_ast_dp_brandLogo_sto" TargetMode="External"/><Relationship Id="rId50" Type="http://schemas.openxmlformats.org/officeDocument/2006/relationships/hyperlink" Target="https://www.amazon.com/dp/B0C2H34MHG" TargetMode="External"/><Relationship Id="rId5" Type="http://schemas.openxmlformats.org/officeDocument/2006/relationships/hyperlink" Target="https://www.amazon.com/dp/B0DLMJLFX1" TargetMode="External"/><Relationship Id="rId49" Type="http://schemas.openxmlformats.org/officeDocument/2006/relationships/hyperlink" Target="https://www.amazon.com/dp/B0DDXHVRV5" TargetMode="External"/><Relationship Id="rId48" Type="http://schemas.openxmlformats.org/officeDocument/2006/relationships/hyperlink" Target="https://m.media-amazon.com/images/I/41CWJ9EnmDL._AC_SR600,600_.jpg" TargetMode="External"/><Relationship Id="rId47" Type="http://schemas.openxmlformats.org/officeDocument/2006/relationships/hyperlink" Target="https://www.amazon.com/dp/B0CJXX6KQP?psc=1" TargetMode="External"/><Relationship Id="rId46" Type="http://schemas.openxmlformats.org/officeDocument/2006/relationships/hyperlink" Target="https://www.amazon.com/dp/B0CJXX6KQP" TargetMode="External"/><Relationship Id="rId45" Type="http://schemas.openxmlformats.org/officeDocument/2006/relationships/hyperlink" Target="https://www.amazon.com/gp/help/seller/at-a-glance.html/ref=dp_merchant_link?seller=A2FHNONIQMDEMP" TargetMode="External"/><Relationship Id="rId446" Type="http://schemas.openxmlformats.org/officeDocument/2006/relationships/hyperlink" Target="https://www.amazon.com/dp/B0CF2FP99V?psc=1" TargetMode="External"/><Relationship Id="rId445" Type="http://schemas.openxmlformats.org/officeDocument/2006/relationships/hyperlink" Target="https://m.media-amazon.com/images/I/41VDYKrzX5L._AC_SR600,600_.jpg" TargetMode="External"/><Relationship Id="rId444" Type="http://schemas.openxmlformats.org/officeDocument/2006/relationships/hyperlink" Target="https://www.amazon.com/dp/B0D62MJMF9?psc=1" TargetMode="External"/><Relationship Id="rId443" Type="http://schemas.openxmlformats.org/officeDocument/2006/relationships/hyperlink" Target="https://www.amazon.com/dp/B0D62MJMF9" TargetMode="External"/><Relationship Id="rId442" Type="http://schemas.openxmlformats.org/officeDocument/2006/relationships/hyperlink" Target="https://www.amazon.com/dp/B0DF6WJDH4" TargetMode="External"/><Relationship Id="rId441" Type="http://schemas.openxmlformats.org/officeDocument/2006/relationships/hyperlink" Target="https://m.media-amazon.com/images/I/41hiC5ZKXHL._AC_SR600,600_.jpg" TargetMode="External"/><Relationship Id="rId440" Type="http://schemas.openxmlformats.org/officeDocument/2006/relationships/hyperlink" Target="https://www.amazon.com/dp/B0CB69ZYXP?psc=1" TargetMode="External"/><Relationship Id="rId44" Type="http://schemas.openxmlformats.org/officeDocument/2006/relationships/hyperlink" Target="https://www.amazon.com/dp/B0CPFFH4PZ" TargetMode="External"/><Relationship Id="rId439" Type="http://schemas.openxmlformats.org/officeDocument/2006/relationships/hyperlink" Target="https://www.amazon.com/dp/B0CB69ZYXP" TargetMode="External"/><Relationship Id="rId438" Type="http://schemas.openxmlformats.org/officeDocument/2006/relationships/hyperlink" Target="https://www.amazon.com/dp/B0CSW3VS44" TargetMode="External"/><Relationship Id="rId437" Type="http://schemas.openxmlformats.org/officeDocument/2006/relationships/hyperlink" Target="https://m.media-amazon.com/images/I/41rmsuha4PL._AC_SR600,600_.jpg" TargetMode="External"/><Relationship Id="rId436" Type="http://schemas.openxmlformats.org/officeDocument/2006/relationships/hyperlink" Target="https://www.amazon.com/dp/B0CSVVRN4M?psc=1" TargetMode="External"/><Relationship Id="rId435" Type="http://schemas.openxmlformats.org/officeDocument/2006/relationships/hyperlink" Target="https://www.amazon.com/dp/B0CSVVRN4M" TargetMode="External"/><Relationship Id="rId434" Type="http://schemas.openxmlformats.org/officeDocument/2006/relationships/hyperlink" Target="https://www.amazon.com/gp/help/seller/at-a-glance.html/ref=dp_merchant_link?seller=AIH806NDO4OC3" TargetMode="External"/><Relationship Id="rId433" Type="http://schemas.openxmlformats.org/officeDocument/2006/relationships/hyperlink" Target="https://www.amazon.com/dp/B0DDX6X5F9" TargetMode="External"/><Relationship Id="rId432" Type="http://schemas.openxmlformats.org/officeDocument/2006/relationships/hyperlink" Target="https://m.media-amazon.com/images/I/51o74Zp68xL._AC_SR600,600_.jpg" TargetMode="External"/><Relationship Id="rId431" Type="http://schemas.openxmlformats.org/officeDocument/2006/relationships/hyperlink" Target="https://www.amazon.com/dp/B09LVHW341?psc=1" TargetMode="External"/><Relationship Id="rId430" Type="http://schemas.openxmlformats.org/officeDocument/2006/relationships/hyperlink" Target="https://www.amazon.com/dp/B09LVHW341" TargetMode="External"/><Relationship Id="rId43" Type="http://schemas.openxmlformats.org/officeDocument/2006/relationships/hyperlink" Target="https://m.media-amazon.com/images/I/31w0zNPpAKL._AC_SR600,600_.jpg" TargetMode="External"/><Relationship Id="rId429" Type="http://schemas.openxmlformats.org/officeDocument/2006/relationships/hyperlink" Target="https://www.amazon.com/dp/B0CY1T1S6R" TargetMode="External"/><Relationship Id="rId428" Type="http://schemas.openxmlformats.org/officeDocument/2006/relationships/hyperlink" Target="https://m.media-amazon.com/images/I/51cabfxEIUL._AC_SR600,600_.jpg" TargetMode="External"/><Relationship Id="rId427" Type="http://schemas.openxmlformats.org/officeDocument/2006/relationships/hyperlink" Target="https://www.amazon.com/dp/B0CY1JC7HN?psc=1" TargetMode="External"/><Relationship Id="rId426" Type="http://schemas.openxmlformats.org/officeDocument/2006/relationships/hyperlink" Target="https://www.amazon.com/dp/B0CY1JC7HN" TargetMode="External"/><Relationship Id="rId425" Type="http://schemas.openxmlformats.org/officeDocument/2006/relationships/hyperlink" Target="https://www.amazon.com/dp/B0CPSRR382" TargetMode="External"/><Relationship Id="rId424" Type="http://schemas.openxmlformats.org/officeDocument/2006/relationships/hyperlink" Target="https://images-na.ssl-images-amazon.com/images/I/71B4LQjxh6L._AC_US600_.jpg" TargetMode="External"/><Relationship Id="rId423" Type="http://schemas.openxmlformats.org/officeDocument/2006/relationships/hyperlink" Target="https://www.amazon.com/dp/B0CRKDZJHW?psc=1" TargetMode="External"/><Relationship Id="rId422" Type="http://schemas.openxmlformats.org/officeDocument/2006/relationships/hyperlink" Target="https://www.amazon.com/stores/PARKLEES/page/A67ABD9D-D373-4ADA-BE0B-4974553BBA93?ref_=ast_bln&amp;store_ref=bl_ast_dp_brandLogo_sto" TargetMode="External"/><Relationship Id="rId421" Type="http://schemas.openxmlformats.org/officeDocument/2006/relationships/hyperlink" Target="https://www.amazon.com/dp/B0CRKDZJHW" TargetMode="External"/><Relationship Id="rId420" Type="http://schemas.openxmlformats.org/officeDocument/2006/relationships/hyperlink" Target="https://www.amazon.com/dp/B0D7CFC6WV" TargetMode="External"/><Relationship Id="rId42" Type="http://schemas.openxmlformats.org/officeDocument/2006/relationships/hyperlink" Target="https://www.amazon.com/dp/B0C3D5HR1L?psc=1" TargetMode="External"/><Relationship Id="rId419" Type="http://schemas.openxmlformats.org/officeDocument/2006/relationships/hyperlink" Target="https://m.media-amazon.com/images/I/41GPLWjUzmL._AC_SR600,600_.jpg" TargetMode="External"/><Relationship Id="rId418" Type="http://schemas.openxmlformats.org/officeDocument/2006/relationships/hyperlink" Target="https://www.amazon.com/dp/B0D7CH5PLK?psc=1" TargetMode="External"/><Relationship Id="rId417" Type="http://schemas.openxmlformats.org/officeDocument/2006/relationships/hyperlink" Target="https://www.amazon.com/dp/B0D7CH5PLK" TargetMode="External"/><Relationship Id="rId416" Type="http://schemas.openxmlformats.org/officeDocument/2006/relationships/hyperlink" Target="https://www.amazon.com/dp/B09Q8DLBCN" TargetMode="External"/><Relationship Id="rId415" Type="http://schemas.openxmlformats.org/officeDocument/2006/relationships/hyperlink" Target="https://m.media-amazon.com/images/I/41zVYIlJQdL._AC_SR600,600_.jpg" TargetMode="External"/><Relationship Id="rId414" Type="http://schemas.openxmlformats.org/officeDocument/2006/relationships/hyperlink" Target="https://www.amazon.com/dp/B07SR1JQHR?psc=1" TargetMode="External"/><Relationship Id="rId413" Type="http://schemas.openxmlformats.org/officeDocument/2006/relationships/hyperlink" Target="https://www.amazon.com/dp/B07SR1JQHR" TargetMode="External"/><Relationship Id="rId412" Type="http://schemas.openxmlformats.org/officeDocument/2006/relationships/hyperlink" Target="https://www.amazon.com/b?node=14291771" TargetMode="External"/><Relationship Id="rId411" Type="http://schemas.openxmlformats.org/officeDocument/2006/relationships/hyperlink" Target="https://www.amazon.com/dp/B0DDXNDHZ3" TargetMode="External"/><Relationship Id="rId410" Type="http://schemas.openxmlformats.org/officeDocument/2006/relationships/hyperlink" Target="https://m.media-amazon.com/images/I/316DlaX44KL._AC_SR600,600_.jpg" TargetMode="External"/><Relationship Id="rId41" Type="http://schemas.openxmlformats.org/officeDocument/2006/relationships/hyperlink" Target="https://www.amazon.com/stores/JVER/page/1F221D12-BDFC-4E35-B552-19E6740F1D2A?ref_=ast_bln&amp;store_ref=bl_ast_dp_brandLogo_sto" TargetMode="External"/><Relationship Id="rId409" Type="http://schemas.openxmlformats.org/officeDocument/2006/relationships/hyperlink" Target="https://www.amazon.com/dp/B0BHYHYRSR?psc=1" TargetMode="External"/><Relationship Id="rId408" Type="http://schemas.openxmlformats.org/officeDocument/2006/relationships/hyperlink" Target="https://www.amazon.com/dp/B0BHYHYRSR" TargetMode="External"/><Relationship Id="rId407" Type="http://schemas.openxmlformats.org/officeDocument/2006/relationships/hyperlink" Target="https://www.amazon.com/dp/B0DDY5F24D" TargetMode="External"/><Relationship Id="rId406" Type="http://schemas.openxmlformats.org/officeDocument/2006/relationships/hyperlink" Target="https://images-na.ssl-images-amazon.com/images/I/81TUXJr+DGL._AC_US600_.jpg" TargetMode="External"/><Relationship Id="rId405" Type="http://schemas.openxmlformats.org/officeDocument/2006/relationships/hyperlink" Target="https://www.amazon.com/dp/B0D5B5BFD3?psc=1" TargetMode="External"/><Relationship Id="rId404" Type="http://schemas.openxmlformats.org/officeDocument/2006/relationships/hyperlink" Target="https://www.amazon.com/dp/B0D5B5BFD3" TargetMode="External"/><Relationship Id="rId403" Type="http://schemas.openxmlformats.org/officeDocument/2006/relationships/hyperlink" Target="https://www.amazon.com/dp/B0CF63NYFD" TargetMode="External"/><Relationship Id="rId402" Type="http://schemas.openxmlformats.org/officeDocument/2006/relationships/hyperlink" Target="https://images-na.ssl-images-amazon.com/images/I/81SBBZDVMjL._AC_US600_.jpg" TargetMode="External"/><Relationship Id="rId401" Type="http://schemas.openxmlformats.org/officeDocument/2006/relationships/hyperlink" Target="https://www.amazon.com/dp/B0CF61W5QD?psc=1" TargetMode="External"/><Relationship Id="rId400" Type="http://schemas.openxmlformats.org/officeDocument/2006/relationships/hyperlink" Target="https://www.amazon.com/dp/B0CF61W5QD" TargetMode="External"/><Relationship Id="rId40" Type="http://schemas.openxmlformats.org/officeDocument/2006/relationships/hyperlink" Target="https://www.amazon.com/dp/B0C3D5HR1L" TargetMode="External"/><Relationship Id="rId4" Type="http://schemas.openxmlformats.org/officeDocument/2006/relationships/hyperlink" Target="https://m.media-amazon.com/images/I/41DfYfxKANL._AC_SR600,600_.jpg" TargetMode="External"/><Relationship Id="rId399" Type="http://schemas.openxmlformats.org/officeDocument/2006/relationships/hyperlink" Target="https://www.amazon.com/dp/B0DDXZJH1D" TargetMode="External"/><Relationship Id="rId398" Type="http://schemas.openxmlformats.org/officeDocument/2006/relationships/hyperlink" Target="https://m.media-amazon.com/images/I/41wUmulb8QL._AC_SR600,600_.jpg" TargetMode="External"/><Relationship Id="rId397" Type="http://schemas.openxmlformats.org/officeDocument/2006/relationships/hyperlink" Target="https://www.amazon.com/dp/B0CN6BZRTJ?psc=1" TargetMode="External"/><Relationship Id="rId396" Type="http://schemas.openxmlformats.org/officeDocument/2006/relationships/hyperlink" Target="https://www.amazon.com/dp/B0CN6BZRTJ" TargetMode="External"/><Relationship Id="rId395" Type="http://schemas.openxmlformats.org/officeDocument/2006/relationships/hyperlink" Target="https://www.amazon.com/gp/help/seller/at-a-glance.html/ref=dp_merchant_link?seller=A2WTH0OD6K37NE" TargetMode="External"/><Relationship Id="rId394" Type="http://schemas.openxmlformats.org/officeDocument/2006/relationships/hyperlink" Target="https://www.amazon.com/dp/B0CNTHY8TR" TargetMode="External"/><Relationship Id="rId393" Type="http://schemas.openxmlformats.org/officeDocument/2006/relationships/hyperlink" Target="https://images-na.ssl-images-amazon.com/images/I/71+05TIQAAL._AC_US600_.jpg" TargetMode="External"/><Relationship Id="rId392" Type="http://schemas.openxmlformats.org/officeDocument/2006/relationships/hyperlink" Target="https://www.amazon.com/dp/B0CNTG7HQC?psc=1" TargetMode="External"/><Relationship Id="rId391" Type="http://schemas.openxmlformats.org/officeDocument/2006/relationships/hyperlink" Target="https://www.amazon.com/dp/B0CNTG7HQC" TargetMode="External"/><Relationship Id="rId390" Type="http://schemas.openxmlformats.org/officeDocument/2006/relationships/hyperlink" Target="https://www.amazon.com/gp/help/seller/at-a-glance.html/ref=dp_merchant_link?seller=A2NVOM2M0D0QPW" TargetMode="External"/><Relationship Id="rId39" Type="http://schemas.openxmlformats.org/officeDocument/2006/relationships/hyperlink" Target="https://www.amazon.com/dp/B0D258ZKSG?psc=1" TargetMode="External"/><Relationship Id="rId389" Type="http://schemas.openxmlformats.org/officeDocument/2006/relationships/hyperlink" Target="https://www.amazon.com/dp/B0CVXCB4P9" TargetMode="External"/><Relationship Id="rId388" Type="http://schemas.openxmlformats.org/officeDocument/2006/relationships/hyperlink" Target="https://m.media-amazon.com/images/I/41r3ZlIOFIL._AC_SR600,600_.jpg" TargetMode="External"/><Relationship Id="rId387" Type="http://schemas.openxmlformats.org/officeDocument/2006/relationships/hyperlink" Target="https://www.amazon.com/dp/B0CVXF4XSS?psc=1" TargetMode="External"/><Relationship Id="rId386" Type="http://schemas.openxmlformats.org/officeDocument/2006/relationships/hyperlink" Target="https://www.amazon.com/stores/Angbater/page/FE42154C-BCB2-4A07-BFEC-92EEB5BCC767?ref_=ast_bln&amp;store_ref=bl_ast_dp_brandLogo_sto" TargetMode="External"/><Relationship Id="rId385" Type="http://schemas.openxmlformats.org/officeDocument/2006/relationships/hyperlink" Target="https://www.amazon.com/dp/B0CVXF4XSS" TargetMode="External"/><Relationship Id="rId384" Type="http://schemas.openxmlformats.org/officeDocument/2006/relationships/hyperlink" Target="https://www.amazon.com/dp/B0CQSNH7TC" TargetMode="External"/><Relationship Id="rId383" Type="http://schemas.openxmlformats.org/officeDocument/2006/relationships/hyperlink" Target="https://images-na.ssl-images-amazon.com/images/I/81Rg0P7ouNL._AC_US600_.jpg" TargetMode="External"/><Relationship Id="rId382" Type="http://schemas.openxmlformats.org/officeDocument/2006/relationships/hyperlink" Target="https://www.amazon.com/dp/B0CQSXD6JB?psc=1" TargetMode="External"/><Relationship Id="rId381" Type="http://schemas.openxmlformats.org/officeDocument/2006/relationships/hyperlink" Target="https://www.amazon.com/dp/B0CQSXD6JB" TargetMode="External"/><Relationship Id="rId380" Type="http://schemas.openxmlformats.org/officeDocument/2006/relationships/hyperlink" Target="https://www.amazon.com/dp/B0DDY29GQR" TargetMode="External"/><Relationship Id="rId38" Type="http://schemas.openxmlformats.org/officeDocument/2006/relationships/hyperlink" Target="https://www.amazon.com/dp/B0D258ZKSG" TargetMode="External"/><Relationship Id="rId379" Type="http://schemas.openxmlformats.org/officeDocument/2006/relationships/hyperlink" Target="https://m.media-amazon.com/images/I/41DYSjNvHcL._AC_SR600,600_.jpg" TargetMode="External"/><Relationship Id="rId378" Type="http://schemas.openxmlformats.org/officeDocument/2006/relationships/hyperlink" Target="https://www.amazon.com/dp/B0CJ4J12B4?psc=1" TargetMode="External"/><Relationship Id="rId377" Type="http://schemas.openxmlformats.org/officeDocument/2006/relationships/hyperlink" Target="https://www.amazon.com/dp/B0CJ4J12B4" TargetMode="External"/><Relationship Id="rId376" Type="http://schemas.openxmlformats.org/officeDocument/2006/relationships/hyperlink" Target="https://images-na.ssl-images-amazon.com/images/I/71NR6SBkxZL._AC_US600_.jpg" TargetMode="External"/><Relationship Id="rId375" Type="http://schemas.openxmlformats.org/officeDocument/2006/relationships/hyperlink" Target="https://www.amazon.com/dp/B0C2H3D3T2?psc=1" TargetMode="External"/><Relationship Id="rId374" Type="http://schemas.openxmlformats.org/officeDocument/2006/relationships/hyperlink" Target="https://www.amazon.com/dp/B0C2H3D3T2" TargetMode="External"/><Relationship Id="rId373" Type="http://schemas.openxmlformats.org/officeDocument/2006/relationships/hyperlink" Target="https://www.amazon.com/dp/B0CGLWVKWW" TargetMode="External"/><Relationship Id="rId372" Type="http://schemas.openxmlformats.org/officeDocument/2006/relationships/hyperlink" Target="https://m.media-amazon.com/images/I/41Io2LFenEL._AC_SR600,600_.jpg" TargetMode="External"/><Relationship Id="rId371" Type="http://schemas.openxmlformats.org/officeDocument/2006/relationships/hyperlink" Target="https://www.amazon.com/dp/B0CF2FP99V" TargetMode="External"/><Relationship Id="rId370" Type="http://schemas.openxmlformats.org/officeDocument/2006/relationships/hyperlink" Target="https://www.amazon.com/gp/help/seller/at-a-glance.html/ref=dp_merchant_link?seller=AOPBOX3ZIES5D" TargetMode="External"/><Relationship Id="rId37" Type="http://schemas.openxmlformats.org/officeDocument/2006/relationships/hyperlink" Target="https://www.amazon.com/gp/help/seller/at-a-glance.html/ref=dp_merchant_link?seller=A2AVZ8BR4BUE4K" TargetMode="External"/><Relationship Id="rId369" Type="http://schemas.openxmlformats.org/officeDocument/2006/relationships/hyperlink" Target="https://www.amazon.com/dp/B0CT4V98J3" TargetMode="External"/><Relationship Id="rId368" Type="http://schemas.openxmlformats.org/officeDocument/2006/relationships/hyperlink" Target="https://m.media-amazon.com/images/I/41joe3lxSML._AC_SR600,600_.jpg" TargetMode="External"/><Relationship Id="rId367" Type="http://schemas.openxmlformats.org/officeDocument/2006/relationships/hyperlink" Target="https://www.amazon.com/dp/B0C3QYF1H1?psc=1" TargetMode="External"/><Relationship Id="rId366" Type="http://schemas.openxmlformats.org/officeDocument/2006/relationships/hyperlink" Target="https://www.amazon.com/stores/QIVICIMA/page/086B1491-0799-4AD5-9491-A92181BF0500?ref_=ast_bln&amp;store_ref=bl_ast_dp_brandLogo_sto" TargetMode="External"/><Relationship Id="rId365" Type="http://schemas.openxmlformats.org/officeDocument/2006/relationships/hyperlink" Target="https://www.amazon.com/dp/B0C3QYF1H1" TargetMode="External"/><Relationship Id="rId364" Type="http://schemas.openxmlformats.org/officeDocument/2006/relationships/hyperlink" Target="https://www.amazon.com/gp/help/seller/at-a-glance.html/ref=dp_merchant_link?seller=A1QSJE4DM3M7B9" TargetMode="External"/><Relationship Id="rId363" Type="http://schemas.openxmlformats.org/officeDocument/2006/relationships/hyperlink" Target="https://www.amazon.com/dp/B0CRVB2GXN" TargetMode="External"/><Relationship Id="rId362" Type="http://schemas.openxmlformats.org/officeDocument/2006/relationships/hyperlink" Target="https://images-na.ssl-images-amazon.com/images/I/71JXbRnIiCL._AC_US600_.jpg" TargetMode="External"/><Relationship Id="rId361" Type="http://schemas.openxmlformats.org/officeDocument/2006/relationships/hyperlink" Target="https://www.amazon.com/dp/B0CRVHBJ5Q?psc=1" TargetMode="External"/><Relationship Id="rId360" Type="http://schemas.openxmlformats.org/officeDocument/2006/relationships/hyperlink" Target="https://www.amazon.com/stores/Comdecevis/page/6FEF7C2C-9AEE-48E0-9713-B045D5B416AC?ref_=ast_bln" TargetMode="External"/><Relationship Id="rId36" Type="http://schemas.openxmlformats.org/officeDocument/2006/relationships/hyperlink" Target="https://www.amazon.com/dp/B086DBVT3F" TargetMode="External"/><Relationship Id="rId359" Type="http://schemas.openxmlformats.org/officeDocument/2006/relationships/hyperlink" Target="https://www.amazon.com/dp/B0CRVHBJ5Q" TargetMode="External"/><Relationship Id="rId358" Type="http://schemas.openxmlformats.org/officeDocument/2006/relationships/hyperlink" Target="https://www.amazon.com/gp/help/seller/at-a-glance.html/ref=dp_merchant_link?seller=A2JCPOXU2IIWWC" TargetMode="External"/><Relationship Id="rId357" Type="http://schemas.openxmlformats.org/officeDocument/2006/relationships/hyperlink" Target="https://www.amazon.com/dp/B0D39KG7HT" TargetMode="External"/><Relationship Id="rId356" Type="http://schemas.openxmlformats.org/officeDocument/2006/relationships/hyperlink" Target="https://m.media-amazon.com/images/I/41qw7yJXAzL._AC_SR600,600_.jpg" TargetMode="External"/><Relationship Id="rId355" Type="http://schemas.openxmlformats.org/officeDocument/2006/relationships/hyperlink" Target="https://www.amazon.com/dp/B0D38NPVY3?psc=1" TargetMode="External"/><Relationship Id="rId354" Type="http://schemas.openxmlformats.org/officeDocument/2006/relationships/hyperlink" Target="https://www.amazon.com/stores/BANZHUKE/page/91035940-E5C2-4C08-AFBC-9DB86220D933?ref_=ast_bln" TargetMode="External"/><Relationship Id="rId353" Type="http://schemas.openxmlformats.org/officeDocument/2006/relationships/hyperlink" Target="https://www.amazon.com/dp/B0D38NPVY3" TargetMode="External"/><Relationship Id="rId352" Type="http://schemas.openxmlformats.org/officeDocument/2006/relationships/hyperlink" Target="https://www.amazon.com/dp/B0C3MJXCLP" TargetMode="External"/><Relationship Id="rId351" Type="http://schemas.openxmlformats.org/officeDocument/2006/relationships/hyperlink" Target="https://m.media-amazon.com/images/I/51ouqIzR8lL._AC_SR600,600_.jpg" TargetMode="External"/><Relationship Id="rId350" Type="http://schemas.openxmlformats.org/officeDocument/2006/relationships/hyperlink" Target="https://www.amazon.com/dp/B0C3MD5TT7?psc=1" TargetMode="External"/><Relationship Id="rId35" Type="http://schemas.openxmlformats.org/officeDocument/2006/relationships/hyperlink" Target="https://images-na.ssl-images-amazon.com/images/I/41mx6DgY3AL._AC_US600_.jpg" TargetMode="External"/><Relationship Id="rId349" Type="http://schemas.openxmlformats.org/officeDocument/2006/relationships/hyperlink" Target="https://www.amazon.com/dp/B0C3MD5TT7" TargetMode="External"/><Relationship Id="rId348" Type="http://schemas.openxmlformats.org/officeDocument/2006/relationships/hyperlink" Target="https://www.amazon.com/dp/B0CCNDN7K8?psc=1" TargetMode="External"/><Relationship Id="rId347" Type="http://schemas.openxmlformats.org/officeDocument/2006/relationships/hyperlink" Target="https://www.amazon.com/dp/B0CCNDN7K8" TargetMode="External"/><Relationship Id="rId346" Type="http://schemas.openxmlformats.org/officeDocument/2006/relationships/hyperlink" Target="https://www.amazon.com/dp/B0DF2B3F6Y" TargetMode="External"/><Relationship Id="rId345" Type="http://schemas.openxmlformats.org/officeDocument/2006/relationships/hyperlink" Target="https://images-na.ssl-images-amazon.com/images/I/71kx5P0Pi7L._AC_US600_.jpg" TargetMode="External"/><Relationship Id="rId344" Type="http://schemas.openxmlformats.org/officeDocument/2006/relationships/hyperlink" Target="https://www.amazon.com/dp/B0D62NJT7S?psc=1" TargetMode="External"/><Relationship Id="rId343" Type="http://schemas.openxmlformats.org/officeDocument/2006/relationships/hyperlink" Target="https://www.amazon.com/dp/B0D62NJT7S" TargetMode="External"/><Relationship Id="rId342" Type="http://schemas.openxmlformats.org/officeDocument/2006/relationships/hyperlink" Target="https://www.amazon.com/dp/B0DDX9BR48" TargetMode="External"/><Relationship Id="rId341" Type="http://schemas.openxmlformats.org/officeDocument/2006/relationships/hyperlink" Target="https://m.media-amazon.com/images/I/41G+eJ20AZL._AC_SR600,600_.jpg" TargetMode="External"/><Relationship Id="rId340" Type="http://schemas.openxmlformats.org/officeDocument/2006/relationships/hyperlink" Target="https://www.amazon.com/dp/B0D3F1XHB4?psc=1" TargetMode="External"/><Relationship Id="rId34" Type="http://schemas.openxmlformats.org/officeDocument/2006/relationships/hyperlink" Target="https://www.amazon.com/dp/B086D42D51?psc=1" TargetMode="External"/><Relationship Id="rId339" Type="http://schemas.openxmlformats.org/officeDocument/2006/relationships/hyperlink" Target="https://www.amazon.com/dp/B0D3F1XHB4" TargetMode="External"/><Relationship Id="rId338" Type="http://schemas.openxmlformats.org/officeDocument/2006/relationships/hyperlink" Target="https://www.amazon.com/dp/B0CLS6J38Y" TargetMode="External"/><Relationship Id="rId337" Type="http://schemas.openxmlformats.org/officeDocument/2006/relationships/hyperlink" Target="https://images-na.ssl-images-amazon.com/images/I/61vbTcrRU8L._AC_US600_.jpg" TargetMode="External"/><Relationship Id="rId336" Type="http://schemas.openxmlformats.org/officeDocument/2006/relationships/hyperlink" Target="https://www.amazon.com/dp/B0B6D1S1NQ?psc=1" TargetMode="External"/><Relationship Id="rId335" Type="http://schemas.openxmlformats.org/officeDocument/2006/relationships/hyperlink" Target="https://www.amazon.com/stores/GAP/page/24BB2C96-D999-4A3D-A127-9B0AF9691CBF?ref_=ast_bln" TargetMode="External"/><Relationship Id="rId334" Type="http://schemas.openxmlformats.org/officeDocument/2006/relationships/hyperlink" Target="https://www.amazon.com/dp/B0B6D1S1NQ" TargetMode="External"/><Relationship Id="rId333" Type="http://schemas.openxmlformats.org/officeDocument/2006/relationships/hyperlink" Target="https://www.amazon.com/dp/B0DDY3LSBR" TargetMode="External"/><Relationship Id="rId332" Type="http://schemas.openxmlformats.org/officeDocument/2006/relationships/hyperlink" Target="https://images-na.ssl-images-amazon.com/images/I/71dpVLz+dBL._AC_US600_.jpg" TargetMode="External"/><Relationship Id="rId331" Type="http://schemas.openxmlformats.org/officeDocument/2006/relationships/hyperlink" Target="https://www.amazon.com/dp/B09M3LVM9S?psc=1" TargetMode="External"/><Relationship Id="rId330" Type="http://schemas.openxmlformats.org/officeDocument/2006/relationships/hyperlink" Target="https://www.amazon.com/dp/B09M3LVM9S" TargetMode="External"/><Relationship Id="rId33" Type="http://schemas.openxmlformats.org/officeDocument/2006/relationships/hyperlink" Target="https://www.amazon.com/stores/JEKAOYI/page/1CC599FA-46DE-4AFB-BDE0-033956DE325E?ref_=ast_bln&amp;store_ref=bl_ast_dp_brandLogo_sto" TargetMode="External"/><Relationship Id="rId329" Type="http://schemas.openxmlformats.org/officeDocument/2006/relationships/hyperlink" Target="https://www.amazon.com/dp/B0D4QSQT87" TargetMode="External"/><Relationship Id="rId328" Type="http://schemas.openxmlformats.org/officeDocument/2006/relationships/hyperlink" Target="https://images-na.ssl-images-amazon.com/images/I/61YZngpzt5L._AC_US600_.jpg" TargetMode="External"/><Relationship Id="rId327" Type="http://schemas.openxmlformats.org/officeDocument/2006/relationships/hyperlink" Target="https://www.amazon.com/dp/B0C6LXC4H1?psc=1" TargetMode="External"/><Relationship Id="rId326" Type="http://schemas.openxmlformats.org/officeDocument/2006/relationships/hyperlink" Target="https://www.amazon.com/dp/B0C6LXC4H1" TargetMode="External"/><Relationship Id="rId325" Type="http://schemas.openxmlformats.org/officeDocument/2006/relationships/hyperlink" Target="https://images-na.ssl-images-amazon.com/images/I/71lgA5q7QQL._AC_US600_.jpg" TargetMode="External"/><Relationship Id="rId324" Type="http://schemas.openxmlformats.org/officeDocument/2006/relationships/hyperlink" Target="https://www.amazon.com/dp/B0C4FMK4HY?psc=1" TargetMode="External"/><Relationship Id="rId323" Type="http://schemas.openxmlformats.org/officeDocument/2006/relationships/hyperlink" Target="https://www.amazon.com/dp/B0C4FMK4HY" TargetMode="External"/><Relationship Id="rId322" Type="http://schemas.openxmlformats.org/officeDocument/2006/relationships/hyperlink" Target="https://m.media-amazon.com/images/I/41r-ckXLZlL._AC_SR600,600_.jpg" TargetMode="External"/><Relationship Id="rId321" Type="http://schemas.openxmlformats.org/officeDocument/2006/relationships/hyperlink" Target="https://www.amazon.com/dp/B0BY956X2M?psc=1" TargetMode="External"/><Relationship Id="rId320" Type="http://schemas.openxmlformats.org/officeDocument/2006/relationships/hyperlink" Target="https://www.amazon.com/dp/B0BY956X2M" TargetMode="External"/><Relationship Id="rId32" Type="http://schemas.openxmlformats.org/officeDocument/2006/relationships/hyperlink" Target="https://www.amazon.com/dp/B086D42D51" TargetMode="External"/><Relationship Id="rId319" Type="http://schemas.openxmlformats.org/officeDocument/2006/relationships/hyperlink" Target="https://m.media-amazon.com/images/I/41vfEGAKQCL._AC_SR600,600_.jpg" TargetMode="External"/><Relationship Id="rId318" Type="http://schemas.openxmlformats.org/officeDocument/2006/relationships/hyperlink" Target="https://www.amazon.com/dp/B0BV2639FP?psc=1" TargetMode="External"/><Relationship Id="rId317" Type="http://schemas.openxmlformats.org/officeDocument/2006/relationships/hyperlink" Target="https://www.amazon.com/dp/B0BV2639FP" TargetMode="External"/><Relationship Id="rId316" Type="http://schemas.openxmlformats.org/officeDocument/2006/relationships/hyperlink" Target="https://www.amazon.com/gp/help/seller/at-a-glance.html/ref=dp_merchant_link?seller=A1H3Q7T6YW37ZA" TargetMode="External"/><Relationship Id="rId315" Type="http://schemas.openxmlformats.org/officeDocument/2006/relationships/hyperlink" Target="https://www.amazon.com/dp/B0D9SMZX2C" TargetMode="External"/><Relationship Id="rId314" Type="http://schemas.openxmlformats.org/officeDocument/2006/relationships/hyperlink" Target="https://m.media-amazon.com/images/I/41tfnamhY1L._AC_SR600,600_.jpg" TargetMode="External"/><Relationship Id="rId313" Type="http://schemas.openxmlformats.org/officeDocument/2006/relationships/hyperlink" Target="https://www.amazon.com/dp/B0D4ZH2YS5?psc=1" TargetMode="External"/><Relationship Id="rId312" Type="http://schemas.openxmlformats.org/officeDocument/2006/relationships/hyperlink" Target="https://www.amazon.com/s/ref=bl_sl_s_ap_web_7141123011?ie=UTF8&amp;node=7141123011&amp;field-brandtextbin=Gleeease" TargetMode="External"/><Relationship Id="rId311" Type="http://schemas.openxmlformats.org/officeDocument/2006/relationships/hyperlink" Target="https://www.amazon.com/dp/B0D4ZH2YS5" TargetMode="External"/><Relationship Id="rId310" Type="http://schemas.openxmlformats.org/officeDocument/2006/relationships/hyperlink" Target="https://www.amazon.com/dp/B0DDXM1PHC" TargetMode="External"/><Relationship Id="rId31" Type="http://schemas.openxmlformats.org/officeDocument/2006/relationships/hyperlink" Target="https://www.amazon.com/gp/help/seller/at-a-glance.html/ref=dp_merchant_link?seller=AW10J8VB8Z74G" TargetMode="External"/><Relationship Id="rId309" Type="http://schemas.openxmlformats.org/officeDocument/2006/relationships/hyperlink" Target="https://m.media-amazon.com/images/I/51odOy7GzHL._AC_SR600,600_.jpg" TargetMode="External"/><Relationship Id="rId308" Type="http://schemas.openxmlformats.org/officeDocument/2006/relationships/hyperlink" Target="https://www.amazon.com/dp/B0CPSSNZV7?psc=1" TargetMode="External"/><Relationship Id="rId307" Type="http://schemas.openxmlformats.org/officeDocument/2006/relationships/hyperlink" Target="https://www.amazon.com/dp/B0CPSSNZV7" TargetMode="External"/><Relationship Id="rId306" Type="http://schemas.openxmlformats.org/officeDocument/2006/relationships/hyperlink" Target="https://images-na.ssl-images-amazon.com/images/I/71qsDGI8zLL._AC_US600_.jpg" TargetMode="External"/><Relationship Id="rId305" Type="http://schemas.openxmlformats.org/officeDocument/2006/relationships/hyperlink" Target="https://www.amazon.com/dp/B0CJXX83CZ?psc=1" TargetMode="External"/><Relationship Id="rId304" Type="http://schemas.openxmlformats.org/officeDocument/2006/relationships/hyperlink" Target="https://www.amazon.com/dp/B0CJXX83CZ" TargetMode="External"/><Relationship Id="rId303" Type="http://schemas.openxmlformats.org/officeDocument/2006/relationships/hyperlink" Target="https://www.amazon.com/dp/B0DDYCJ96V" TargetMode="External"/><Relationship Id="rId302" Type="http://schemas.openxmlformats.org/officeDocument/2006/relationships/hyperlink" Target="https://m.media-amazon.com/images/I/414+b4JmLKL._AC_SR600,600_.jpg" TargetMode="External"/><Relationship Id="rId301" Type="http://schemas.openxmlformats.org/officeDocument/2006/relationships/hyperlink" Target="https://www.amazon.com/dp/B0BQJVWHD5?psc=1" TargetMode="External"/><Relationship Id="rId300" Type="http://schemas.openxmlformats.org/officeDocument/2006/relationships/hyperlink" Target="https://www.amazon.com/dp/B0BQJVWHD5" TargetMode="External"/><Relationship Id="rId30" Type="http://schemas.openxmlformats.org/officeDocument/2006/relationships/hyperlink" Target="https://www.amazon.com/dp/B0DDXPHRGD" TargetMode="External"/><Relationship Id="rId3" Type="http://schemas.openxmlformats.org/officeDocument/2006/relationships/hyperlink" Target="https://www.amazon.com/dp/B0D25H8TG1?psc=1" TargetMode="External"/><Relationship Id="rId299" Type="http://schemas.openxmlformats.org/officeDocument/2006/relationships/hyperlink" Target="https://m.media-amazon.com/images/I/41PbUgphMfL._AC_SR600,600_.jpg" TargetMode="External"/><Relationship Id="rId298" Type="http://schemas.openxmlformats.org/officeDocument/2006/relationships/hyperlink" Target="https://www.amazon.com/dp/B091HP7SZ8?psc=1" TargetMode="External"/><Relationship Id="rId297" Type="http://schemas.openxmlformats.org/officeDocument/2006/relationships/hyperlink" Target="https://www.amazon.com/dp/B091HP7SZ8" TargetMode="External"/><Relationship Id="rId296" Type="http://schemas.openxmlformats.org/officeDocument/2006/relationships/hyperlink" Target="https://www.amazon.com/dp/B0B1D1R97Y" TargetMode="External"/><Relationship Id="rId295" Type="http://schemas.openxmlformats.org/officeDocument/2006/relationships/hyperlink" Target="https://m.media-amazon.com/images/I/419XxSgveHL._AC_SR600,600_.jpg" TargetMode="External"/><Relationship Id="rId294" Type="http://schemas.openxmlformats.org/officeDocument/2006/relationships/hyperlink" Target="https://www.amazon.com/dp/B0C3M99KPD?psc=1" TargetMode="External"/><Relationship Id="rId293" Type="http://schemas.openxmlformats.org/officeDocument/2006/relationships/hyperlink" Target="https://www.amazon.com/dp/B0C3M99KPD" TargetMode="External"/><Relationship Id="rId292" Type="http://schemas.openxmlformats.org/officeDocument/2006/relationships/hyperlink" Target="https://www.amazon.com/gp/help/seller/at-a-glance.html/ref=dp_merchant_link?seller=A2L7HXVRX7K0FT" TargetMode="External"/><Relationship Id="rId291" Type="http://schemas.openxmlformats.org/officeDocument/2006/relationships/hyperlink" Target="https://www.amazon.com/dp/B09VXC3FN1" TargetMode="External"/><Relationship Id="rId290" Type="http://schemas.openxmlformats.org/officeDocument/2006/relationships/hyperlink" Target="https://m.media-amazon.com/images/I/31DDYq6aWZL._AC_SR600,600_.jpg" TargetMode="External"/><Relationship Id="rId29" Type="http://schemas.openxmlformats.org/officeDocument/2006/relationships/hyperlink" Target="https://images-na.ssl-images-amazon.com/images/I/81rN7jSUgHS._AC_US600_.jpg" TargetMode="External"/><Relationship Id="rId289" Type="http://schemas.openxmlformats.org/officeDocument/2006/relationships/hyperlink" Target="https://www.amazon.com/dp/B09VXHPVCV?psc=1" TargetMode="External"/><Relationship Id="rId288" Type="http://schemas.openxmlformats.org/officeDocument/2006/relationships/hyperlink" Target="https://www.amazon.com/stores/ZEROYAA/page/11927683-E34D-4AAF-939F-FCE47A057DDA?ref_=ast_bln&amp;store_ref=bl_ast_dp_brandLogo_sto" TargetMode="External"/><Relationship Id="rId287" Type="http://schemas.openxmlformats.org/officeDocument/2006/relationships/hyperlink" Target="https://www.amazon.com/dp/B09VXHPVCV" TargetMode="External"/><Relationship Id="rId286" Type="http://schemas.openxmlformats.org/officeDocument/2006/relationships/hyperlink" Target="https://www.amazon.com/dp/B0BF5DJTX9" TargetMode="External"/><Relationship Id="rId285" Type="http://schemas.openxmlformats.org/officeDocument/2006/relationships/hyperlink" Target="https://images-na.ssl-images-amazon.com/images/I/51ZeZCV+O0L._AC_US600_.jpg" TargetMode="External"/><Relationship Id="rId284" Type="http://schemas.openxmlformats.org/officeDocument/2006/relationships/hyperlink" Target="https://www.amazon.com/dp/B0BF5CJFMS?psc=1" TargetMode="External"/><Relationship Id="rId283" Type="http://schemas.openxmlformats.org/officeDocument/2006/relationships/hyperlink" Target="https://www.amazon.com/dp/B0BF5CJFMS" TargetMode="External"/><Relationship Id="rId282" Type="http://schemas.openxmlformats.org/officeDocument/2006/relationships/hyperlink" Target="https://m.media-amazon.com/images/I/41LzisgL3OL._AC_SR600,600_.jpg" TargetMode="External"/><Relationship Id="rId281" Type="http://schemas.openxmlformats.org/officeDocument/2006/relationships/hyperlink" Target="https://www.amazon.com/dp/B0D12PV54R?psc=1" TargetMode="External"/><Relationship Id="rId280" Type="http://schemas.openxmlformats.org/officeDocument/2006/relationships/hyperlink" Target="https://www.amazon.com/dp/B0D12PV54R" TargetMode="External"/><Relationship Id="rId28" Type="http://schemas.openxmlformats.org/officeDocument/2006/relationships/hyperlink" Target="https://www.amazon.com/dp/B093RZQLVX?psc=1" TargetMode="External"/><Relationship Id="rId279" Type="http://schemas.openxmlformats.org/officeDocument/2006/relationships/hyperlink" Target="https://www.amazon.com/dp/B0D4RBCQTL" TargetMode="External"/><Relationship Id="rId278" Type="http://schemas.openxmlformats.org/officeDocument/2006/relationships/hyperlink" Target="https://m.media-amazon.com/images/I/31CiWvSX2gL._AC_SR600,600_.jpg" TargetMode="External"/><Relationship Id="rId277" Type="http://schemas.openxmlformats.org/officeDocument/2006/relationships/hyperlink" Target="https://www.amazon.com/dp/B09Z6T72BL?psc=1" TargetMode="External"/><Relationship Id="rId276" Type="http://schemas.openxmlformats.org/officeDocument/2006/relationships/hyperlink" Target="https://www.amazon.com/dp/B09Z6T72BL" TargetMode="External"/><Relationship Id="rId275" Type="http://schemas.openxmlformats.org/officeDocument/2006/relationships/hyperlink" Target="https://www.amazon.com/dp/B0DDXSBHHN" TargetMode="External"/><Relationship Id="rId274" Type="http://schemas.openxmlformats.org/officeDocument/2006/relationships/hyperlink" Target="https://images-na.ssl-images-amazon.com/images/I/718YY+biqvL._AC_US600_.jpg" TargetMode="External"/><Relationship Id="rId273" Type="http://schemas.openxmlformats.org/officeDocument/2006/relationships/hyperlink" Target="https://www.amazon.com/dp/B0CLRKS8PF?psc=1" TargetMode="External"/><Relationship Id="rId272" Type="http://schemas.openxmlformats.org/officeDocument/2006/relationships/hyperlink" Target="https://www.amazon.com/dp/B0CLRKS8PF" TargetMode="External"/><Relationship Id="rId271" Type="http://schemas.openxmlformats.org/officeDocument/2006/relationships/hyperlink" Target="https://www.amazon.com/dp/B0BSXFQD62" TargetMode="External"/><Relationship Id="rId270" Type="http://schemas.openxmlformats.org/officeDocument/2006/relationships/hyperlink" Target="https://m.media-amazon.com/images/I/410+Zg19T0L._AC_SR600,600_.jpg" TargetMode="External"/><Relationship Id="rId27" Type="http://schemas.openxmlformats.org/officeDocument/2006/relationships/hyperlink" Target="https://www.amazon.com/dp/B093RZQLVX" TargetMode="External"/><Relationship Id="rId269" Type="http://schemas.openxmlformats.org/officeDocument/2006/relationships/hyperlink" Target="https://www.amazon.com/dp/B0BKFXG8SG?psc=1" TargetMode="External"/><Relationship Id="rId268" Type="http://schemas.openxmlformats.org/officeDocument/2006/relationships/hyperlink" Target="https://www.amazon.com/dp/B0BKFXG8SG" TargetMode="External"/><Relationship Id="rId267" Type="http://schemas.openxmlformats.org/officeDocument/2006/relationships/hyperlink" Target="https://www.amazon.com/dp/B0DDXF5CY9" TargetMode="External"/><Relationship Id="rId266" Type="http://schemas.openxmlformats.org/officeDocument/2006/relationships/hyperlink" Target="https://m.media-amazon.com/images/I/41syS9p5z3L._AC_SR600,600_.jpg" TargetMode="External"/><Relationship Id="rId265" Type="http://schemas.openxmlformats.org/officeDocument/2006/relationships/hyperlink" Target="https://www.amazon.com/dp/B0CLV6N8HD?psc=1" TargetMode="External"/><Relationship Id="rId264" Type="http://schemas.openxmlformats.org/officeDocument/2006/relationships/hyperlink" Target="https://www.amazon.com/dp/B0CLV6N8HD" TargetMode="External"/><Relationship Id="rId263" Type="http://schemas.openxmlformats.org/officeDocument/2006/relationships/hyperlink" Target="https://www.amazon.com/dp/B06XPMS43W" TargetMode="External"/><Relationship Id="rId262" Type="http://schemas.openxmlformats.org/officeDocument/2006/relationships/hyperlink" Target="https://m.media-amazon.com/images/I/51WV8QyajPL._AC_SR600,600_.jpg" TargetMode="External"/><Relationship Id="rId261" Type="http://schemas.openxmlformats.org/officeDocument/2006/relationships/hyperlink" Target="https://www.amazon.com/dp/B01AAMOI3W?psc=1" TargetMode="External"/><Relationship Id="rId260" Type="http://schemas.openxmlformats.org/officeDocument/2006/relationships/hyperlink" Target="https://www.amazon.com/dp/B01AAMOI3W" TargetMode="External"/><Relationship Id="rId26" Type="http://schemas.openxmlformats.org/officeDocument/2006/relationships/hyperlink" Target="https://m.media-amazon.com/images/I/41Pl3+ILnjL._AC_SR600,600_.jpg" TargetMode="External"/><Relationship Id="rId259" Type="http://schemas.openxmlformats.org/officeDocument/2006/relationships/hyperlink" Target="https://www.amazon.com/dp/B0CYZT264J" TargetMode="External"/><Relationship Id="rId258" Type="http://schemas.openxmlformats.org/officeDocument/2006/relationships/hyperlink" Target="https://m.media-amazon.com/images/I/31DqGwtZuLL._AC_SR600,600_.jpg" TargetMode="External"/><Relationship Id="rId257" Type="http://schemas.openxmlformats.org/officeDocument/2006/relationships/hyperlink" Target="https://www.amazon.com/dp/B0CYZHDH9V?psc=1" TargetMode="External"/><Relationship Id="rId256" Type="http://schemas.openxmlformats.org/officeDocument/2006/relationships/hyperlink" Target="https://www.amazon.com/dp/B0CYZHDH9V" TargetMode="External"/><Relationship Id="rId255" Type="http://schemas.openxmlformats.org/officeDocument/2006/relationships/hyperlink" Target="https://www.amazon.com/dp/B0D636DXLN" TargetMode="External"/><Relationship Id="rId254" Type="http://schemas.openxmlformats.org/officeDocument/2006/relationships/hyperlink" Target="https://m.media-amazon.com/images/I/31yUtobBafL._AC_SR600,600_.jpg" TargetMode="External"/><Relationship Id="rId253" Type="http://schemas.openxmlformats.org/officeDocument/2006/relationships/hyperlink" Target="https://www.amazon.com/dp/B016PD1UQI?psc=1" TargetMode="External"/><Relationship Id="rId252" Type="http://schemas.openxmlformats.org/officeDocument/2006/relationships/hyperlink" Target="https://www.amazon.com/stores/PerryEllis/page/B2BFB9F3-FA96-40B7-B963-B68DFA81BF65?ref_=ast_bln&amp;store_ref=bl_ast_dp_brandLogo_sto" TargetMode="External"/><Relationship Id="rId251" Type="http://schemas.openxmlformats.org/officeDocument/2006/relationships/hyperlink" Target="https://www.amazon.com/dp/B016PD1UQI" TargetMode="External"/><Relationship Id="rId250" Type="http://schemas.openxmlformats.org/officeDocument/2006/relationships/hyperlink" Target="https://www.amazon.com/gp/help/seller/at-a-glance.html/ref=dp_merchant_link?seller=AQP4ASUEX2LN3" TargetMode="External"/><Relationship Id="rId25" Type="http://schemas.openxmlformats.org/officeDocument/2006/relationships/hyperlink" Target="https://www.amazon.com/dp/B0BVFRGTC5?psc=1" TargetMode="External"/><Relationship Id="rId249" Type="http://schemas.openxmlformats.org/officeDocument/2006/relationships/hyperlink" Target="https://www.amazon.com/dp/B0DLBBLG1L" TargetMode="External"/><Relationship Id="rId248" Type="http://schemas.openxmlformats.org/officeDocument/2006/relationships/hyperlink" Target="https://m.media-amazon.com/images/I/41T5VyZQDfL._AC_SR600,600_.jpg" TargetMode="External"/><Relationship Id="rId247" Type="http://schemas.openxmlformats.org/officeDocument/2006/relationships/hyperlink" Target="https://www.amazon.com/dp/B096RT3Z8W?psc=1" TargetMode="External"/><Relationship Id="rId246" Type="http://schemas.openxmlformats.org/officeDocument/2006/relationships/hyperlink" Target="https://www.amazon.com/stores/Enlision/page/0F59DEF7-EAE3-4314-84BF-EB87376CF28E?ref_=ast_bln&amp;store_ref=bl_ast_dp_brandLogo_sto" TargetMode="External"/><Relationship Id="rId245" Type="http://schemas.openxmlformats.org/officeDocument/2006/relationships/hyperlink" Target="https://www.amazon.com/dp/B096RT3Z8W" TargetMode="External"/><Relationship Id="rId244" Type="http://schemas.openxmlformats.org/officeDocument/2006/relationships/hyperlink" Target="https://www.amazon.com/dp/B094XZM7M6" TargetMode="External"/><Relationship Id="rId243" Type="http://schemas.openxmlformats.org/officeDocument/2006/relationships/hyperlink" Target="https://images-na.ssl-images-amazon.com/images/I/71w61TDc4WL._AC_US600_.jpg" TargetMode="External"/><Relationship Id="rId242" Type="http://schemas.openxmlformats.org/officeDocument/2006/relationships/hyperlink" Target="https://www.amazon.com/dp/B083K8DD4K?psc=1" TargetMode="External"/><Relationship Id="rId241" Type="http://schemas.openxmlformats.org/officeDocument/2006/relationships/hyperlink" Target="https://www.amazon.com/dp/B083K8DD4K" TargetMode="External"/><Relationship Id="rId240" Type="http://schemas.openxmlformats.org/officeDocument/2006/relationships/hyperlink" Target="https://www.amazon.com/dp/B0DDXKTR4D" TargetMode="External"/><Relationship Id="rId24" Type="http://schemas.openxmlformats.org/officeDocument/2006/relationships/hyperlink" Target="https://www.amazon.com/dp/B0BVFRGTC5" TargetMode="External"/><Relationship Id="rId239" Type="http://schemas.openxmlformats.org/officeDocument/2006/relationships/hyperlink" Target="https://m.media-amazon.com/images/I/41IIr-FduPL._AC_SR600,600_.jpg" TargetMode="External"/><Relationship Id="rId238" Type="http://schemas.openxmlformats.org/officeDocument/2006/relationships/hyperlink" Target="https://www.amazon.com/dp/B0CQLPY73Y?psc=1" TargetMode="External"/><Relationship Id="rId237" Type="http://schemas.openxmlformats.org/officeDocument/2006/relationships/hyperlink" Target="https://www.amazon.com/dp/B0CQLPY73Y" TargetMode="External"/><Relationship Id="rId236" Type="http://schemas.openxmlformats.org/officeDocument/2006/relationships/hyperlink" Target="https://www.amazon.com/gp/help/seller/at-a-glance.html/ref=dp_merchant_link?seller=AXTLB7JAR0E88" TargetMode="External"/><Relationship Id="rId235" Type="http://schemas.openxmlformats.org/officeDocument/2006/relationships/hyperlink" Target="https://www.amazon.com/dp/B0D87F5TXN" TargetMode="External"/><Relationship Id="rId234" Type="http://schemas.openxmlformats.org/officeDocument/2006/relationships/hyperlink" Target="https://m.media-amazon.com/images/I/41-oEN2cNIL._AC_SR600,600_.jpg" TargetMode="External"/><Relationship Id="rId233" Type="http://schemas.openxmlformats.org/officeDocument/2006/relationships/hyperlink" Target="https://www.amazon.com/dp/B0D87CJLY6?psc=1" TargetMode="External"/><Relationship Id="rId232" Type="http://schemas.openxmlformats.org/officeDocument/2006/relationships/hyperlink" Target="https://www.amazon.com/stores/Runcati/page/20015B80-E9FF-41BF-8597-56689F64944D?ref_=ast_bln&amp;store_ref=bl_ast_dp_brandLogo_sto" TargetMode="External"/><Relationship Id="rId231" Type="http://schemas.openxmlformats.org/officeDocument/2006/relationships/hyperlink" Target="https://www.amazon.com/dp/B0D87CJLY6" TargetMode="External"/><Relationship Id="rId230" Type="http://schemas.openxmlformats.org/officeDocument/2006/relationships/hyperlink" Target="https://www.amazon.com/dp/B0DDXJWZSX" TargetMode="External"/><Relationship Id="rId23" Type="http://schemas.openxmlformats.org/officeDocument/2006/relationships/hyperlink" Target="https://images-na.ssl-images-amazon.com/images/I/81Y6r7df7OL._AC_US600_.jpg" TargetMode="External"/><Relationship Id="rId229" Type="http://schemas.openxmlformats.org/officeDocument/2006/relationships/hyperlink" Target="https://m.media-amazon.com/images/I/41CZJ8ZM7UL._AC_SR600,600_.jpg" TargetMode="External"/><Relationship Id="rId228" Type="http://schemas.openxmlformats.org/officeDocument/2006/relationships/hyperlink" Target="https://www.amazon.com/dp/B0CQYWF4PB?psc=1" TargetMode="External"/><Relationship Id="rId227" Type="http://schemas.openxmlformats.org/officeDocument/2006/relationships/hyperlink" Target="https://www.amazon.com/dp/B0CQYWF4PB" TargetMode="External"/><Relationship Id="rId226" Type="http://schemas.openxmlformats.org/officeDocument/2006/relationships/hyperlink" Target="https://www.amazon.com/gp/help/seller/at-a-glance.html/ref=dp_merchant_link?seller=A8AY448W7VP9Q" TargetMode="External"/><Relationship Id="rId225" Type="http://schemas.openxmlformats.org/officeDocument/2006/relationships/hyperlink" Target="https://www.amazon.com/dp/B0D9W5NDWQ" TargetMode="External"/><Relationship Id="rId224" Type="http://schemas.openxmlformats.org/officeDocument/2006/relationships/hyperlink" Target="https://m.media-amazon.com/images/I/41trg5yR4tS._AC_SR600,600_.jpg" TargetMode="External"/><Relationship Id="rId223" Type="http://schemas.openxmlformats.org/officeDocument/2006/relationships/hyperlink" Target="https://www.amazon.com/dp/B08ZYN1WDR?psc=1" TargetMode="External"/><Relationship Id="rId222" Type="http://schemas.openxmlformats.org/officeDocument/2006/relationships/hyperlink" Target="https://www.amazon.com/stores/Makkrom/page/AB5A30AA-7168-48B6-B807-1768EB25800B?ref_=ast_bln&amp;store_ref=bl_ast_dp_brandLogo_sto" TargetMode="External"/><Relationship Id="rId221" Type="http://schemas.openxmlformats.org/officeDocument/2006/relationships/hyperlink" Target="https://www.amazon.com/dp/B08ZYN1WDR" TargetMode="External"/><Relationship Id="rId220" Type="http://schemas.openxmlformats.org/officeDocument/2006/relationships/hyperlink" Target="https://www.amazon.com/gp/help/seller/at-a-glance.html/ref=dp_merchant_link?seller=A3USB205X5P9XH" TargetMode="External"/><Relationship Id="rId22" Type="http://schemas.openxmlformats.org/officeDocument/2006/relationships/hyperlink" Target="https://www.amazon.com/dp/B0BV241H3F?psc=1" TargetMode="External"/><Relationship Id="rId219" Type="http://schemas.openxmlformats.org/officeDocument/2006/relationships/hyperlink" Target="https://www.amazon.com/dp/B08D6CFY9H" TargetMode="External"/><Relationship Id="rId218" Type="http://schemas.openxmlformats.org/officeDocument/2006/relationships/hyperlink" Target="https://m.media-amazon.com/images/I/51lG7hNrgDL._AC_SR600,600_.jpg" TargetMode="External"/><Relationship Id="rId217" Type="http://schemas.openxmlformats.org/officeDocument/2006/relationships/hyperlink" Target="https://www.amazon.com/dp/B08CXFF3B8?psc=1" TargetMode="External"/><Relationship Id="rId216" Type="http://schemas.openxmlformats.org/officeDocument/2006/relationships/hyperlink" Target="https://www.amazon.com/stores/RelaBota/page/E6C4685C-FE96-4F24-9D93-631B4BE2D09C?ref_=ast_bln&amp;store_ref=bl_ast_dp_brandLogo_sto" TargetMode="External"/><Relationship Id="rId215" Type="http://schemas.openxmlformats.org/officeDocument/2006/relationships/hyperlink" Target="https://www.amazon.com/dp/B08CXFF3B8" TargetMode="External"/><Relationship Id="rId214" Type="http://schemas.openxmlformats.org/officeDocument/2006/relationships/hyperlink" Target="https://www.amazon.com/gp/help/seller/at-a-glance.html/ref=dp_merchant_link?seller=A2FOAMAM1NPBGV" TargetMode="External"/><Relationship Id="rId213" Type="http://schemas.openxmlformats.org/officeDocument/2006/relationships/hyperlink" Target="https://www.amazon.com/dp/B0D4QWDYNM" TargetMode="External"/><Relationship Id="rId212" Type="http://schemas.openxmlformats.org/officeDocument/2006/relationships/hyperlink" Target="https://images-na.ssl-images-amazon.com/images/I/81ELjjyIFSL._AC_US600_.jpg" TargetMode="External"/><Relationship Id="rId211" Type="http://schemas.openxmlformats.org/officeDocument/2006/relationships/hyperlink" Target="https://www.amazon.com/dp/B0D4QXKTRR?psc=1" TargetMode="External"/><Relationship Id="rId210" Type="http://schemas.openxmlformats.org/officeDocument/2006/relationships/hyperlink" Target="https://www.amazon.com/stores/PJPAULJONES/page/900C5CBD-4371-40E3-9FF7-1AF3D2180072?ref_=ast_bln&amp;store_ref=bl_ast_dp_brandLogo_sto" TargetMode="External"/><Relationship Id="rId21" Type="http://schemas.openxmlformats.org/officeDocument/2006/relationships/hyperlink" Target="https://www.amazon.com/dp/B0BV241H3F" TargetMode="External"/><Relationship Id="rId209" Type="http://schemas.openxmlformats.org/officeDocument/2006/relationships/hyperlink" Target="https://www.amazon.com/dp/B0D4QXKTRR" TargetMode="External"/><Relationship Id="rId208" Type="http://schemas.openxmlformats.org/officeDocument/2006/relationships/hyperlink" Target="https://www.amazon.com/dp/B0BJT56MNG" TargetMode="External"/><Relationship Id="rId207" Type="http://schemas.openxmlformats.org/officeDocument/2006/relationships/hyperlink" Target="https://m.media-amazon.com/images/I/41CFztD13gL._AC_SR600,600_.jpg" TargetMode="External"/><Relationship Id="rId206" Type="http://schemas.openxmlformats.org/officeDocument/2006/relationships/hyperlink" Target="https://www.amazon.com/dp/B0CRRBWS1F?psc=1" TargetMode="External"/><Relationship Id="rId205" Type="http://schemas.openxmlformats.org/officeDocument/2006/relationships/hyperlink" Target="https://www.amazon.com/dp/B0CRRBWS1F" TargetMode="External"/><Relationship Id="rId204" Type="http://schemas.openxmlformats.org/officeDocument/2006/relationships/hyperlink" Target="https://www.amazon.com/gp/help/seller/at-a-glance.html/ref=dp_merchant_link?seller=AVALB4136Z111" TargetMode="External"/><Relationship Id="rId203" Type="http://schemas.openxmlformats.org/officeDocument/2006/relationships/hyperlink" Target="https://www.amazon.com/dp/B0CQRF8GRL" TargetMode="External"/><Relationship Id="rId202" Type="http://schemas.openxmlformats.org/officeDocument/2006/relationships/hyperlink" Target="https://m.media-amazon.com/images/I/41vfohinvOL._AC_SR600,600_.jpg" TargetMode="External"/><Relationship Id="rId201" Type="http://schemas.openxmlformats.org/officeDocument/2006/relationships/hyperlink" Target="https://www.amazon.com/dp/B08VNK59NS?psc=1" TargetMode="External"/><Relationship Id="rId200" Type="http://schemas.openxmlformats.org/officeDocument/2006/relationships/hyperlink" Target="https://www.amazon.com/stores/Bbalizko/page/F2EDF5CC-1580-4135-A6AF-74E8A574B815?ref_=ast_bln" TargetMode="External"/><Relationship Id="rId20" Type="http://schemas.openxmlformats.org/officeDocument/2006/relationships/hyperlink" Target="https://www.amazon.com/gp/help/seller/at-a-glance.html/ref=dp_merchant_link?seller=AYQEI860TGUFX" TargetMode="External"/><Relationship Id="rId2" Type="http://schemas.openxmlformats.org/officeDocument/2006/relationships/hyperlink" Target="https://www.amazon.com/stores/MAPICK/page/0912EDDE-F41D-46CC-9B2A-7A219ADAAB6B?ref_=ast_bln" TargetMode="External"/><Relationship Id="rId199" Type="http://schemas.openxmlformats.org/officeDocument/2006/relationships/hyperlink" Target="https://www.amazon.com/dp/B08VNK59NS" TargetMode="External"/><Relationship Id="rId198" Type="http://schemas.openxmlformats.org/officeDocument/2006/relationships/hyperlink" Target="https://www.amazon.com/gp/help/seller/at-a-glance.html/ref=dp_merchant_link?seller=A1VPF17XU672VP" TargetMode="External"/><Relationship Id="rId197" Type="http://schemas.openxmlformats.org/officeDocument/2006/relationships/hyperlink" Target="https://www.amazon.com/dp/B0CQ2FLXJC" TargetMode="External"/><Relationship Id="rId196" Type="http://schemas.openxmlformats.org/officeDocument/2006/relationships/hyperlink" Target="https://m.media-amazon.com/images/I/31Kk27GSxRL._AC_SR600,600_.jpg" TargetMode="External"/><Relationship Id="rId195" Type="http://schemas.openxmlformats.org/officeDocument/2006/relationships/hyperlink" Target="https://www.amazon.com/dp/B0CQ28BD67?psc=1" TargetMode="External"/><Relationship Id="rId194" Type="http://schemas.openxmlformats.org/officeDocument/2006/relationships/hyperlink" Target="https://www.amazon.com/stores/LionNardo/page/9165DF9C-317B-42AC-9433-C7A10B3B29CA?ref_=ast_bln" TargetMode="External"/><Relationship Id="rId193" Type="http://schemas.openxmlformats.org/officeDocument/2006/relationships/hyperlink" Target="https://www.amazon.com/dp/B0CQ28BD67" TargetMode="External"/><Relationship Id="rId192" Type="http://schemas.openxmlformats.org/officeDocument/2006/relationships/hyperlink" Target="https://www.amazon.com/dp/B0D4J8PKS6" TargetMode="External"/><Relationship Id="rId191" Type="http://schemas.openxmlformats.org/officeDocument/2006/relationships/hyperlink" Target="https://m.media-amazon.com/images/I/41CMvgrZRAL._AC_SR600,600_.jpg" TargetMode="External"/><Relationship Id="rId190" Type="http://schemas.openxmlformats.org/officeDocument/2006/relationships/hyperlink" Target="https://www.amazon.com/dp/B079BZ3326?psc=1" TargetMode="External"/><Relationship Id="rId19" Type="http://schemas.openxmlformats.org/officeDocument/2006/relationships/hyperlink" Target="https://www.amazon.com/dp/B0CPTHL7KT" TargetMode="External"/><Relationship Id="rId189" Type="http://schemas.openxmlformats.org/officeDocument/2006/relationships/hyperlink" Target="https://www.amazon.com/stores/LuckyBrand/page/2C35F610-19EF-47A1-8A38-B3186DDB0DF6?ref_=ast_bln" TargetMode="External"/><Relationship Id="rId188" Type="http://schemas.openxmlformats.org/officeDocument/2006/relationships/hyperlink" Target="https://www.amazon.com/dp/B079BZ3326" TargetMode="External"/><Relationship Id="rId187" Type="http://schemas.openxmlformats.org/officeDocument/2006/relationships/hyperlink" Target="https://www.amazon.com/gp/help/seller/at-a-glance.html/ref=dp_merchant_link?seller=A107Z78SG8ROPE" TargetMode="External"/><Relationship Id="rId186" Type="http://schemas.openxmlformats.org/officeDocument/2006/relationships/hyperlink" Target="https://www.amazon.com/dp/B0867BKGLG" TargetMode="External"/><Relationship Id="rId185" Type="http://schemas.openxmlformats.org/officeDocument/2006/relationships/hyperlink" Target="https://m.media-amazon.com/images/I/41xOicVFAvL._AC_SR600,600_.jpg" TargetMode="External"/><Relationship Id="rId184" Type="http://schemas.openxmlformats.org/officeDocument/2006/relationships/hyperlink" Target="https://www.amazon.com/dp/B0867B2ZDN?psc=1" TargetMode="External"/><Relationship Id="rId183" Type="http://schemas.openxmlformats.org/officeDocument/2006/relationships/hyperlink" Target="https://www.amazon.com/dp/B0867B2ZDN" TargetMode="External"/><Relationship Id="rId182" Type="http://schemas.openxmlformats.org/officeDocument/2006/relationships/hyperlink" Target="https://www.amazon.com/dp/B0DDXRVVZ2" TargetMode="External"/><Relationship Id="rId181" Type="http://schemas.openxmlformats.org/officeDocument/2006/relationships/hyperlink" Target="https://m.media-amazon.com/images/I/41PVJ2HLk5L._AC_SR600,600_.jpg" TargetMode="External"/><Relationship Id="rId180" Type="http://schemas.openxmlformats.org/officeDocument/2006/relationships/hyperlink" Target="https://www.amazon.com/dp/B0CP1N34D6?psc=1" TargetMode="External"/><Relationship Id="rId18" Type="http://schemas.openxmlformats.org/officeDocument/2006/relationships/hyperlink" Target="https://m.media-amazon.com/images/I/41slc3cAhwL._AC_SR600,600_.jpg" TargetMode="External"/><Relationship Id="rId179" Type="http://schemas.openxmlformats.org/officeDocument/2006/relationships/hyperlink" Target="https://www.amazon.com/dp/B0CP1N34D6" TargetMode="External"/><Relationship Id="rId178" Type="http://schemas.openxmlformats.org/officeDocument/2006/relationships/hyperlink" Target="https://www.amazon.com/dp/B0CTKB6YBD" TargetMode="External"/><Relationship Id="rId177" Type="http://schemas.openxmlformats.org/officeDocument/2006/relationships/hyperlink" Target="https://m.media-amazon.com/images/I/41kO2bwCjBL._AC_SR600,600_.jpg" TargetMode="External"/><Relationship Id="rId176" Type="http://schemas.openxmlformats.org/officeDocument/2006/relationships/hyperlink" Target="https://www.amazon.com/dp/B0CTKB3BCC?psc=1" TargetMode="External"/><Relationship Id="rId175" Type="http://schemas.openxmlformats.org/officeDocument/2006/relationships/hyperlink" Target="https://www.amazon.com/dp/B0CTKB3BCC" TargetMode="External"/><Relationship Id="rId174" Type="http://schemas.openxmlformats.org/officeDocument/2006/relationships/hyperlink" Target="https://www.amazon.com/gp/help/seller/at-a-glance.html/ref=dp_merchant_link?seller=AX9MEOBFAEDU7" TargetMode="External"/><Relationship Id="rId173" Type="http://schemas.openxmlformats.org/officeDocument/2006/relationships/hyperlink" Target="https://www.amazon.com/dp/B087WP31H9" TargetMode="External"/><Relationship Id="rId172" Type="http://schemas.openxmlformats.org/officeDocument/2006/relationships/hyperlink" Target="https://images-na.ssl-images-amazon.com/images/I/61D1oLYxCVL._AC_US600_.jpg" TargetMode="External"/><Relationship Id="rId171" Type="http://schemas.openxmlformats.org/officeDocument/2006/relationships/hyperlink" Target="https://www.amazon.com/dp/B087X2996Y?psc=1" TargetMode="External"/><Relationship Id="rId170" Type="http://schemas.openxmlformats.org/officeDocument/2006/relationships/hyperlink" Target="https://www.amazon.com/dp/B087X2996Y" TargetMode="External"/><Relationship Id="rId17" Type="http://schemas.openxmlformats.org/officeDocument/2006/relationships/hyperlink" Target="https://www.amazon.com/dp/B0BVFWW6JW?psc=1" TargetMode="External"/><Relationship Id="rId169" Type="http://schemas.openxmlformats.org/officeDocument/2006/relationships/hyperlink" Target="https://www.amazon.com/dp/B0CBTF1GC5" TargetMode="External"/><Relationship Id="rId168" Type="http://schemas.openxmlformats.org/officeDocument/2006/relationships/hyperlink" Target="https://images-na.ssl-images-amazon.com/images/I/71g04ozofuL._AC_US600_.jpg" TargetMode="External"/><Relationship Id="rId167" Type="http://schemas.openxmlformats.org/officeDocument/2006/relationships/hyperlink" Target="https://www.amazon.com/dp/B0CQL2C1P9?psc=1" TargetMode="External"/><Relationship Id="rId166" Type="http://schemas.openxmlformats.org/officeDocument/2006/relationships/hyperlink" Target="https://www.amazon.com/dp/B0CQL2C1P9" TargetMode="External"/><Relationship Id="rId165" Type="http://schemas.openxmlformats.org/officeDocument/2006/relationships/hyperlink" Target="https://www.amazon.com/dp/B0DDYB9JPM" TargetMode="External"/><Relationship Id="rId164" Type="http://schemas.openxmlformats.org/officeDocument/2006/relationships/hyperlink" Target="https://images-na.ssl-images-amazon.com/images/I/71sicHesUjL._AC_US600_.jpg" TargetMode="External"/><Relationship Id="rId163" Type="http://schemas.openxmlformats.org/officeDocument/2006/relationships/hyperlink" Target="https://www.amazon.com/dp/B0BLZHMXJR?psc=1" TargetMode="External"/><Relationship Id="rId162" Type="http://schemas.openxmlformats.org/officeDocument/2006/relationships/hyperlink" Target="https://www.amazon.com/dp/B0BLZHMXJR" TargetMode="External"/><Relationship Id="rId161" Type="http://schemas.openxmlformats.org/officeDocument/2006/relationships/hyperlink" Target="https://m.media-amazon.com/images/I/51TbTJaY5rS._AC_SR600,600_.jpg" TargetMode="External"/><Relationship Id="rId160" Type="http://schemas.openxmlformats.org/officeDocument/2006/relationships/hyperlink" Target="https://www.amazon.com/dp/B09NHT7X66?psc=1" TargetMode="External"/><Relationship Id="rId16" Type="http://schemas.openxmlformats.org/officeDocument/2006/relationships/hyperlink" Target="https://www.amazon.com/stores/COOFANDY/page/23614F3D-BBD9-4564-8B56-4436A5CD5A93?ref_=ast_bln" TargetMode="External"/><Relationship Id="rId159" Type="http://schemas.openxmlformats.org/officeDocument/2006/relationships/hyperlink" Target="https://www.amazon.com/dp/B09NHT7X66" TargetMode="External"/><Relationship Id="rId158" Type="http://schemas.openxmlformats.org/officeDocument/2006/relationships/hyperlink" Target="https://www.amazon.com/dp/B0DDX77VFD" TargetMode="External"/><Relationship Id="rId157" Type="http://schemas.openxmlformats.org/officeDocument/2006/relationships/hyperlink" Target="https://images-na.ssl-images-amazon.com/images/I/71nDbCvdvwL._AC_US600_.jpg" TargetMode="External"/><Relationship Id="rId156" Type="http://schemas.openxmlformats.org/officeDocument/2006/relationships/hyperlink" Target="https://www.amazon.com/dp/B0CWZYQYBR?psc=1" TargetMode="External"/><Relationship Id="rId155" Type="http://schemas.openxmlformats.org/officeDocument/2006/relationships/hyperlink" Target="https://www.amazon.com/dp/B0CWZYQYBR" TargetMode="External"/><Relationship Id="rId154" Type="http://schemas.openxmlformats.org/officeDocument/2006/relationships/hyperlink" Target="https://www.amazon.com/dp/B0CKHRX1HS" TargetMode="External"/><Relationship Id="rId153" Type="http://schemas.openxmlformats.org/officeDocument/2006/relationships/hyperlink" Target="https://m.media-amazon.com/images/I/41Y4mFC0x0L._AC_SR600,600_.jpg" TargetMode="External"/><Relationship Id="rId152" Type="http://schemas.openxmlformats.org/officeDocument/2006/relationships/hyperlink" Target="https://www.amazon.com/dp/B0C6SYT6YV?psc=1" TargetMode="External"/><Relationship Id="rId151" Type="http://schemas.openxmlformats.org/officeDocument/2006/relationships/hyperlink" Target="https://www.amazon.com/dp/B0C6SYT6YV" TargetMode="External"/><Relationship Id="rId150" Type="http://schemas.openxmlformats.org/officeDocument/2006/relationships/hyperlink" Target="https://www.amazon.com/dp/B0DDXQ2WVC" TargetMode="External"/><Relationship Id="rId15" Type="http://schemas.openxmlformats.org/officeDocument/2006/relationships/hyperlink" Target="https://www.amazon.com/dp/B0BVFWW6JW" TargetMode="External"/><Relationship Id="rId149" Type="http://schemas.openxmlformats.org/officeDocument/2006/relationships/hyperlink" Target="https://m.media-amazon.com/images/I/41P55-qz+1L._AC_SR600,600_.jpg" TargetMode="External"/><Relationship Id="rId148" Type="http://schemas.openxmlformats.org/officeDocument/2006/relationships/hyperlink" Target="https://www.amazon.com/dp/B0CJTXG7JY?psc=1" TargetMode="External"/><Relationship Id="rId147" Type="http://schemas.openxmlformats.org/officeDocument/2006/relationships/hyperlink" Target="https://www.amazon.com/dp/B0CJTXG7JY" TargetMode="External"/><Relationship Id="rId146" Type="http://schemas.openxmlformats.org/officeDocument/2006/relationships/hyperlink" Target="https://www.amazon.com/dp/B0DDXBPK1H" TargetMode="External"/><Relationship Id="rId145" Type="http://schemas.openxmlformats.org/officeDocument/2006/relationships/hyperlink" Target="https://m.media-amazon.com/images/I/41wao5XghrL._AC_SR600,600_.jpg" TargetMode="External"/><Relationship Id="rId144" Type="http://schemas.openxmlformats.org/officeDocument/2006/relationships/hyperlink" Target="https://www.amazon.com/dp/B0CMH4P6NP?psc=1" TargetMode="External"/><Relationship Id="rId143" Type="http://schemas.openxmlformats.org/officeDocument/2006/relationships/hyperlink" Target="https://www.amazon.com/dp/B0CMH4P6NP" TargetMode="External"/><Relationship Id="rId142" Type="http://schemas.openxmlformats.org/officeDocument/2006/relationships/hyperlink" Target="https://images-na.ssl-images-amazon.com/images/I/81xTMVsKz5L._AC_US600_.jpg" TargetMode="External"/><Relationship Id="rId141" Type="http://schemas.openxmlformats.org/officeDocument/2006/relationships/hyperlink" Target="https://www.amazon.com/dp/B0D12QGQMH?psc=1" TargetMode="External"/><Relationship Id="rId140" Type="http://schemas.openxmlformats.org/officeDocument/2006/relationships/hyperlink" Target="https://www.amazon.com/dp/B0D12QGQMH" TargetMode="External"/><Relationship Id="rId14" Type="http://schemas.openxmlformats.org/officeDocument/2006/relationships/hyperlink" Target="https://www.amazon.com/gp/help/seller/at-a-glance.html/ref=dp_merchant_link?seller=ACP1AZUKRDS99" TargetMode="External"/><Relationship Id="rId139" Type="http://schemas.openxmlformats.org/officeDocument/2006/relationships/hyperlink" Target="https://www.amazon.com/gp/help/seller/at-a-glance.html/ref=dp_merchant_link?seller=A1Q57G0HOV6U0E" TargetMode="External"/><Relationship Id="rId138" Type="http://schemas.openxmlformats.org/officeDocument/2006/relationships/hyperlink" Target="https://www.amazon.com/dp/B0CQ5563XL" TargetMode="External"/><Relationship Id="rId137" Type="http://schemas.openxmlformats.org/officeDocument/2006/relationships/hyperlink" Target="https://images-na.ssl-images-amazon.com/images/I/719EWLT7gmL._AC_US600_.jpg" TargetMode="External"/><Relationship Id="rId136" Type="http://schemas.openxmlformats.org/officeDocument/2006/relationships/hyperlink" Target="https://www.amazon.com/dp/B0CQ1KKKGJ?psc=1" TargetMode="External"/><Relationship Id="rId135" Type="http://schemas.openxmlformats.org/officeDocument/2006/relationships/hyperlink" Target="https://www.amazon.com/stores/DEMEANOR/page/AB51D4CB-66EF-4F10-A923-7A47881C6B02?ref_=ast_bln" TargetMode="External"/><Relationship Id="rId134" Type="http://schemas.openxmlformats.org/officeDocument/2006/relationships/hyperlink" Target="https://www.amazon.com/dp/B0CQ1KKKGJ" TargetMode="External"/><Relationship Id="rId133" Type="http://schemas.openxmlformats.org/officeDocument/2006/relationships/hyperlink" Target="https://www.amazon.com/dp/B0DDXX9CWQ" TargetMode="External"/><Relationship Id="rId132" Type="http://schemas.openxmlformats.org/officeDocument/2006/relationships/hyperlink" Target="https://m.media-amazon.com/images/I/41mzafddPgL._AC_SR600,600_.jpg" TargetMode="External"/><Relationship Id="rId131" Type="http://schemas.openxmlformats.org/officeDocument/2006/relationships/hyperlink" Target="https://www.amazon.com/dp/B0CKVWMY79?psc=1" TargetMode="External"/><Relationship Id="rId130" Type="http://schemas.openxmlformats.org/officeDocument/2006/relationships/hyperlink" Target="https://www.amazon.com/dp/B0CKVWMY79" TargetMode="External"/><Relationship Id="rId13" Type="http://schemas.openxmlformats.org/officeDocument/2006/relationships/hyperlink" Target="https://www.amazon.com/dp/B0D9JP5F13" TargetMode="External"/><Relationship Id="rId129" Type="http://schemas.openxmlformats.org/officeDocument/2006/relationships/hyperlink" Target="https://www.amazon.com/gp/help/seller/at-a-glance.html/ref=dp_merchant_link?seller=A2U49OUC4V6GLR" TargetMode="External"/><Relationship Id="rId128" Type="http://schemas.openxmlformats.org/officeDocument/2006/relationships/hyperlink" Target="https://www.amazon.com/dp/B0D4LD99BQ" TargetMode="External"/><Relationship Id="rId127" Type="http://schemas.openxmlformats.org/officeDocument/2006/relationships/hyperlink" Target="https://m.media-amazon.com/images/I/41x9XXFnJqL._AC_SR600,600_.jpg" TargetMode="External"/><Relationship Id="rId126" Type="http://schemas.openxmlformats.org/officeDocument/2006/relationships/hyperlink" Target="https://www.amazon.com/dp/B0C4FN7429?psc=1" TargetMode="External"/><Relationship Id="rId125" Type="http://schemas.openxmlformats.org/officeDocument/2006/relationships/hyperlink" Target="https://www.amazon.com/stores/AlimensGentle/page/49CD71DA-8B8C-4DAD-82E3-C4EE212D5CA1?ref_=ast_bln&amp;store_ref=bl_ast_dp_brandLogo_sto" TargetMode="External"/><Relationship Id="rId124" Type="http://schemas.openxmlformats.org/officeDocument/2006/relationships/hyperlink" Target="https://www.amazon.com/dp/B0C4FN7429" TargetMode="External"/><Relationship Id="rId123" Type="http://schemas.openxmlformats.org/officeDocument/2006/relationships/hyperlink" Target="https://www.amazon.com/gp/help/seller/at-a-glance.html/ref=dp_merchant_link?seller=A1YQINW0AIUDAD" TargetMode="External"/><Relationship Id="rId122" Type="http://schemas.openxmlformats.org/officeDocument/2006/relationships/hyperlink" Target="https://www.amazon.com/dp/B09Y1ZX2MZ" TargetMode="External"/><Relationship Id="rId121" Type="http://schemas.openxmlformats.org/officeDocument/2006/relationships/hyperlink" Target="https://images-na.ssl-images-amazon.com/images/I/71chNVoEfBS._AC_US600_.jpg" TargetMode="External"/><Relationship Id="rId120" Type="http://schemas.openxmlformats.org/officeDocument/2006/relationships/hyperlink" Target="https://www.amazon.com/dp/B003S2DPX6?psc=1" TargetMode="External"/><Relationship Id="rId12" Type="http://schemas.openxmlformats.org/officeDocument/2006/relationships/hyperlink" Target="https://m.media-amazon.com/images/I/41Gx6hvyT+L._AC_SR600,600_.jpg" TargetMode="External"/><Relationship Id="rId119" Type="http://schemas.openxmlformats.org/officeDocument/2006/relationships/hyperlink" Target="https://www.amazon.com/stores/Cubavera/page/00EE9CE4-5829-49A7-84F9-C3A2A94E9123?ref_=ast_bln&amp;store_ref=bl_ast_dp_brandLogo_sto" TargetMode="External"/><Relationship Id="rId118" Type="http://schemas.openxmlformats.org/officeDocument/2006/relationships/hyperlink" Target="https://www.amazon.com/dp/B003S2DPX6" TargetMode="External"/><Relationship Id="rId117" Type="http://schemas.openxmlformats.org/officeDocument/2006/relationships/hyperlink" Target="https://www.amazon.com/dp/B0BKSXD5Z2" TargetMode="External"/><Relationship Id="rId116" Type="http://schemas.openxmlformats.org/officeDocument/2006/relationships/hyperlink" Target="https://images-na.ssl-images-amazon.com/images/I/71MMeRj+CEL._AC_US600_.jpg" TargetMode="External"/><Relationship Id="rId115" Type="http://schemas.openxmlformats.org/officeDocument/2006/relationships/hyperlink" Target="https://www.amazon.com/dp/B0BKSVFNSM?psc=1" TargetMode="External"/><Relationship Id="rId114" Type="http://schemas.openxmlformats.org/officeDocument/2006/relationships/hyperlink" Target="https://www.amazon.com/dp/B0BKSVFNSM" TargetMode="External"/><Relationship Id="rId113" Type="http://schemas.openxmlformats.org/officeDocument/2006/relationships/hyperlink" Target="https://www.amazon.com/dp/B0BN181XPV" TargetMode="External"/><Relationship Id="rId112" Type="http://schemas.openxmlformats.org/officeDocument/2006/relationships/hyperlink" Target="https://images-na.ssl-images-amazon.com/images/I/51pxyeb3z6L._AC_US600_.jpg" TargetMode="External"/><Relationship Id="rId111" Type="http://schemas.openxmlformats.org/officeDocument/2006/relationships/hyperlink" Target="https://www.amazon.com/dp/B0B1TKV6KP?psc=1" TargetMode="External"/><Relationship Id="rId110" Type="http://schemas.openxmlformats.org/officeDocument/2006/relationships/hyperlink" Target="https://www.amazon.com/dp/B0B1TKV6KP" TargetMode="External"/><Relationship Id="rId11" Type="http://schemas.openxmlformats.org/officeDocument/2006/relationships/hyperlink" Target="https://www.amazon.com/dp/B0D12QBDKB?psc=1" TargetMode="External"/><Relationship Id="rId109" Type="http://schemas.openxmlformats.org/officeDocument/2006/relationships/hyperlink" Target="https://www.amazon.com/gp/help/seller/at-a-glance.html/ref=dp_merchant_link?seller=A3EYPCAO38F4RQ" TargetMode="External"/><Relationship Id="rId108" Type="http://schemas.openxmlformats.org/officeDocument/2006/relationships/hyperlink" Target="https://www.amazon.com/b?node=1045624" TargetMode="External"/><Relationship Id="rId107" Type="http://schemas.openxmlformats.org/officeDocument/2006/relationships/hyperlink" Target="https://www.amazon.com/dp/B09N1B76TC" TargetMode="External"/><Relationship Id="rId106" Type="http://schemas.openxmlformats.org/officeDocument/2006/relationships/hyperlink" Target="https://m.media-amazon.com/images/I/41AbKkZsehL._AC_SR600,600_.jpg" TargetMode="External"/><Relationship Id="rId105" Type="http://schemas.openxmlformats.org/officeDocument/2006/relationships/hyperlink" Target="https://www.amazon.com/dp/B08DR85BV8?psc=1" TargetMode="External"/><Relationship Id="rId104" Type="http://schemas.openxmlformats.org/officeDocument/2006/relationships/hyperlink" Target="https://www.amazon.com/stores/Ryannology/page/8CC69922-1DCB-4EF0-B846-4421B02AA86F?ref_=ast_bln&amp;store_ref=bl_ast_dp_brandLogo_sto" TargetMode="External"/><Relationship Id="rId103" Type="http://schemas.openxmlformats.org/officeDocument/2006/relationships/hyperlink" Target="https://www.amazon.com/dp/B08DR85BV8" TargetMode="External"/><Relationship Id="rId102" Type="http://schemas.openxmlformats.org/officeDocument/2006/relationships/hyperlink" Target="https://www.amazon.com/dp/B0DF2HBBWS" TargetMode="External"/><Relationship Id="rId101" Type="http://schemas.openxmlformats.org/officeDocument/2006/relationships/hyperlink" Target="https://m.media-amazon.com/images/I/41q+eay25mL._AC_SR600,600_.jpg" TargetMode="External"/><Relationship Id="rId100" Type="http://schemas.openxmlformats.org/officeDocument/2006/relationships/hyperlink" Target="https://www.amazon.com/dp/B09B7LS4WP?psc=1" TargetMode="External"/><Relationship Id="rId10" Type="http://schemas.openxmlformats.org/officeDocument/2006/relationships/hyperlink" Target="https://www.amazon.com/stores/LETSEE/page/720EC636-72C3-4878-A8D7-A8E7B5CB6E40?ref_=ast_bln" TargetMode="External"/><Relationship Id="rId1" Type="http://schemas.openxmlformats.org/officeDocument/2006/relationships/hyperlink" Target="https://www.amazon.com/dp/B0D25H8TG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F101"/>
  <sheetViews>
    <sheetView workbookViewId="0">
      <pane ySplit="1" topLeftCell="A68" activePane="bottomLeft" state="frozen"/>
      <selection/>
      <selection pane="bottomLeft" activeCell="A100" sqref="A100 A99 A94 A95 A101 A97 A98 A83 A96 A90 A91 A92 A72 A89 A82 A81 A88 A87 A86 A85 A84 A80 A75 A60 A78 A79 A57 A77 A76 A74 A69 A73 A70 A71 A68 A67 A12 A6 A10 A7 A4 A3 A5 A93 A8 A2 A9 A15 A17 A11 A18 A14 A20 A16 A23 A22 A25 A24 A26 A19 A13 A21 A31 A29 A33 A32 A34 A36 A28 A27 A37 A39 A35 A41 A43 A42 A45 A46 A40 A30 A48 A38 A51 A47 A52 A44 A50 A55 A49 A53 A58 A59 A56 A54 A62 A61 A64 A63 A65 A66"/>
    </sheetView>
  </sheetViews>
  <sheetFormatPr defaultColWidth="9" defaultRowHeight="14.4"/>
  <cols>
    <col min="1" max="1" width="8" style="8" customWidth="1"/>
    <col min="2" max="4" width="14" style="8" customWidth="1"/>
    <col min="5" max="6" width="13" style="8" customWidth="1"/>
    <col min="7" max="7" width="35" style="8" customWidth="1"/>
    <col min="8" max="8" width="14" style="8" customWidth="1"/>
    <col min="9" max="9" width="14" style="8" hidden="1" customWidth="1"/>
    <col min="10" max="10" width="14" style="8" customWidth="1"/>
    <col min="11" max="12" width="20" style="8" customWidth="1"/>
    <col min="13" max="13" width="12" style="9" customWidth="1"/>
    <col min="14" max="14" width="16" style="9" customWidth="1"/>
    <col min="15" max="15" width="16" style="10" customWidth="1"/>
    <col min="16" max="16" width="25" style="8" customWidth="1"/>
    <col min="17" max="17" width="12" style="9" customWidth="1"/>
    <col min="18" max="18" width="13" style="9" customWidth="1"/>
    <col min="19" max="19" width="13" style="10" customWidth="1"/>
    <col min="20" max="20" width="15" style="9" customWidth="1"/>
    <col min="21" max="21" width="13" style="8" customWidth="1"/>
    <col min="22" max="22" width="13" style="9" customWidth="1"/>
    <col min="23" max="23" width="10" style="9" customWidth="1"/>
    <col min="24" max="24" width="10" style="11" customWidth="1"/>
    <col min="25" max="26" width="12" style="11" customWidth="1"/>
    <col min="27" max="28" width="10" style="9" customWidth="1"/>
    <col min="29" max="29" width="15" style="9" customWidth="1"/>
    <col min="30" max="30" width="10" style="12" customWidth="1"/>
    <col min="31" max="31" width="10" style="13" customWidth="1"/>
    <col min="32" max="32" width="10" style="11" customWidth="1"/>
    <col min="33" max="34" width="10" style="10" customWidth="1"/>
    <col min="35" max="35" width="18" style="8" customWidth="1"/>
    <col min="36" max="36" width="12" style="9" customWidth="1"/>
    <col min="37" max="37" width="10" style="8" customWidth="1"/>
    <col min="38" max="38" width="12" style="9" customWidth="1"/>
    <col min="39" max="39" width="10" style="9" customWidth="1"/>
    <col min="40" max="41" width="18" style="8" customWidth="1"/>
    <col min="42" max="42" width="13" style="8" customWidth="1"/>
    <col min="43" max="44" width="37" style="8" customWidth="1"/>
    <col min="45" max="45" width="16" style="8" customWidth="1"/>
    <col min="46" max="46" width="17" style="8" customWidth="1"/>
    <col min="47" max="47" width="18" style="8" customWidth="1"/>
    <col min="48" max="48" width="9" style="8" customWidth="1"/>
    <col min="49" max="49" width="10" style="8" customWidth="1"/>
    <col min="50" max="50" width="8" style="8" customWidth="1"/>
    <col min="51" max="52" width="10" style="8" customWidth="1"/>
    <col min="53" max="53" width="9" style="8" customWidth="1"/>
    <col min="54" max="54" width="24" style="8" customWidth="1"/>
    <col min="55" max="56" width="18" style="8" customWidth="1"/>
    <col min="57" max="58" width="30" style="8" customWidth="1"/>
  </cols>
  <sheetData>
    <row r="1" ht="27" customHeight="1" spans="1:58">
      <c r="A1" s="14" t="s">
        <v>0</v>
      </c>
      <c r="B1" s="14" t="s">
        <v>1</v>
      </c>
      <c r="C1" s="14" t="s">
        <v>2</v>
      </c>
      <c r="D1" s="14" t="s">
        <v>3</v>
      </c>
      <c r="E1" s="14" t="s">
        <v>4</v>
      </c>
      <c r="F1" s="14" t="s">
        <v>5</v>
      </c>
      <c r="G1" s="14" t="s">
        <v>6</v>
      </c>
      <c r="H1" s="14" t="s">
        <v>7</v>
      </c>
      <c r="I1" s="14" t="s">
        <v>8</v>
      </c>
      <c r="J1" s="14" t="s">
        <v>9</v>
      </c>
      <c r="K1" s="14" t="s">
        <v>10</v>
      </c>
      <c r="L1" s="14" t="s">
        <v>11</v>
      </c>
      <c r="M1" s="16" t="s">
        <v>12</v>
      </c>
      <c r="N1" s="16" t="s">
        <v>13</v>
      </c>
      <c r="O1" s="17" t="s">
        <v>14</v>
      </c>
      <c r="P1" s="14" t="s">
        <v>15</v>
      </c>
      <c r="Q1" s="16" t="s">
        <v>16</v>
      </c>
      <c r="R1" s="16" t="s">
        <v>17</v>
      </c>
      <c r="S1" s="17" t="s">
        <v>18</v>
      </c>
      <c r="T1" s="16" t="s">
        <v>19</v>
      </c>
      <c r="U1" s="14" t="s">
        <v>20</v>
      </c>
      <c r="V1" s="16" t="s">
        <v>21</v>
      </c>
      <c r="W1" s="16" t="s">
        <v>22</v>
      </c>
      <c r="X1" s="22" t="s">
        <v>23</v>
      </c>
      <c r="Y1" s="22" t="s">
        <v>24</v>
      </c>
      <c r="Z1" s="14" t="s">
        <v>25</v>
      </c>
      <c r="AA1" s="16" t="s">
        <v>26</v>
      </c>
      <c r="AB1" s="16" t="s">
        <v>27</v>
      </c>
      <c r="AC1" s="16" t="s">
        <v>28</v>
      </c>
      <c r="AD1" s="27" t="s">
        <v>29</v>
      </c>
      <c r="AE1" s="28" t="s">
        <v>30</v>
      </c>
      <c r="AF1" s="22" t="s">
        <v>31</v>
      </c>
      <c r="AG1" s="17" t="s">
        <v>32</v>
      </c>
      <c r="AH1" s="14" t="s">
        <v>33</v>
      </c>
      <c r="AI1" s="14" t="s">
        <v>34</v>
      </c>
      <c r="AJ1" s="16" t="s">
        <v>35</v>
      </c>
      <c r="AK1" s="14" t="s">
        <v>36</v>
      </c>
      <c r="AL1" s="16" t="s">
        <v>37</v>
      </c>
      <c r="AM1" s="16" t="s">
        <v>38</v>
      </c>
      <c r="AN1" s="14" t="s">
        <v>39</v>
      </c>
      <c r="AO1" s="14" t="s">
        <v>40</v>
      </c>
      <c r="AP1" s="14" t="s">
        <v>41</v>
      </c>
      <c r="AQ1" s="14" t="s">
        <v>42</v>
      </c>
      <c r="AR1" s="14" t="s">
        <v>43</v>
      </c>
      <c r="AS1" s="14" t="s">
        <v>44</v>
      </c>
      <c r="AT1" s="14" t="s">
        <v>45</v>
      </c>
      <c r="AU1" s="14" t="s">
        <v>46</v>
      </c>
      <c r="AV1" s="14" t="s">
        <v>47</v>
      </c>
      <c r="AW1" s="14" t="s">
        <v>48</v>
      </c>
      <c r="AX1" s="14" t="s">
        <v>49</v>
      </c>
      <c r="AY1" s="14" t="s">
        <v>50</v>
      </c>
      <c r="AZ1" s="14" t="s">
        <v>51</v>
      </c>
      <c r="BA1" s="14" t="s">
        <v>52</v>
      </c>
      <c r="BB1" s="14" t="s">
        <v>53</v>
      </c>
      <c r="BC1" s="14" t="s">
        <v>54</v>
      </c>
      <c r="BD1" s="14" t="s">
        <v>54</v>
      </c>
      <c r="BE1" s="14" t="s">
        <v>55</v>
      </c>
      <c r="BF1" s="14" t="s">
        <v>55</v>
      </c>
    </row>
    <row r="2" ht="24" hidden="1" customHeight="1" spans="1:58">
      <c r="A2" s="1" t="str">
        <f>_xlfn.DISPIMG("ID_9BB6699F8417467D8583EC28872B47C4",1)</f>
        <v>=DISPIMG("ID_9BB6699F8417467D8583EC28872B47C4",1)</v>
      </c>
      <c r="B2" s="15" t="s">
        <v>56</v>
      </c>
      <c r="C2" s="15" t="s">
        <v>57</v>
      </c>
      <c r="D2" s="15" t="s">
        <v>58</v>
      </c>
      <c r="E2" s="15" t="s">
        <v>59</v>
      </c>
      <c r="F2" s="15" t="s">
        <v>60</v>
      </c>
      <c r="G2" s="15" t="s">
        <v>61</v>
      </c>
      <c r="H2" s="15" t="s">
        <v>62</v>
      </c>
      <c r="I2" s="15" t="s">
        <v>63</v>
      </c>
      <c r="J2" s="15" t="s">
        <v>64</v>
      </c>
      <c r="K2" s="15" t="s">
        <v>65</v>
      </c>
      <c r="L2" s="15" t="s">
        <v>66</v>
      </c>
      <c r="M2" s="18">
        <v>9363</v>
      </c>
      <c r="N2" s="18">
        <v>-29</v>
      </c>
      <c r="O2" s="19">
        <v>-0.0043</v>
      </c>
      <c r="P2" s="20" t="s">
        <v>67</v>
      </c>
      <c r="Q2" s="23" t="s">
        <v>68</v>
      </c>
      <c r="R2" s="18">
        <v>3135</v>
      </c>
      <c r="S2" s="19">
        <v>-0.3902</v>
      </c>
      <c r="T2" s="18">
        <v>90883.65</v>
      </c>
      <c r="U2" s="24" t="s">
        <v>69</v>
      </c>
      <c r="V2" s="18">
        <v>2899</v>
      </c>
      <c r="W2" s="25">
        <v>152</v>
      </c>
      <c r="X2" s="26">
        <v>28.99</v>
      </c>
      <c r="Y2" s="26">
        <v>23.19</v>
      </c>
      <c r="Z2" s="8"/>
      <c r="AB2" s="25">
        <v>223</v>
      </c>
      <c r="AC2" s="18">
        <v>42</v>
      </c>
      <c r="AD2" s="29">
        <v>4.2</v>
      </c>
      <c r="AE2" s="30">
        <v>0.0134</v>
      </c>
      <c r="AF2" s="26">
        <v>5.82</v>
      </c>
      <c r="AG2" s="19">
        <v>0.5992</v>
      </c>
      <c r="AI2" s="1" t="s">
        <v>70</v>
      </c>
      <c r="AJ2" s="25">
        <v>14</v>
      </c>
      <c r="AK2" s="1" t="s">
        <v>71</v>
      </c>
      <c r="AL2" s="25">
        <v>9.8</v>
      </c>
      <c r="AM2" s="25">
        <v>1</v>
      </c>
      <c r="AN2" s="15" t="s">
        <v>72</v>
      </c>
      <c r="AO2" s="1" t="s">
        <v>71</v>
      </c>
      <c r="AP2" s="1" t="s">
        <v>73</v>
      </c>
      <c r="AQ2" s="15" t="s">
        <v>74</v>
      </c>
      <c r="AR2" s="1" t="s">
        <v>75</v>
      </c>
      <c r="AS2" s="1" t="s">
        <v>76</v>
      </c>
      <c r="AT2" s="1" t="s">
        <v>76</v>
      </c>
      <c r="AU2" s="1" t="s">
        <v>76</v>
      </c>
      <c r="AV2" s="1" t="s">
        <v>77</v>
      </c>
      <c r="AW2" s="1" t="s">
        <v>76</v>
      </c>
      <c r="AX2" s="1" t="s">
        <v>77</v>
      </c>
      <c r="AY2" s="1" t="s">
        <v>77</v>
      </c>
      <c r="AZ2" s="1" t="s">
        <v>76</v>
      </c>
      <c r="BA2" s="15" t="s">
        <v>76</v>
      </c>
      <c r="BC2" s="24" t="s">
        <v>78</v>
      </c>
      <c r="BD2" s="24" t="s">
        <v>79</v>
      </c>
      <c r="BE2" s="24" t="s">
        <v>80</v>
      </c>
      <c r="BF2" s="1" t="s">
        <v>81</v>
      </c>
    </row>
    <row r="3" ht="24" hidden="1" customHeight="1" spans="1:58">
      <c r="A3" s="1" t="str">
        <f>_xlfn.DISPIMG("ID_1BD8C3BEA7D04B2FB3BD63A40757DA5C",1)</f>
        <v>=DISPIMG("ID_1BD8C3BEA7D04B2FB3BD63A40757DA5C",1)</v>
      </c>
      <c r="B3" s="15" t="s">
        <v>82</v>
      </c>
      <c r="C3" s="15" t="s">
        <v>83</v>
      </c>
      <c r="D3" s="15" t="s">
        <v>58</v>
      </c>
      <c r="E3" s="15" t="s">
        <v>84</v>
      </c>
      <c r="F3" s="15" t="s">
        <v>85</v>
      </c>
      <c r="G3" s="15" t="s">
        <v>86</v>
      </c>
      <c r="H3" s="15" t="s">
        <v>87</v>
      </c>
      <c r="I3" s="15" t="s">
        <v>88</v>
      </c>
      <c r="J3" s="15" t="s">
        <v>89</v>
      </c>
      <c r="K3" s="15" t="s">
        <v>65</v>
      </c>
      <c r="L3" s="15" t="s">
        <v>66</v>
      </c>
      <c r="M3" s="18">
        <v>13254</v>
      </c>
      <c r="N3" s="18">
        <v>2619</v>
      </c>
      <c r="O3" s="19">
        <v>0.165</v>
      </c>
      <c r="P3" s="20" t="s">
        <v>67</v>
      </c>
      <c r="Q3" s="23" t="s">
        <v>90</v>
      </c>
      <c r="R3" s="18">
        <v>2397</v>
      </c>
      <c r="S3" s="19">
        <v>-0.2817</v>
      </c>
      <c r="T3" s="18">
        <v>69489.03</v>
      </c>
      <c r="U3" s="24" t="s">
        <v>91</v>
      </c>
      <c r="V3" s="18">
        <v>1449.5</v>
      </c>
      <c r="W3" s="25">
        <v>156</v>
      </c>
      <c r="X3" s="26">
        <v>28.99</v>
      </c>
      <c r="Y3" s="26">
        <v>23.19</v>
      </c>
      <c r="Z3" s="8"/>
      <c r="AB3" s="25">
        <v>257</v>
      </c>
      <c r="AC3" s="18">
        <v>30</v>
      </c>
      <c r="AD3" s="29">
        <v>4.3</v>
      </c>
      <c r="AE3" s="30">
        <v>0.0125</v>
      </c>
      <c r="AF3" s="26">
        <v>5.82</v>
      </c>
      <c r="AG3" s="19">
        <v>0.5992</v>
      </c>
      <c r="AI3" s="1" t="s">
        <v>92</v>
      </c>
      <c r="AJ3" s="25">
        <v>222</v>
      </c>
      <c r="AK3" s="1" t="s">
        <v>71</v>
      </c>
      <c r="AL3" s="25">
        <v>9.8</v>
      </c>
      <c r="AM3" s="25">
        <v>1</v>
      </c>
      <c r="AN3" s="15" t="s">
        <v>93</v>
      </c>
      <c r="AO3" s="1" t="s">
        <v>71</v>
      </c>
      <c r="AP3" s="1" t="s">
        <v>73</v>
      </c>
      <c r="AQ3" s="15" t="s">
        <v>94</v>
      </c>
      <c r="AR3" s="1" t="s">
        <v>95</v>
      </c>
      <c r="AS3" s="1" t="s">
        <v>76</v>
      </c>
      <c r="AT3" s="1" t="s">
        <v>76</v>
      </c>
      <c r="AU3" s="1" t="s">
        <v>77</v>
      </c>
      <c r="AV3" s="1" t="s">
        <v>77</v>
      </c>
      <c r="AW3" s="1" t="s">
        <v>77</v>
      </c>
      <c r="AX3" s="1" t="s">
        <v>77</v>
      </c>
      <c r="AY3" s="1" t="s">
        <v>77</v>
      </c>
      <c r="AZ3" s="1" t="s">
        <v>76</v>
      </c>
      <c r="BA3" s="15" t="s">
        <v>76</v>
      </c>
      <c r="BC3" s="24" t="s">
        <v>96</v>
      </c>
      <c r="BD3" s="24" t="s">
        <v>97</v>
      </c>
      <c r="BE3" s="24" t="s">
        <v>98</v>
      </c>
      <c r="BF3" s="1" t="s">
        <v>99</v>
      </c>
    </row>
    <row r="4" ht="24" customHeight="1" spans="1:58">
      <c r="A4" s="1" t="str">
        <f>_xlfn.DISPIMG("ID_34B2687A4DFC46228EEBD3EFFF5D7023",1)</f>
        <v>=DISPIMG("ID_34B2687A4DFC46228EEBD3EFFF5D7023",1)</v>
      </c>
      <c r="B4" s="15" t="s">
        <v>100</v>
      </c>
      <c r="C4" s="15" t="s">
        <v>101</v>
      </c>
      <c r="D4" s="15" t="s">
        <v>102</v>
      </c>
      <c r="E4" s="15" t="s">
        <v>103</v>
      </c>
      <c r="F4" s="15" t="s">
        <v>104</v>
      </c>
      <c r="G4" s="15" t="s">
        <v>105</v>
      </c>
      <c r="H4" s="15" t="s">
        <v>106</v>
      </c>
      <c r="I4" s="15" t="s">
        <v>107</v>
      </c>
      <c r="J4" s="15" t="s">
        <v>108</v>
      </c>
      <c r="K4" s="15" t="s">
        <v>65</v>
      </c>
      <c r="L4" s="15" t="s">
        <v>66</v>
      </c>
      <c r="M4" s="18">
        <v>629</v>
      </c>
      <c r="N4" s="18">
        <v>-190</v>
      </c>
      <c r="O4" s="19">
        <v>-0.475</v>
      </c>
      <c r="P4" s="20" t="s">
        <v>67</v>
      </c>
      <c r="Q4" s="23" t="s">
        <v>109</v>
      </c>
      <c r="R4" s="18">
        <v>19622</v>
      </c>
      <c r="S4" s="19">
        <v>-0.3317</v>
      </c>
      <c r="T4" s="18">
        <v>588463.75</v>
      </c>
      <c r="U4" s="24" t="s">
        <v>69</v>
      </c>
      <c r="V4" s="18">
        <v>2999</v>
      </c>
      <c r="W4" s="25">
        <v>174</v>
      </c>
      <c r="X4" s="26">
        <v>29.99</v>
      </c>
      <c r="Z4" s="8"/>
      <c r="AA4" s="18">
        <v>25</v>
      </c>
      <c r="AB4" s="25">
        <v>4589</v>
      </c>
      <c r="AC4" s="18">
        <v>0</v>
      </c>
      <c r="AD4" s="29">
        <v>4.2</v>
      </c>
      <c r="AE4" s="30">
        <v>0</v>
      </c>
      <c r="AF4" s="26">
        <v>6.4</v>
      </c>
      <c r="AG4" s="19">
        <v>0.5498</v>
      </c>
      <c r="AI4" s="1" t="s">
        <v>110</v>
      </c>
      <c r="AJ4" s="25">
        <v>736</v>
      </c>
      <c r="AK4" s="1" t="s">
        <v>71</v>
      </c>
      <c r="AL4" s="25">
        <v>10</v>
      </c>
      <c r="AM4" s="25">
        <v>1</v>
      </c>
      <c r="AN4" s="15" t="s">
        <v>111</v>
      </c>
      <c r="AO4" s="1" t="s">
        <v>71</v>
      </c>
      <c r="AP4" s="1" t="s">
        <v>112</v>
      </c>
      <c r="AQ4" s="15" t="s">
        <v>113</v>
      </c>
      <c r="AR4" s="1" t="s">
        <v>114</v>
      </c>
      <c r="AS4" s="1" t="s">
        <v>77</v>
      </c>
      <c r="AT4" s="1" t="s">
        <v>77</v>
      </c>
      <c r="AU4" s="1" t="s">
        <v>76</v>
      </c>
      <c r="AV4" s="1" t="s">
        <v>77</v>
      </c>
      <c r="AW4" s="1" t="s">
        <v>77</v>
      </c>
      <c r="AX4" s="1" t="s">
        <v>77</v>
      </c>
      <c r="AY4" s="1" t="s">
        <v>77</v>
      </c>
      <c r="AZ4" s="1" t="s">
        <v>76</v>
      </c>
      <c r="BA4" s="15" t="s">
        <v>76</v>
      </c>
      <c r="BB4" s="24" t="s">
        <v>115</v>
      </c>
      <c r="BC4" s="24" t="s">
        <v>116</v>
      </c>
      <c r="BD4" s="24" t="s">
        <v>117</v>
      </c>
      <c r="BE4" s="24" t="s">
        <v>118</v>
      </c>
      <c r="BF4" s="1" t="s">
        <v>119</v>
      </c>
    </row>
    <row r="5" ht="24" customHeight="1" spans="1:58">
      <c r="A5" s="1" t="str">
        <f>_xlfn.DISPIMG("ID_A0F13DDE8B334B29A36711F9FF5EBD48",1)</f>
        <v>=DISPIMG("ID_A0F13DDE8B334B29A36711F9FF5EBD48",1)</v>
      </c>
      <c r="B5" s="15" t="s">
        <v>120</v>
      </c>
      <c r="C5" s="15" t="s">
        <v>76</v>
      </c>
      <c r="D5" s="15" t="s">
        <v>102</v>
      </c>
      <c r="E5" s="15" t="s">
        <v>103</v>
      </c>
      <c r="F5" s="15" t="s">
        <v>104</v>
      </c>
      <c r="G5" s="15" t="s">
        <v>121</v>
      </c>
      <c r="H5" s="15" t="s">
        <v>122</v>
      </c>
      <c r="I5" s="15" t="s">
        <v>123</v>
      </c>
      <c r="J5" s="15" t="s">
        <v>120</v>
      </c>
      <c r="K5" s="15" t="s">
        <v>65</v>
      </c>
      <c r="L5" s="15" t="s">
        <v>66</v>
      </c>
      <c r="M5" s="18">
        <v>33734</v>
      </c>
      <c r="N5" s="18">
        <v>-25977</v>
      </c>
      <c r="O5" s="19">
        <v>-60.5524</v>
      </c>
      <c r="P5" s="20" t="s">
        <v>67</v>
      </c>
      <c r="Q5" s="23" t="s">
        <v>124</v>
      </c>
      <c r="R5" s="18">
        <v>19264</v>
      </c>
      <c r="S5" s="19">
        <v>-0.2907</v>
      </c>
      <c r="T5" s="18">
        <v>577727.4</v>
      </c>
      <c r="U5" s="24" t="s">
        <v>125</v>
      </c>
      <c r="V5" s="18">
        <v>29990</v>
      </c>
      <c r="W5" s="25">
        <v>1</v>
      </c>
      <c r="X5" s="26">
        <v>29.99</v>
      </c>
      <c r="Z5" s="8"/>
      <c r="AA5" s="18">
        <v>25</v>
      </c>
      <c r="AB5" s="25">
        <v>299</v>
      </c>
      <c r="AC5" s="18">
        <v>0</v>
      </c>
      <c r="AD5" s="29">
        <v>4.3</v>
      </c>
      <c r="AE5" s="30">
        <v>0</v>
      </c>
      <c r="AF5" s="26">
        <v>5.39</v>
      </c>
      <c r="AG5" s="19">
        <v>0.6203</v>
      </c>
      <c r="AI5" s="1" t="s">
        <v>126</v>
      </c>
      <c r="AJ5" s="25">
        <v>647</v>
      </c>
      <c r="AK5" s="1" t="s">
        <v>71</v>
      </c>
      <c r="AL5" s="25">
        <v>10</v>
      </c>
      <c r="AM5" s="25">
        <v>1</v>
      </c>
      <c r="AN5" s="15" t="s">
        <v>111</v>
      </c>
      <c r="AO5" s="1" t="s">
        <v>71</v>
      </c>
      <c r="AP5" s="1" t="s">
        <v>112</v>
      </c>
      <c r="AQ5" s="15" t="s">
        <v>113</v>
      </c>
      <c r="AR5" s="1" t="s">
        <v>114</v>
      </c>
      <c r="AS5" s="1" t="s">
        <v>77</v>
      </c>
      <c r="AT5" s="1" t="s">
        <v>77</v>
      </c>
      <c r="AU5" s="1" t="s">
        <v>76</v>
      </c>
      <c r="AV5" s="1" t="s">
        <v>77</v>
      </c>
      <c r="AW5" s="1" t="s">
        <v>77</v>
      </c>
      <c r="AX5" s="1" t="s">
        <v>77</v>
      </c>
      <c r="AY5" s="1" t="s">
        <v>77</v>
      </c>
      <c r="AZ5" s="1" t="s">
        <v>76</v>
      </c>
      <c r="BA5" s="15" t="s">
        <v>76</v>
      </c>
      <c r="BB5" s="24" t="s">
        <v>127</v>
      </c>
      <c r="BC5" s="24" t="s">
        <v>128</v>
      </c>
      <c r="BD5" s="24" t="s">
        <v>129</v>
      </c>
      <c r="BE5" s="24" t="s">
        <v>130</v>
      </c>
      <c r="BF5" s="1" t="s">
        <v>131</v>
      </c>
    </row>
    <row r="6" ht="24" customHeight="1" spans="1:58">
      <c r="A6" s="1" t="str">
        <f>_xlfn.DISPIMG("ID_0B07DAE0F2D94F6E862950B1E0BBD0DE",1)</f>
        <v>=DISPIMG("ID_0B07DAE0F2D94F6E862950B1E0BBD0DE",1)</v>
      </c>
      <c r="B6" s="15" t="s">
        <v>132</v>
      </c>
      <c r="C6" s="15" t="s">
        <v>133</v>
      </c>
      <c r="D6" s="15" t="s">
        <v>102</v>
      </c>
      <c r="E6" s="15" t="s">
        <v>103</v>
      </c>
      <c r="F6" s="15" t="s">
        <v>104</v>
      </c>
      <c r="G6" s="15" t="s">
        <v>105</v>
      </c>
      <c r="H6" s="15" t="s">
        <v>134</v>
      </c>
      <c r="I6" s="15" t="s">
        <v>135</v>
      </c>
      <c r="J6" s="15" t="s">
        <v>108</v>
      </c>
      <c r="K6" s="15" t="s">
        <v>65</v>
      </c>
      <c r="L6" s="15" t="s">
        <v>66</v>
      </c>
      <c r="M6" s="18">
        <v>629</v>
      </c>
      <c r="N6" s="18">
        <v>-190</v>
      </c>
      <c r="O6" s="19">
        <v>-0.475</v>
      </c>
      <c r="P6" s="20" t="s">
        <v>67</v>
      </c>
      <c r="Q6" s="23" t="s">
        <v>109</v>
      </c>
      <c r="R6" s="18">
        <v>19622</v>
      </c>
      <c r="S6" s="19">
        <v>-0.3317</v>
      </c>
      <c r="T6" s="18">
        <v>501930.75</v>
      </c>
      <c r="U6" s="24" t="s">
        <v>69</v>
      </c>
      <c r="V6" s="18">
        <v>2558</v>
      </c>
      <c r="W6" s="25">
        <v>174</v>
      </c>
      <c r="X6" s="26">
        <v>29.99</v>
      </c>
      <c r="Z6" s="8"/>
      <c r="AA6" s="18">
        <v>25</v>
      </c>
      <c r="AB6" s="25">
        <v>4589</v>
      </c>
      <c r="AC6" s="18">
        <v>0</v>
      </c>
      <c r="AD6" s="29">
        <v>4.2</v>
      </c>
      <c r="AE6" s="30">
        <v>0</v>
      </c>
      <c r="AF6" s="26">
        <v>6.4</v>
      </c>
      <c r="AG6" s="19">
        <v>0.5498</v>
      </c>
      <c r="AI6" s="1" t="s">
        <v>110</v>
      </c>
      <c r="AJ6" s="25">
        <v>736</v>
      </c>
      <c r="AK6" s="1" t="s">
        <v>71</v>
      </c>
      <c r="AL6" s="25">
        <v>10</v>
      </c>
      <c r="AM6" s="25">
        <v>1</v>
      </c>
      <c r="AN6" s="15" t="s">
        <v>111</v>
      </c>
      <c r="AO6" s="1" t="s">
        <v>71</v>
      </c>
      <c r="AP6" s="1" t="s">
        <v>112</v>
      </c>
      <c r="AQ6" s="15" t="s">
        <v>113</v>
      </c>
      <c r="AR6" s="1" t="s">
        <v>114</v>
      </c>
      <c r="AS6" s="1" t="s">
        <v>77</v>
      </c>
      <c r="AT6" s="1" t="s">
        <v>77</v>
      </c>
      <c r="AU6" s="1" t="s">
        <v>76</v>
      </c>
      <c r="AV6" s="1" t="s">
        <v>77</v>
      </c>
      <c r="AW6" s="1" t="s">
        <v>77</v>
      </c>
      <c r="AX6" s="1" t="s">
        <v>76</v>
      </c>
      <c r="AY6" s="1" t="s">
        <v>77</v>
      </c>
      <c r="AZ6" s="1" t="s">
        <v>76</v>
      </c>
      <c r="BA6" s="15" t="s">
        <v>76</v>
      </c>
      <c r="BB6" s="24" t="s">
        <v>127</v>
      </c>
      <c r="BC6" s="24" t="s">
        <v>116</v>
      </c>
      <c r="BD6" s="24" t="s">
        <v>117</v>
      </c>
      <c r="BE6" s="24" t="s">
        <v>118</v>
      </c>
      <c r="BF6" s="1" t="s">
        <v>119</v>
      </c>
    </row>
    <row r="7" ht="24" customHeight="1" spans="1:58">
      <c r="A7" s="1" t="str">
        <f>_xlfn.DISPIMG("ID_168933CA91F941A4BBCE76ABF544B6D2",1)</f>
        <v>=DISPIMG("ID_168933CA91F941A4BBCE76ABF544B6D2",1)</v>
      </c>
      <c r="B7" s="15" t="s">
        <v>136</v>
      </c>
      <c r="C7" s="15" t="s">
        <v>137</v>
      </c>
      <c r="D7" s="15" t="s">
        <v>138</v>
      </c>
      <c r="E7" s="15" t="s">
        <v>103</v>
      </c>
      <c r="F7" s="15" t="s">
        <v>104</v>
      </c>
      <c r="G7" s="15" t="s">
        <v>139</v>
      </c>
      <c r="H7" s="15" t="s">
        <v>140</v>
      </c>
      <c r="I7" s="15" t="s">
        <v>141</v>
      </c>
      <c r="J7" s="15" t="s">
        <v>142</v>
      </c>
      <c r="K7" s="15" t="s">
        <v>65</v>
      </c>
      <c r="L7" s="15" t="s">
        <v>66</v>
      </c>
      <c r="M7" s="18">
        <v>5832</v>
      </c>
      <c r="N7" s="18">
        <v>-962</v>
      </c>
      <c r="O7" s="19">
        <v>-0.2104</v>
      </c>
      <c r="P7" s="20" t="s">
        <v>67</v>
      </c>
      <c r="Q7" s="23" t="s">
        <v>143</v>
      </c>
      <c r="R7" s="18">
        <v>4476</v>
      </c>
      <c r="S7" s="19">
        <v>-0.0583</v>
      </c>
      <c r="T7" s="18">
        <v>134235.23</v>
      </c>
      <c r="U7" s="24" t="s">
        <v>144</v>
      </c>
      <c r="V7" s="18">
        <v>8997</v>
      </c>
      <c r="W7" s="25">
        <v>233</v>
      </c>
      <c r="X7" s="26">
        <v>29.99</v>
      </c>
      <c r="Z7" s="8"/>
      <c r="AA7" s="18">
        <v>67</v>
      </c>
      <c r="AB7" s="25">
        <v>9772</v>
      </c>
      <c r="AC7" s="18">
        <v>49</v>
      </c>
      <c r="AD7" s="29">
        <v>4.2</v>
      </c>
      <c r="AE7" s="30">
        <v>0.0109</v>
      </c>
      <c r="AF7" s="26">
        <v>6.27</v>
      </c>
      <c r="AG7" s="19">
        <v>0.5909</v>
      </c>
      <c r="AI7" s="1" t="s">
        <v>145</v>
      </c>
      <c r="AJ7" s="25">
        <v>1243</v>
      </c>
      <c r="AK7" s="1" t="s">
        <v>71</v>
      </c>
      <c r="AL7" s="25">
        <v>10</v>
      </c>
      <c r="AM7" s="25">
        <v>1</v>
      </c>
      <c r="AN7" s="15" t="s">
        <v>103</v>
      </c>
      <c r="AO7" s="1" t="s">
        <v>71</v>
      </c>
      <c r="AP7" s="1" t="s">
        <v>73</v>
      </c>
      <c r="AQ7" s="15" t="s">
        <v>146</v>
      </c>
      <c r="AR7" s="1" t="s">
        <v>147</v>
      </c>
      <c r="AS7" s="1" t="s">
        <v>77</v>
      </c>
      <c r="AT7" s="1" t="s">
        <v>77</v>
      </c>
      <c r="AU7" s="1" t="s">
        <v>76</v>
      </c>
      <c r="AV7" s="1" t="s">
        <v>77</v>
      </c>
      <c r="AW7" s="1" t="s">
        <v>77</v>
      </c>
      <c r="AX7" s="1" t="s">
        <v>76</v>
      </c>
      <c r="AY7" s="1" t="s">
        <v>77</v>
      </c>
      <c r="AZ7" s="1" t="s">
        <v>76</v>
      </c>
      <c r="BA7" s="15" t="s">
        <v>76</v>
      </c>
      <c r="BB7" s="24" t="s">
        <v>148</v>
      </c>
      <c r="BC7" s="24" t="s">
        <v>149</v>
      </c>
      <c r="BD7" s="24" t="s">
        <v>150</v>
      </c>
      <c r="BE7" s="24" t="s">
        <v>151</v>
      </c>
      <c r="BF7" s="1" t="s">
        <v>152</v>
      </c>
    </row>
    <row r="8" ht="24" hidden="1" customHeight="1" spans="1:58">
      <c r="A8" s="1" t="str">
        <f>_xlfn.DISPIMG("ID_60225539C4B8461EB6B81F4E7E49D1A7",1)</f>
        <v>=DISPIMG("ID_60225539C4B8461EB6B81F4E7E49D1A7",1)</v>
      </c>
      <c r="B8" s="15" t="s">
        <v>153</v>
      </c>
      <c r="C8" s="15" t="s">
        <v>154</v>
      </c>
      <c r="D8" s="15" t="s">
        <v>155</v>
      </c>
      <c r="E8" s="15" t="s">
        <v>156</v>
      </c>
      <c r="F8" s="15" t="s">
        <v>157</v>
      </c>
      <c r="G8" s="15" t="s">
        <v>158</v>
      </c>
      <c r="H8" s="15" t="s">
        <v>159</v>
      </c>
      <c r="I8" s="15" t="s">
        <v>160</v>
      </c>
      <c r="J8" s="15" t="s">
        <v>161</v>
      </c>
      <c r="K8" s="15" t="s">
        <v>65</v>
      </c>
      <c r="L8" s="15" t="s">
        <v>66</v>
      </c>
      <c r="M8" s="18">
        <v>4806</v>
      </c>
      <c r="N8" s="18">
        <v>1669</v>
      </c>
      <c r="O8" s="19">
        <v>0.2694</v>
      </c>
      <c r="P8" s="20" t="s">
        <v>67</v>
      </c>
      <c r="Q8" s="23" t="s">
        <v>162</v>
      </c>
      <c r="R8" s="18">
        <v>4403</v>
      </c>
      <c r="S8" s="19">
        <v>-0.0172</v>
      </c>
      <c r="T8" s="18">
        <v>87971.94</v>
      </c>
      <c r="U8" s="24" t="s">
        <v>163</v>
      </c>
      <c r="V8" s="18">
        <v>13986</v>
      </c>
      <c r="W8" s="25">
        <v>73</v>
      </c>
      <c r="X8" s="26">
        <v>19.98</v>
      </c>
      <c r="Z8" s="8"/>
      <c r="AA8" s="18">
        <v>28</v>
      </c>
      <c r="AB8" s="25">
        <v>6335</v>
      </c>
      <c r="AC8" s="18">
        <v>40</v>
      </c>
      <c r="AD8" s="29">
        <v>4.4</v>
      </c>
      <c r="AE8" s="30">
        <v>0.0091</v>
      </c>
      <c r="AF8" s="26">
        <v>6.19</v>
      </c>
      <c r="AG8" s="19">
        <v>0.4902</v>
      </c>
      <c r="AI8" s="1" t="s">
        <v>164</v>
      </c>
      <c r="AJ8" s="25">
        <v>1696</v>
      </c>
      <c r="AK8" s="1" t="s">
        <v>71</v>
      </c>
      <c r="AL8" s="25">
        <v>9.9</v>
      </c>
      <c r="AM8" s="25">
        <v>1</v>
      </c>
      <c r="AN8" s="15" t="s">
        <v>165</v>
      </c>
      <c r="AO8" s="1" t="s">
        <v>71</v>
      </c>
      <c r="AP8" s="1" t="s">
        <v>73</v>
      </c>
      <c r="AQ8" s="15" t="s">
        <v>166</v>
      </c>
      <c r="AR8" s="1" t="s">
        <v>167</v>
      </c>
      <c r="AS8" s="1" t="s">
        <v>76</v>
      </c>
      <c r="AT8" s="1" t="s">
        <v>77</v>
      </c>
      <c r="AU8" s="1" t="s">
        <v>76</v>
      </c>
      <c r="AV8" s="1" t="s">
        <v>77</v>
      </c>
      <c r="AW8" s="1" t="s">
        <v>77</v>
      </c>
      <c r="AX8" s="1" t="s">
        <v>76</v>
      </c>
      <c r="AY8" s="1" t="s">
        <v>77</v>
      </c>
      <c r="AZ8" s="1" t="s">
        <v>76</v>
      </c>
      <c r="BA8" s="15" t="s">
        <v>77</v>
      </c>
      <c r="BB8" s="24" t="s">
        <v>76</v>
      </c>
      <c r="BC8" s="24" t="s">
        <v>96</v>
      </c>
      <c r="BD8" s="24" t="s">
        <v>97</v>
      </c>
      <c r="BE8" s="24" t="s">
        <v>168</v>
      </c>
      <c r="BF8" s="1" t="s">
        <v>169</v>
      </c>
    </row>
    <row r="9" ht="24" hidden="1" customHeight="1" spans="1:58">
      <c r="A9" s="1" t="str">
        <f>_xlfn.DISPIMG("ID_6486421BA9514E2B9B3A62A074B7B3E4",1)</f>
        <v>=DISPIMG("ID_6486421BA9514E2B9B3A62A074B7B3E4",1)</v>
      </c>
      <c r="B9" s="15" t="s">
        <v>170</v>
      </c>
      <c r="C9" s="15" t="s">
        <v>171</v>
      </c>
      <c r="D9" s="15" t="s">
        <v>58</v>
      </c>
      <c r="E9" s="15" t="s">
        <v>59</v>
      </c>
      <c r="F9" s="15" t="s">
        <v>60</v>
      </c>
      <c r="G9" s="15" t="s">
        <v>61</v>
      </c>
      <c r="H9" s="15" t="s">
        <v>172</v>
      </c>
      <c r="I9" s="15" t="s">
        <v>63</v>
      </c>
      <c r="J9" s="15" t="s">
        <v>64</v>
      </c>
      <c r="K9" s="15" t="s">
        <v>65</v>
      </c>
      <c r="L9" s="15" t="s">
        <v>66</v>
      </c>
      <c r="M9" s="18">
        <v>9363</v>
      </c>
      <c r="N9" s="18">
        <v>-29</v>
      </c>
      <c r="O9" s="19">
        <v>-0.0043</v>
      </c>
      <c r="P9" s="20" t="s">
        <v>67</v>
      </c>
      <c r="Q9" s="23" t="s">
        <v>68</v>
      </c>
      <c r="R9" s="18">
        <v>3135</v>
      </c>
      <c r="S9" s="19">
        <v>-0.3902</v>
      </c>
      <c r="T9" s="18">
        <v>90883.65</v>
      </c>
      <c r="U9" s="24" t="s">
        <v>173</v>
      </c>
      <c r="V9" s="18">
        <v>5798</v>
      </c>
      <c r="W9" s="25">
        <v>152</v>
      </c>
      <c r="X9" s="26">
        <v>28.99</v>
      </c>
      <c r="Y9" s="26">
        <v>23.19</v>
      </c>
      <c r="Z9" s="8"/>
      <c r="AB9" s="25">
        <v>223</v>
      </c>
      <c r="AC9" s="18">
        <v>42</v>
      </c>
      <c r="AD9" s="29">
        <v>4.2</v>
      </c>
      <c r="AE9" s="30">
        <v>0.0134</v>
      </c>
      <c r="AF9" s="26">
        <v>3.92</v>
      </c>
      <c r="AG9" s="19">
        <v>0.6648</v>
      </c>
      <c r="AI9" s="1" t="s">
        <v>70</v>
      </c>
      <c r="AJ9" s="25">
        <v>14</v>
      </c>
      <c r="AK9" s="1" t="s">
        <v>71</v>
      </c>
      <c r="AL9" s="25">
        <v>9.8</v>
      </c>
      <c r="AM9" s="25">
        <v>1</v>
      </c>
      <c r="AN9" s="15" t="s">
        <v>72</v>
      </c>
      <c r="AO9" s="1" t="s">
        <v>71</v>
      </c>
      <c r="AP9" s="1" t="s">
        <v>73</v>
      </c>
      <c r="AQ9" s="15" t="s">
        <v>74</v>
      </c>
      <c r="AR9" s="1" t="s">
        <v>75</v>
      </c>
      <c r="AS9" s="1" t="s">
        <v>76</v>
      </c>
      <c r="AT9" s="1" t="s">
        <v>76</v>
      </c>
      <c r="AU9" s="1" t="s">
        <v>76</v>
      </c>
      <c r="AV9" s="1" t="s">
        <v>77</v>
      </c>
      <c r="AW9" s="1" t="s">
        <v>76</v>
      </c>
      <c r="AX9" s="1" t="s">
        <v>76</v>
      </c>
      <c r="AY9" s="1" t="s">
        <v>77</v>
      </c>
      <c r="AZ9" s="1" t="s">
        <v>76</v>
      </c>
      <c r="BA9" s="15" t="s">
        <v>76</v>
      </c>
      <c r="BC9" s="24" t="s">
        <v>78</v>
      </c>
      <c r="BD9" s="24" t="s">
        <v>79</v>
      </c>
      <c r="BE9" s="24" t="s">
        <v>80</v>
      </c>
      <c r="BF9" s="1" t="s">
        <v>81</v>
      </c>
    </row>
    <row r="10" ht="24" hidden="1" customHeight="1" spans="1:58">
      <c r="A10" s="1" t="str">
        <f>_xlfn.DISPIMG("ID_F8C62BFF558E45CFA4334C1EE305D5D3",1)</f>
        <v>=DISPIMG("ID_F8C62BFF558E45CFA4334C1EE305D5D3",1)</v>
      </c>
      <c r="B10" s="15" t="s">
        <v>174</v>
      </c>
      <c r="C10" s="15" t="s">
        <v>154</v>
      </c>
      <c r="D10" s="15" t="s">
        <v>175</v>
      </c>
      <c r="E10" s="15" t="s">
        <v>176</v>
      </c>
      <c r="F10" s="15" t="s">
        <v>177</v>
      </c>
      <c r="G10" s="15" t="s">
        <v>178</v>
      </c>
      <c r="H10" s="15" t="s">
        <v>179</v>
      </c>
      <c r="I10" s="15" t="s">
        <v>180</v>
      </c>
      <c r="J10" s="15" t="s">
        <v>181</v>
      </c>
      <c r="K10" s="15" t="s">
        <v>65</v>
      </c>
      <c r="L10" s="15" t="s">
        <v>66</v>
      </c>
      <c r="M10" s="18">
        <v>2815</v>
      </c>
      <c r="N10" s="18">
        <v>-239</v>
      </c>
      <c r="O10" s="19">
        <v>-0.1004</v>
      </c>
      <c r="P10" s="20" t="s">
        <v>67</v>
      </c>
      <c r="Q10" s="23" t="s">
        <v>182</v>
      </c>
      <c r="R10" s="18">
        <v>9830</v>
      </c>
      <c r="S10" s="19">
        <v>-0.1967</v>
      </c>
      <c r="T10" s="18">
        <v>235821.7</v>
      </c>
      <c r="U10" s="24" t="s">
        <v>163</v>
      </c>
      <c r="V10" s="18">
        <v>16793</v>
      </c>
      <c r="W10" s="25">
        <v>193</v>
      </c>
      <c r="X10" s="26">
        <v>23.99</v>
      </c>
      <c r="Y10" s="26">
        <v>21.59</v>
      </c>
      <c r="Z10" s="8"/>
      <c r="AA10" s="18">
        <v>4</v>
      </c>
      <c r="AB10" s="25">
        <v>3650</v>
      </c>
      <c r="AC10" s="18">
        <v>129</v>
      </c>
      <c r="AD10" s="29">
        <v>4.3</v>
      </c>
      <c r="AE10" s="30">
        <v>0.0131</v>
      </c>
      <c r="AF10" s="26">
        <v>5</v>
      </c>
      <c r="AG10" s="19">
        <v>0.5916</v>
      </c>
      <c r="AI10" s="1" t="s">
        <v>183</v>
      </c>
      <c r="AJ10" s="25">
        <v>347</v>
      </c>
      <c r="AK10" s="1" t="s">
        <v>71</v>
      </c>
      <c r="AL10" s="25">
        <v>10</v>
      </c>
      <c r="AM10" s="25">
        <v>1</v>
      </c>
      <c r="AN10" s="15" t="s">
        <v>184</v>
      </c>
      <c r="AO10" s="1" t="s">
        <v>71</v>
      </c>
      <c r="AP10" s="1" t="s">
        <v>73</v>
      </c>
      <c r="AQ10" s="15" t="s">
        <v>185</v>
      </c>
      <c r="AR10" s="1" t="s">
        <v>186</v>
      </c>
      <c r="AS10" s="1" t="s">
        <v>76</v>
      </c>
      <c r="AT10" s="1" t="s">
        <v>77</v>
      </c>
      <c r="AU10" s="1" t="s">
        <v>76</v>
      </c>
      <c r="AV10" s="1" t="s">
        <v>77</v>
      </c>
      <c r="AW10" s="1" t="s">
        <v>77</v>
      </c>
      <c r="AX10" s="1" t="s">
        <v>76</v>
      </c>
      <c r="AY10" s="1" t="s">
        <v>77</v>
      </c>
      <c r="AZ10" s="1" t="s">
        <v>76</v>
      </c>
      <c r="BA10" s="15" t="s">
        <v>76</v>
      </c>
      <c r="BB10" s="24" t="s">
        <v>127</v>
      </c>
      <c r="BC10" s="24" t="s">
        <v>187</v>
      </c>
      <c r="BD10" s="24" t="s">
        <v>188</v>
      </c>
      <c r="BE10" s="24" t="s">
        <v>189</v>
      </c>
      <c r="BF10" s="1" t="s">
        <v>190</v>
      </c>
    </row>
    <row r="11" ht="24" customHeight="1" spans="1:58">
      <c r="A11" s="1" t="str">
        <f>_xlfn.DISPIMG("ID_AD1004364916406D9A818EE1D4B8FDA0",1)</f>
        <v>=DISPIMG("ID_AD1004364916406D9A818EE1D4B8FDA0",1)</v>
      </c>
      <c r="B11" s="15" t="s">
        <v>191</v>
      </c>
      <c r="C11" s="15" t="s">
        <v>192</v>
      </c>
      <c r="D11" s="15" t="s">
        <v>193</v>
      </c>
      <c r="E11" s="15" t="s">
        <v>103</v>
      </c>
      <c r="F11" s="15" t="s">
        <v>104</v>
      </c>
      <c r="G11" s="15" t="s">
        <v>194</v>
      </c>
      <c r="H11" s="15" t="s">
        <v>195</v>
      </c>
      <c r="I11" s="15" t="s">
        <v>196</v>
      </c>
      <c r="J11" s="15" t="s">
        <v>197</v>
      </c>
      <c r="K11" s="15" t="s">
        <v>65</v>
      </c>
      <c r="L11" s="15" t="s">
        <v>66</v>
      </c>
      <c r="M11" s="18">
        <v>63199</v>
      </c>
      <c r="N11" s="18">
        <v>-3990</v>
      </c>
      <c r="O11" s="19">
        <v>-0.0898</v>
      </c>
      <c r="P11" s="20" t="s">
        <v>67</v>
      </c>
      <c r="Q11" s="23" t="s">
        <v>198</v>
      </c>
      <c r="R11" s="18">
        <v>776</v>
      </c>
      <c r="S11" s="19">
        <v>-0.2533</v>
      </c>
      <c r="T11" s="18">
        <v>23272.24</v>
      </c>
      <c r="U11" s="24" t="s">
        <v>76</v>
      </c>
      <c r="V11" s="18" t="s">
        <v>76</v>
      </c>
      <c r="W11" s="25">
        <v>122</v>
      </c>
      <c r="X11" s="26">
        <v>29.99</v>
      </c>
      <c r="Z11" s="8"/>
      <c r="AB11" s="25">
        <v>404</v>
      </c>
      <c r="AC11" s="18">
        <v>13</v>
      </c>
      <c r="AD11" s="29">
        <v>4.4</v>
      </c>
      <c r="AE11" s="30">
        <v>0.0168</v>
      </c>
      <c r="AF11" s="26">
        <v>3.65</v>
      </c>
      <c r="AG11" s="19">
        <v>0.6174</v>
      </c>
      <c r="AI11" s="1" t="s">
        <v>199</v>
      </c>
      <c r="AJ11" s="25">
        <v>89</v>
      </c>
      <c r="AK11" s="1" t="s">
        <v>71</v>
      </c>
      <c r="AL11" s="25">
        <v>10</v>
      </c>
      <c r="AM11" s="25">
        <v>1</v>
      </c>
      <c r="AN11" s="15" t="s">
        <v>103</v>
      </c>
      <c r="AO11" s="1" t="s">
        <v>71</v>
      </c>
      <c r="AP11" s="1" t="s">
        <v>73</v>
      </c>
      <c r="AQ11" s="15" t="s">
        <v>146</v>
      </c>
      <c r="AR11" s="1" t="s">
        <v>147</v>
      </c>
      <c r="AS11" s="1" t="s">
        <v>76</v>
      </c>
      <c r="AT11" s="1" t="s">
        <v>76</v>
      </c>
      <c r="AU11" s="1" t="s">
        <v>76</v>
      </c>
      <c r="AV11" s="1" t="s">
        <v>77</v>
      </c>
      <c r="AW11" s="1" t="s">
        <v>77</v>
      </c>
      <c r="AX11" s="1" t="s">
        <v>77</v>
      </c>
      <c r="AY11" s="1" t="s">
        <v>77</v>
      </c>
      <c r="AZ11" s="1" t="s">
        <v>76</v>
      </c>
      <c r="BA11" s="15" t="s">
        <v>76</v>
      </c>
      <c r="BC11" s="24" t="s">
        <v>200</v>
      </c>
      <c r="BD11" s="24" t="s">
        <v>201</v>
      </c>
      <c r="BE11" s="24" t="s">
        <v>202</v>
      </c>
      <c r="BF11" s="1" t="s">
        <v>203</v>
      </c>
    </row>
    <row r="12" ht="24" hidden="1" customHeight="1" spans="1:58">
      <c r="A12" s="1" t="str">
        <f>_xlfn.DISPIMG("ID_58C50482C0E0432EAB233D3362587744",1)</f>
        <v>=DISPIMG("ID_58C50482C0E0432EAB233D3362587744",1)</v>
      </c>
      <c r="B12" s="15" t="s">
        <v>204</v>
      </c>
      <c r="C12" s="15" t="s">
        <v>205</v>
      </c>
      <c r="D12" s="15" t="s">
        <v>206</v>
      </c>
      <c r="E12" s="15" t="s">
        <v>207</v>
      </c>
      <c r="F12" s="15" t="s">
        <v>208</v>
      </c>
      <c r="G12" s="15" t="s">
        <v>209</v>
      </c>
      <c r="H12" s="15" t="s">
        <v>210</v>
      </c>
      <c r="I12" s="15" t="s">
        <v>211</v>
      </c>
      <c r="J12" s="15" t="s">
        <v>212</v>
      </c>
      <c r="K12" s="15" t="s">
        <v>65</v>
      </c>
      <c r="L12" s="15" t="s">
        <v>66</v>
      </c>
      <c r="M12" s="18">
        <v>24588</v>
      </c>
      <c r="N12" s="18">
        <v>-12532</v>
      </c>
      <c r="O12" s="19">
        <v>-0.9058</v>
      </c>
      <c r="P12" s="20" t="s">
        <v>67</v>
      </c>
      <c r="Q12" s="23" t="s">
        <v>213</v>
      </c>
      <c r="R12" s="18">
        <v>2042</v>
      </c>
      <c r="S12" s="19">
        <v>-0.2736</v>
      </c>
      <c r="T12" s="18">
        <v>53071.58</v>
      </c>
      <c r="U12" s="24" t="s">
        <v>91</v>
      </c>
      <c r="V12" s="18">
        <v>1299.5</v>
      </c>
      <c r="W12" s="25">
        <v>174</v>
      </c>
      <c r="X12" s="26">
        <v>25.99</v>
      </c>
      <c r="Z12" s="24" t="s">
        <v>214</v>
      </c>
      <c r="AA12" s="18">
        <v>34</v>
      </c>
      <c r="AB12" s="25">
        <v>723</v>
      </c>
      <c r="AC12" s="18">
        <v>15</v>
      </c>
      <c r="AD12" s="29">
        <v>4.2</v>
      </c>
      <c r="AE12" s="30">
        <v>0.0073</v>
      </c>
      <c r="AF12" s="26">
        <v>6.37</v>
      </c>
      <c r="AG12" s="19">
        <v>0.564</v>
      </c>
      <c r="AI12" s="1" t="s">
        <v>215</v>
      </c>
      <c r="AJ12" s="25">
        <v>674</v>
      </c>
      <c r="AK12" s="1" t="s">
        <v>71</v>
      </c>
      <c r="AL12" s="25">
        <v>9.9</v>
      </c>
      <c r="AM12" s="25">
        <v>1</v>
      </c>
      <c r="AN12" s="15" t="s">
        <v>216</v>
      </c>
      <c r="AO12" s="1" t="s">
        <v>71</v>
      </c>
      <c r="AP12" s="1" t="s">
        <v>73</v>
      </c>
      <c r="AQ12" s="15" t="s">
        <v>217</v>
      </c>
      <c r="AR12" s="1" t="s">
        <v>218</v>
      </c>
      <c r="AS12" s="1" t="s">
        <v>76</v>
      </c>
      <c r="AT12" s="1" t="s">
        <v>76</v>
      </c>
      <c r="AU12" s="1" t="s">
        <v>76</v>
      </c>
      <c r="AV12" s="1" t="s">
        <v>77</v>
      </c>
      <c r="AW12" s="1" t="s">
        <v>76</v>
      </c>
      <c r="AX12" s="1" t="s">
        <v>77</v>
      </c>
      <c r="AY12" s="1" t="s">
        <v>77</v>
      </c>
      <c r="AZ12" s="1" t="s">
        <v>76</v>
      </c>
      <c r="BA12" s="15" t="s">
        <v>76</v>
      </c>
      <c r="BC12" s="24" t="s">
        <v>219</v>
      </c>
      <c r="BD12" s="24" t="s">
        <v>220</v>
      </c>
      <c r="BE12" s="24" t="s">
        <v>221</v>
      </c>
      <c r="BF12" s="1" t="s">
        <v>222</v>
      </c>
    </row>
    <row r="13" ht="24" hidden="1" customHeight="1" spans="1:58">
      <c r="A13" s="1" t="str">
        <f>_xlfn.DISPIMG("ID_6A8A61CE8C0D4681ADAF922611BFB494",1)</f>
        <v>=DISPIMG("ID_6A8A61CE8C0D4681ADAF922611BFB494",1)</v>
      </c>
      <c r="B13" s="15" t="s">
        <v>223</v>
      </c>
      <c r="C13" s="15" t="s">
        <v>224</v>
      </c>
      <c r="D13" s="15" t="s">
        <v>58</v>
      </c>
      <c r="E13" s="15" t="s">
        <v>84</v>
      </c>
      <c r="F13" s="15" t="s">
        <v>85</v>
      </c>
      <c r="G13" s="15" t="s">
        <v>225</v>
      </c>
      <c r="H13" s="15" t="s">
        <v>226</v>
      </c>
      <c r="I13" s="15" t="s">
        <v>227</v>
      </c>
      <c r="J13" s="15" t="s">
        <v>228</v>
      </c>
      <c r="K13" s="15" t="s">
        <v>65</v>
      </c>
      <c r="L13" s="15" t="s">
        <v>66</v>
      </c>
      <c r="M13" s="18">
        <v>127198</v>
      </c>
      <c r="O13" s="19">
        <v>0</v>
      </c>
      <c r="P13" s="20" t="s">
        <v>67</v>
      </c>
      <c r="Q13" s="23" t="s">
        <v>229</v>
      </c>
      <c r="R13" s="18">
        <v>1</v>
      </c>
      <c r="S13" s="19" t="s">
        <v>76</v>
      </c>
      <c r="T13" s="18">
        <v>28.99</v>
      </c>
      <c r="U13" s="24" t="s">
        <v>76</v>
      </c>
      <c r="V13" s="18" t="s">
        <v>76</v>
      </c>
      <c r="W13" s="25">
        <v>120</v>
      </c>
      <c r="X13" s="26">
        <v>28.99</v>
      </c>
      <c r="Z13" s="24" t="s">
        <v>230</v>
      </c>
      <c r="AB13" s="25">
        <v>17</v>
      </c>
      <c r="AC13" s="18">
        <v>0</v>
      </c>
      <c r="AD13" s="29">
        <v>4.6</v>
      </c>
      <c r="AE13" s="30">
        <v>0</v>
      </c>
      <c r="AG13" s="19">
        <v>0</v>
      </c>
      <c r="AI13" s="1" t="s">
        <v>231</v>
      </c>
      <c r="AJ13" s="25">
        <v>71</v>
      </c>
      <c r="AK13" s="1" t="s">
        <v>71</v>
      </c>
      <c r="AL13" s="25" t="s">
        <v>76</v>
      </c>
      <c r="AM13" s="25">
        <v>1</v>
      </c>
      <c r="AN13" s="15" t="s">
        <v>93</v>
      </c>
      <c r="AO13" s="1" t="s">
        <v>71</v>
      </c>
      <c r="AP13" s="1" t="s">
        <v>73</v>
      </c>
      <c r="AQ13" s="15" t="s">
        <v>94</v>
      </c>
      <c r="AR13" s="1" t="s">
        <v>95</v>
      </c>
      <c r="AS13" s="1" t="s">
        <v>76</v>
      </c>
      <c r="AT13" s="1" t="s">
        <v>76</v>
      </c>
      <c r="AU13" s="1" t="s">
        <v>76</v>
      </c>
      <c r="AV13" s="1" t="s">
        <v>77</v>
      </c>
      <c r="AW13" s="1" t="s">
        <v>77</v>
      </c>
      <c r="AX13" s="1" t="s">
        <v>77</v>
      </c>
      <c r="AY13" s="1" t="s">
        <v>76</v>
      </c>
      <c r="AZ13" s="1" t="s">
        <v>76</v>
      </c>
      <c r="BA13" s="15" t="s">
        <v>76</v>
      </c>
      <c r="BD13" s="24" t="s">
        <v>76</v>
      </c>
      <c r="BF13" s="1" t="s">
        <v>76</v>
      </c>
    </row>
    <row r="14" ht="24" customHeight="1" spans="1:58">
      <c r="A14" s="1" t="str">
        <f>_xlfn.DISPIMG("ID_963E2B006778408386D1B2119A9E10AB",1)</f>
        <v>=DISPIMG("ID_963E2B006778408386D1B2119A9E10AB",1)</v>
      </c>
      <c r="B14" s="15" t="s">
        <v>232</v>
      </c>
      <c r="C14" s="15" t="s">
        <v>233</v>
      </c>
      <c r="D14" s="15" t="s">
        <v>234</v>
      </c>
      <c r="E14" s="15" t="s">
        <v>103</v>
      </c>
      <c r="F14" s="15" t="s">
        <v>104</v>
      </c>
      <c r="G14" s="15" t="s">
        <v>235</v>
      </c>
      <c r="H14" s="15" t="s">
        <v>236</v>
      </c>
      <c r="I14" s="15" t="s">
        <v>237</v>
      </c>
      <c r="J14" s="15" t="s">
        <v>238</v>
      </c>
      <c r="K14" s="15" t="s">
        <v>65</v>
      </c>
      <c r="L14" s="15" t="s">
        <v>66</v>
      </c>
      <c r="M14" s="18">
        <v>8000</v>
      </c>
      <c r="N14" s="18">
        <v>333</v>
      </c>
      <c r="O14" s="19">
        <v>0.0486</v>
      </c>
      <c r="P14" s="20" t="s">
        <v>67</v>
      </c>
      <c r="Q14" s="23" t="s">
        <v>239</v>
      </c>
      <c r="R14" s="18">
        <v>3536</v>
      </c>
      <c r="S14" s="19">
        <v>-0.2782</v>
      </c>
      <c r="T14" s="18">
        <v>106044.64</v>
      </c>
      <c r="U14" s="24" t="s">
        <v>91</v>
      </c>
      <c r="V14" s="18">
        <v>1499.5</v>
      </c>
      <c r="W14" s="25">
        <v>190</v>
      </c>
      <c r="X14" s="26">
        <v>29.99</v>
      </c>
      <c r="Y14" s="26">
        <v>25.49</v>
      </c>
      <c r="Z14" s="8"/>
      <c r="AA14" s="18">
        <v>39</v>
      </c>
      <c r="AB14" s="25">
        <v>15676</v>
      </c>
      <c r="AC14" s="18">
        <v>52</v>
      </c>
      <c r="AD14" s="29">
        <v>4.2</v>
      </c>
      <c r="AE14" s="30">
        <v>0.0147</v>
      </c>
      <c r="AF14" s="26">
        <v>6.1</v>
      </c>
      <c r="AG14" s="19">
        <v>0.5966</v>
      </c>
      <c r="AI14" s="1" t="s">
        <v>240</v>
      </c>
      <c r="AJ14" s="25">
        <v>294</v>
      </c>
      <c r="AK14" s="1" t="s">
        <v>71</v>
      </c>
      <c r="AL14" s="25">
        <v>9.8</v>
      </c>
      <c r="AM14" s="25">
        <v>1</v>
      </c>
      <c r="AN14" s="15" t="s">
        <v>103</v>
      </c>
      <c r="AO14" s="1" t="s">
        <v>71</v>
      </c>
      <c r="AP14" s="1" t="s">
        <v>73</v>
      </c>
      <c r="AQ14" s="15" t="s">
        <v>146</v>
      </c>
      <c r="AR14" s="1" t="s">
        <v>147</v>
      </c>
      <c r="AS14" s="1" t="s">
        <v>77</v>
      </c>
      <c r="AT14" s="1" t="s">
        <v>77</v>
      </c>
      <c r="AU14" s="1" t="s">
        <v>76</v>
      </c>
      <c r="AV14" s="1" t="s">
        <v>77</v>
      </c>
      <c r="AW14" s="1" t="s">
        <v>77</v>
      </c>
      <c r="AX14" s="1" t="s">
        <v>77</v>
      </c>
      <c r="AY14" s="1" t="s">
        <v>77</v>
      </c>
      <c r="AZ14" s="1" t="s">
        <v>76</v>
      </c>
      <c r="BA14" s="15" t="s">
        <v>76</v>
      </c>
      <c r="BB14" s="24" t="s">
        <v>241</v>
      </c>
      <c r="BC14" s="24" t="s">
        <v>116</v>
      </c>
      <c r="BD14" s="24" t="s">
        <v>117</v>
      </c>
      <c r="BE14" s="24" t="s">
        <v>242</v>
      </c>
      <c r="BF14" s="1" t="s">
        <v>243</v>
      </c>
    </row>
    <row r="15" ht="24" customHeight="1" spans="1:58">
      <c r="A15" s="1" t="str">
        <f>_xlfn.DISPIMG("ID_DA18F5B6DC844942BA9D5059C31799BA",1)</f>
        <v>=DISPIMG("ID_DA18F5B6DC844942BA9D5059C31799BA",1)</v>
      </c>
      <c r="B15" s="15" t="s">
        <v>244</v>
      </c>
      <c r="C15" s="15" t="s">
        <v>245</v>
      </c>
      <c r="D15" s="15" t="s">
        <v>246</v>
      </c>
      <c r="E15" s="15" t="s">
        <v>103</v>
      </c>
      <c r="F15" s="15" t="s">
        <v>104</v>
      </c>
      <c r="G15" s="15" t="s">
        <v>247</v>
      </c>
      <c r="H15" s="15" t="s">
        <v>248</v>
      </c>
      <c r="I15" s="15" t="s">
        <v>249</v>
      </c>
      <c r="J15" s="15" t="s">
        <v>250</v>
      </c>
      <c r="K15" s="15" t="s">
        <v>65</v>
      </c>
      <c r="L15" s="15" t="s">
        <v>66</v>
      </c>
      <c r="M15" s="18">
        <v>16975</v>
      </c>
      <c r="N15" s="18">
        <v>-1344</v>
      </c>
      <c r="O15" s="19">
        <v>-0.1293</v>
      </c>
      <c r="P15" s="20" t="s">
        <v>67</v>
      </c>
      <c r="Q15" s="23" t="s">
        <v>251</v>
      </c>
      <c r="R15" s="18">
        <v>2215</v>
      </c>
      <c r="S15" s="19">
        <v>-0.1479</v>
      </c>
      <c r="T15" s="18">
        <v>57567.848</v>
      </c>
      <c r="U15" s="24" t="s">
        <v>69</v>
      </c>
      <c r="V15" s="18">
        <v>2599</v>
      </c>
      <c r="W15" s="25">
        <v>85</v>
      </c>
      <c r="X15" s="26">
        <v>25.99</v>
      </c>
      <c r="Z15" s="8"/>
      <c r="AB15" s="25">
        <v>334</v>
      </c>
      <c r="AC15" s="18">
        <v>22</v>
      </c>
      <c r="AD15" s="29">
        <v>4.3</v>
      </c>
      <c r="AE15" s="30">
        <v>0.0099</v>
      </c>
      <c r="AF15" s="26">
        <v>5.46</v>
      </c>
      <c r="AG15" s="19">
        <v>0.5899</v>
      </c>
      <c r="AI15" s="1" t="s">
        <v>252</v>
      </c>
      <c r="AJ15" s="25">
        <v>237</v>
      </c>
      <c r="AK15" s="1" t="s">
        <v>71</v>
      </c>
      <c r="AL15" s="25">
        <v>10</v>
      </c>
      <c r="AM15" s="25">
        <v>1</v>
      </c>
      <c r="AN15" s="15" t="s">
        <v>103</v>
      </c>
      <c r="AO15" s="1" t="s">
        <v>71</v>
      </c>
      <c r="AP15" s="1" t="s">
        <v>73</v>
      </c>
      <c r="AQ15" s="15" t="s">
        <v>146</v>
      </c>
      <c r="AR15" s="1" t="s">
        <v>147</v>
      </c>
      <c r="AS15" s="1" t="s">
        <v>76</v>
      </c>
      <c r="AT15" s="1" t="s">
        <v>76</v>
      </c>
      <c r="AU15" s="1" t="s">
        <v>76</v>
      </c>
      <c r="AV15" s="1" t="s">
        <v>77</v>
      </c>
      <c r="AW15" s="1" t="s">
        <v>77</v>
      </c>
      <c r="AX15" s="1" t="s">
        <v>76</v>
      </c>
      <c r="AY15" s="1" t="s">
        <v>76</v>
      </c>
      <c r="AZ15" s="1" t="s">
        <v>76</v>
      </c>
      <c r="BA15" s="15" t="s">
        <v>76</v>
      </c>
      <c r="BC15" s="24" t="s">
        <v>200</v>
      </c>
      <c r="BD15" s="24" t="s">
        <v>201</v>
      </c>
      <c r="BE15" s="24" t="s">
        <v>253</v>
      </c>
      <c r="BF15" s="1" t="s">
        <v>254</v>
      </c>
    </row>
    <row r="16" ht="24" hidden="1" customHeight="1" spans="1:58">
      <c r="A16" s="1" t="str">
        <f>_xlfn.DISPIMG("ID_4E81547F4BEE461085BD2D2F03DA7A6B",1)</f>
        <v>=DISPIMG("ID_4E81547F4BEE461085BD2D2F03DA7A6B",1)</v>
      </c>
      <c r="B16" s="15" t="s">
        <v>255</v>
      </c>
      <c r="C16" s="15" t="s">
        <v>224</v>
      </c>
      <c r="D16" s="15" t="s">
        <v>175</v>
      </c>
      <c r="E16" s="15" t="s">
        <v>176</v>
      </c>
      <c r="F16" s="15" t="s">
        <v>177</v>
      </c>
      <c r="G16" s="15" t="s">
        <v>256</v>
      </c>
      <c r="H16" s="15" t="s">
        <v>257</v>
      </c>
      <c r="I16" s="15" t="s">
        <v>258</v>
      </c>
      <c r="J16" s="15" t="s">
        <v>259</v>
      </c>
      <c r="K16" s="15" t="s">
        <v>65</v>
      </c>
      <c r="L16" s="15" t="s">
        <v>66</v>
      </c>
      <c r="M16" s="18">
        <v>13467</v>
      </c>
      <c r="N16" s="18">
        <v>-4957</v>
      </c>
      <c r="O16" s="19">
        <v>-0.5037</v>
      </c>
      <c r="P16" s="20" t="s">
        <v>67</v>
      </c>
      <c r="Q16" s="23" t="s">
        <v>260</v>
      </c>
      <c r="R16" s="18">
        <v>3015</v>
      </c>
      <c r="S16" s="19">
        <v>-0.031</v>
      </c>
      <c r="T16" s="18">
        <v>69314.85</v>
      </c>
      <c r="U16" s="24" t="s">
        <v>173</v>
      </c>
      <c r="V16" s="18">
        <v>4598</v>
      </c>
      <c r="W16" s="25">
        <v>128</v>
      </c>
      <c r="X16" s="26">
        <v>22.99</v>
      </c>
      <c r="Y16" s="26">
        <v>19.54</v>
      </c>
      <c r="Z16" s="8"/>
      <c r="AA16" s="18">
        <v>21</v>
      </c>
      <c r="AB16" s="25">
        <v>628</v>
      </c>
      <c r="AC16" s="18">
        <v>41</v>
      </c>
      <c r="AD16" s="29">
        <v>4.3</v>
      </c>
      <c r="AE16" s="30">
        <v>0.0136</v>
      </c>
      <c r="AF16" s="26">
        <v>5.12</v>
      </c>
      <c r="AG16" s="19">
        <v>0.5773</v>
      </c>
      <c r="AI16" s="1" t="s">
        <v>261</v>
      </c>
      <c r="AJ16" s="25">
        <v>461</v>
      </c>
      <c r="AK16" s="1" t="s">
        <v>71</v>
      </c>
      <c r="AL16" s="25">
        <v>10</v>
      </c>
      <c r="AM16" s="25">
        <v>1</v>
      </c>
      <c r="AN16" s="15" t="s">
        <v>184</v>
      </c>
      <c r="AO16" s="1" t="s">
        <v>71</v>
      </c>
      <c r="AP16" s="1" t="s">
        <v>73</v>
      </c>
      <c r="AQ16" s="15" t="s">
        <v>185</v>
      </c>
      <c r="AR16" s="1" t="s">
        <v>186</v>
      </c>
      <c r="AS16" s="1" t="s">
        <v>76</v>
      </c>
      <c r="AT16" s="1" t="s">
        <v>76</v>
      </c>
      <c r="AU16" s="1" t="s">
        <v>76</v>
      </c>
      <c r="AV16" s="1" t="s">
        <v>77</v>
      </c>
      <c r="AW16" s="1" t="s">
        <v>77</v>
      </c>
      <c r="AX16" s="1" t="s">
        <v>76</v>
      </c>
      <c r="AY16" s="1" t="s">
        <v>77</v>
      </c>
      <c r="AZ16" s="1" t="s">
        <v>76</v>
      </c>
      <c r="BA16" s="15" t="s">
        <v>76</v>
      </c>
      <c r="BC16" s="24" t="s">
        <v>128</v>
      </c>
      <c r="BD16" s="24" t="s">
        <v>129</v>
      </c>
      <c r="BE16" s="24" t="s">
        <v>262</v>
      </c>
      <c r="BF16" s="1" t="s">
        <v>263</v>
      </c>
    </row>
    <row r="17" ht="24" customHeight="1" spans="1:58">
      <c r="A17" s="1" t="str">
        <f>_xlfn.DISPIMG("ID_D6FBD16F2536404EA442620E070CFFA3",1)</f>
        <v>=DISPIMG("ID_D6FBD16F2536404EA442620E070CFFA3",1)</v>
      </c>
      <c r="B17" s="15" t="s">
        <v>264</v>
      </c>
      <c r="C17" s="15" t="s">
        <v>265</v>
      </c>
      <c r="D17" s="15" t="s">
        <v>266</v>
      </c>
      <c r="E17" s="15" t="s">
        <v>103</v>
      </c>
      <c r="F17" s="15" t="s">
        <v>104</v>
      </c>
      <c r="G17" s="15" t="s">
        <v>267</v>
      </c>
      <c r="H17" s="15" t="s">
        <v>268</v>
      </c>
      <c r="I17" s="15" t="s">
        <v>269</v>
      </c>
      <c r="J17" s="15" t="s">
        <v>270</v>
      </c>
      <c r="K17" s="15" t="s">
        <v>271</v>
      </c>
      <c r="L17" s="15" t="s">
        <v>66</v>
      </c>
      <c r="M17" s="18">
        <v>3218</v>
      </c>
      <c r="N17" s="18">
        <v>298</v>
      </c>
      <c r="O17" s="19">
        <v>0.0848</v>
      </c>
      <c r="P17" s="20" t="s">
        <v>272</v>
      </c>
      <c r="Q17" s="23" t="s">
        <v>273</v>
      </c>
      <c r="R17" s="18">
        <v>7573</v>
      </c>
      <c r="S17" s="19">
        <v>-0.2308</v>
      </c>
      <c r="T17" s="18">
        <v>227114.27</v>
      </c>
      <c r="U17" s="24" t="s">
        <v>69</v>
      </c>
      <c r="V17" s="18">
        <v>2999</v>
      </c>
      <c r="W17" s="25">
        <v>189</v>
      </c>
      <c r="X17" s="26">
        <v>29.99</v>
      </c>
      <c r="Z17" s="24" t="s">
        <v>274</v>
      </c>
      <c r="AA17" s="18">
        <v>56</v>
      </c>
      <c r="AB17" s="25">
        <v>28879</v>
      </c>
      <c r="AC17" s="18">
        <v>152</v>
      </c>
      <c r="AD17" s="29">
        <v>4.2</v>
      </c>
      <c r="AE17" s="30">
        <v>0.0201</v>
      </c>
      <c r="AF17" s="26">
        <v>4.63</v>
      </c>
      <c r="AG17" s="19">
        <v>0.6456</v>
      </c>
      <c r="AI17" s="1" t="s">
        <v>275</v>
      </c>
      <c r="AJ17" s="25">
        <v>2550</v>
      </c>
      <c r="AK17" s="1" t="s">
        <v>71</v>
      </c>
      <c r="AL17" s="25">
        <v>9.6</v>
      </c>
      <c r="AM17" s="25">
        <v>1</v>
      </c>
      <c r="AN17" s="15" t="s">
        <v>103</v>
      </c>
      <c r="AO17" s="1" t="s">
        <v>71</v>
      </c>
      <c r="AP17" s="1" t="s">
        <v>73</v>
      </c>
      <c r="AQ17" s="15" t="s">
        <v>146</v>
      </c>
      <c r="AR17" s="1" t="s">
        <v>147</v>
      </c>
      <c r="AS17" s="1" t="s">
        <v>77</v>
      </c>
      <c r="AT17" s="1" t="s">
        <v>77</v>
      </c>
      <c r="AU17" s="1" t="s">
        <v>76</v>
      </c>
      <c r="AV17" s="1" t="s">
        <v>77</v>
      </c>
      <c r="AW17" s="1" t="s">
        <v>77</v>
      </c>
      <c r="AX17" s="1" t="s">
        <v>76</v>
      </c>
      <c r="AY17" s="1" t="s">
        <v>77</v>
      </c>
      <c r="AZ17" s="1" t="s">
        <v>76</v>
      </c>
      <c r="BA17" s="15" t="s">
        <v>76</v>
      </c>
      <c r="BB17" s="24" t="s">
        <v>276</v>
      </c>
      <c r="BC17" s="24" t="s">
        <v>277</v>
      </c>
      <c r="BD17" s="24" t="s">
        <v>278</v>
      </c>
      <c r="BE17" s="24" t="s">
        <v>279</v>
      </c>
      <c r="BF17" s="1" t="s">
        <v>280</v>
      </c>
    </row>
    <row r="18" ht="24" customHeight="1" spans="1:58">
      <c r="A18" s="1" t="str">
        <f>_xlfn.DISPIMG("ID_8126D500AFE74F9ABF3684C3150F60E5",1)</f>
        <v>=DISPIMG("ID_8126D500AFE74F9ABF3684C3150F60E5",1)</v>
      </c>
      <c r="B18" s="15" t="s">
        <v>281</v>
      </c>
      <c r="C18" s="15" t="s">
        <v>282</v>
      </c>
      <c r="D18" s="15" t="s">
        <v>283</v>
      </c>
      <c r="E18" s="15" t="s">
        <v>103</v>
      </c>
      <c r="F18" s="15" t="s">
        <v>104</v>
      </c>
      <c r="G18" s="15" t="s">
        <v>284</v>
      </c>
      <c r="H18" s="15" t="s">
        <v>285</v>
      </c>
      <c r="I18" s="15" t="s">
        <v>286</v>
      </c>
      <c r="J18" s="15" t="s">
        <v>287</v>
      </c>
      <c r="K18" s="15" t="s">
        <v>65</v>
      </c>
      <c r="L18" s="15" t="s">
        <v>66</v>
      </c>
      <c r="M18" s="18">
        <v>13402</v>
      </c>
      <c r="N18" s="18">
        <v>-34</v>
      </c>
      <c r="O18" s="19">
        <v>-0.0025</v>
      </c>
      <c r="P18" s="20" t="s">
        <v>67</v>
      </c>
      <c r="Q18" s="23" t="s">
        <v>288</v>
      </c>
      <c r="R18" s="18">
        <v>2893</v>
      </c>
      <c r="S18" s="19">
        <v>-0.2171</v>
      </c>
      <c r="T18" s="18">
        <v>80975.07</v>
      </c>
      <c r="U18" s="24" t="s">
        <v>173</v>
      </c>
      <c r="V18" s="18">
        <v>5598</v>
      </c>
      <c r="W18" s="25">
        <v>153</v>
      </c>
      <c r="X18" s="26">
        <v>27.99</v>
      </c>
      <c r="Z18" s="24" t="s">
        <v>274</v>
      </c>
      <c r="AB18" s="25">
        <v>534</v>
      </c>
      <c r="AC18" s="18">
        <v>37</v>
      </c>
      <c r="AD18" s="29">
        <v>4.3</v>
      </c>
      <c r="AE18" s="30">
        <v>0.0128</v>
      </c>
      <c r="AF18" s="26">
        <v>7.27</v>
      </c>
      <c r="AG18" s="19">
        <v>0.5403</v>
      </c>
      <c r="AI18" s="1" t="s">
        <v>289</v>
      </c>
      <c r="AJ18" s="25">
        <v>389</v>
      </c>
      <c r="AK18" s="1" t="s">
        <v>71</v>
      </c>
      <c r="AL18" s="25">
        <v>10</v>
      </c>
      <c r="AM18" s="25">
        <v>1</v>
      </c>
      <c r="AN18" s="15" t="s">
        <v>103</v>
      </c>
      <c r="AO18" s="1" t="s">
        <v>71</v>
      </c>
      <c r="AP18" s="1" t="s">
        <v>73</v>
      </c>
      <c r="AQ18" s="15" t="s">
        <v>146</v>
      </c>
      <c r="AR18" s="1" t="s">
        <v>147</v>
      </c>
      <c r="AS18" s="1" t="s">
        <v>76</v>
      </c>
      <c r="AT18" s="1" t="s">
        <v>76</v>
      </c>
      <c r="AU18" s="1" t="s">
        <v>76</v>
      </c>
      <c r="AV18" s="1" t="s">
        <v>77</v>
      </c>
      <c r="AW18" s="1" t="s">
        <v>77</v>
      </c>
      <c r="AX18" s="1" t="s">
        <v>76</v>
      </c>
      <c r="AY18" s="1" t="s">
        <v>77</v>
      </c>
      <c r="AZ18" s="1" t="s">
        <v>76</v>
      </c>
      <c r="BA18" s="15" t="s">
        <v>76</v>
      </c>
      <c r="BC18" s="24" t="s">
        <v>290</v>
      </c>
      <c r="BD18" s="24" t="s">
        <v>291</v>
      </c>
      <c r="BE18" s="24" t="s">
        <v>292</v>
      </c>
      <c r="BF18" s="1" t="s">
        <v>293</v>
      </c>
    </row>
    <row r="19" ht="24" hidden="1" customHeight="1" spans="1:58">
      <c r="A19" s="1" t="str">
        <f>_xlfn.DISPIMG("ID_F84CD71DB4B84EB2B4BD23BD1E59780A",1)</f>
        <v>=DISPIMG("ID_F84CD71DB4B84EB2B4BD23BD1E59780A",1)</v>
      </c>
      <c r="B19" s="15" t="s">
        <v>294</v>
      </c>
      <c r="C19" s="15" t="s">
        <v>295</v>
      </c>
      <c r="D19" s="15" t="s">
        <v>296</v>
      </c>
      <c r="E19" s="15" t="s">
        <v>297</v>
      </c>
      <c r="F19" s="15" t="s">
        <v>298</v>
      </c>
      <c r="G19" s="15" t="s">
        <v>299</v>
      </c>
      <c r="H19" s="15" t="s">
        <v>300</v>
      </c>
      <c r="I19" s="15" t="s">
        <v>301</v>
      </c>
      <c r="J19" s="15" t="s">
        <v>302</v>
      </c>
      <c r="K19" s="15" t="s">
        <v>65</v>
      </c>
      <c r="L19" s="15" t="s">
        <v>66</v>
      </c>
      <c r="M19" s="18">
        <v>191181</v>
      </c>
      <c r="N19" s="18">
        <v>87155</v>
      </c>
      <c r="O19" s="19">
        <v>0.296</v>
      </c>
      <c r="P19" s="20" t="s">
        <v>67</v>
      </c>
      <c r="Q19" s="23" t="s">
        <v>303</v>
      </c>
      <c r="R19" s="18">
        <v>99</v>
      </c>
      <c r="S19" s="19">
        <v>-0.5989</v>
      </c>
      <c r="T19" s="18">
        <v>2573.01</v>
      </c>
      <c r="U19" s="24" t="s">
        <v>76</v>
      </c>
      <c r="V19" s="18" t="s">
        <v>76</v>
      </c>
      <c r="W19" s="25">
        <v>90</v>
      </c>
      <c r="X19" s="26">
        <v>22.09</v>
      </c>
      <c r="Z19" s="8"/>
      <c r="AB19" s="25">
        <v>123</v>
      </c>
      <c r="AC19" s="18">
        <v>4</v>
      </c>
      <c r="AD19" s="29">
        <v>4.5</v>
      </c>
      <c r="AE19" s="30">
        <v>0.0404</v>
      </c>
      <c r="AF19" s="26">
        <v>6.27</v>
      </c>
      <c r="AG19" s="19">
        <v>0.5588</v>
      </c>
      <c r="AI19" s="1" t="s">
        <v>304</v>
      </c>
      <c r="AJ19" s="25">
        <v>131</v>
      </c>
      <c r="AK19" s="1" t="s">
        <v>71</v>
      </c>
      <c r="AL19" s="25">
        <v>10</v>
      </c>
      <c r="AM19" s="25">
        <v>1</v>
      </c>
      <c r="AN19" s="15" t="s">
        <v>297</v>
      </c>
      <c r="AO19" s="1" t="s">
        <v>71</v>
      </c>
      <c r="AP19" s="1" t="s">
        <v>73</v>
      </c>
      <c r="AQ19" s="15" t="s">
        <v>305</v>
      </c>
      <c r="AR19" s="1" t="s">
        <v>306</v>
      </c>
      <c r="AS19" s="1" t="s">
        <v>76</v>
      </c>
      <c r="AT19" s="1" t="s">
        <v>76</v>
      </c>
      <c r="AU19" s="1" t="s">
        <v>76</v>
      </c>
      <c r="AV19" s="1" t="s">
        <v>77</v>
      </c>
      <c r="AW19" s="1" t="s">
        <v>77</v>
      </c>
      <c r="AX19" s="1" t="s">
        <v>77</v>
      </c>
      <c r="AY19" s="1" t="s">
        <v>77</v>
      </c>
      <c r="AZ19" s="1" t="s">
        <v>76</v>
      </c>
      <c r="BA19" s="15" t="s">
        <v>77</v>
      </c>
      <c r="BC19" s="24" t="s">
        <v>307</v>
      </c>
      <c r="BD19" s="24" t="s">
        <v>308</v>
      </c>
      <c r="BE19" s="24" t="s">
        <v>309</v>
      </c>
      <c r="BF19" s="1" t="s">
        <v>310</v>
      </c>
    </row>
    <row r="20" ht="24" customHeight="1" spans="1:58">
      <c r="A20" s="1" t="str">
        <f>_xlfn.DISPIMG("ID_6E8189C4B8BE4E21949F8A5C2F3AE456",1)</f>
        <v>=DISPIMG("ID_6E8189C4B8BE4E21949F8A5C2F3AE456",1)</v>
      </c>
      <c r="B20" s="15" t="s">
        <v>311</v>
      </c>
      <c r="C20" s="15" t="s">
        <v>312</v>
      </c>
      <c r="D20" s="15" t="s">
        <v>313</v>
      </c>
      <c r="E20" s="15" t="s">
        <v>103</v>
      </c>
      <c r="F20" s="15" t="s">
        <v>104</v>
      </c>
      <c r="G20" s="15" t="s">
        <v>314</v>
      </c>
      <c r="H20" s="15" t="s">
        <v>315</v>
      </c>
      <c r="I20" s="15" t="s">
        <v>316</v>
      </c>
      <c r="J20" s="15" t="s">
        <v>317</v>
      </c>
      <c r="K20" s="15" t="s">
        <v>65</v>
      </c>
      <c r="L20" s="15" t="s">
        <v>66</v>
      </c>
      <c r="M20" s="18">
        <v>73964</v>
      </c>
      <c r="N20" s="18">
        <v>-23770</v>
      </c>
      <c r="O20" s="19">
        <v>-0.6658</v>
      </c>
      <c r="P20" s="20" t="s">
        <v>67</v>
      </c>
      <c r="Q20" s="23" t="s">
        <v>318</v>
      </c>
      <c r="R20" s="18">
        <v>809</v>
      </c>
      <c r="S20" s="19">
        <v>-0.4432</v>
      </c>
      <c r="T20" s="18">
        <v>23452.91</v>
      </c>
      <c r="U20" s="24" t="s">
        <v>76</v>
      </c>
      <c r="V20" s="18" t="s">
        <v>76</v>
      </c>
      <c r="W20" s="25">
        <v>91</v>
      </c>
      <c r="X20" s="26">
        <v>28.99</v>
      </c>
      <c r="Z20" s="8"/>
      <c r="AB20" s="25">
        <v>345</v>
      </c>
      <c r="AC20" s="18">
        <v>9</v>
      </c>
      <c r="AD20" s="29">
        <v>4.2</v>
      </c>
      <c r="AE20" s="30">
        <v>0.0111</v>
      </c>
      <c r="AF20" s="26">
        <v>5.39</v>
      </c>
      <c r="AG20" s="19">
        <v>0.6141</v>
      </c>
      <c r="AI20" s="1" t="s">
        <v>319</v>
      </c>
      <c r="AJ20" s="25">
        <v>367</v>
      </c>
      <c r="AK20" s="1" t="s">
        <v>71</v>
      </c>
      <c r="AL20" s="25">
        <v>10</v>
      </c>
      <c r="AM20" s="25">
        <v>1</v>
      </c>
      <c r="AN20" s="15" t="s">
        <v>103</v>
      </c>
      <c r="AO20" s="1" t="s">
        <v>71</v>
      </c>
      <c r="AP20" s="1" t="s">
        <v>73</v>
      </c>
      <c r="AQ20" s="15" t="s">
        <v>146</v>
      </c>
      <c r="AR20" s="1" t="s">
        <v>147</v>
      </c>
      <c r="AS20" s="1" t="s">
        <v>76</v>
      </c>
      <c r="AT20" s="1" t="s">
        <v>76</v>
      </c>
      <c r="AU20" s="1" t="s">
        <v>76</v>
      </c>
      <c r="AV20" s="1" t="s">
        <v>77</v>
      </c>
      <c r="AW20" s="1" t="s">
        <v>77</v>
      </c>
      <c r="AX20" s="1" t="s">
        <v>77</v>
      </c>
      <c r="AY20" s="1" t="s">
        <v>77</v>
      </c>
      <c r="AZ20" s="1" t="s">
        <v>76</v>
      </c>
      <c r="BA20" s="15" t="s">
        <v>76</v>
      </c>
      <c r="BC20" s="24" t="s">
        <v>116</v>
      </c>
      <c r="BD20" s="24" t="s">
        <v>117</v>
      </c>
      <c r="BE20" s="24" t="s">
        <v>320</v>
      </c>
      <c r="BF20" s="1" t="s">
        <v>321</v>
      </c>
    </row>
    <row r="21" ht="24" customHeight="1" spans="1:58">
      <c r="A21" s="1" t="str">
        <f>_xlfn.DISPIMG("ID_5E99A3605C95405EBABAFD9FA8476DE9",1)</f>
        <v>=DISPIMG("ID_5E99A3605C95405EBABAFD9FA8476DE9",1)</v>
      </c>
      <c r="B21" s="15" t="s">
        <v>322</v>
      </c>
      <c r="C21" s="15" t="s">
        <v>323</v>
      </c>
      <c r="D21" s="15" t="s">
        <v>324</v>
      </c>
      <c r="E21" s="15" t="s">
        <v>103</v>
      </c>
      <c r="F21" s="15" t="s">
        <v>104</v>
      </c>
      <c r="G21" s="15" t="s">
        <v>325</v>
      </c>
      <c r="H21" s="15" t="s">
        <v>326</v>
      </c>
      <c r="I21" s="15" t="s">
        <v>327</v>
      </c>
      <c r="J21" s="15" t="s">
        <v>328</v>
      </c>
      <c r="K21" s="15" t="s">
        <v>65</v>
      </c>
      <c r="L21" s="15" t="s">
        <v>66</v>
      </c>
      <c r="M21" s="18">
        <v>73540</v>
      </c>
      <c r="N21" s="18">
        <v>-2098</v>
      </c>
      <c r="O21" s="19">
        <v>-0.0469</v>
      </c>
      <c r="P21" s="20" t="s">
        <v>67</v>
      </c>
      <c r="Q21" s="23" t="s">
        <v>329</v>
      </c>
      <c r="R21" s="18">
        <v>695</v>
      </c>
      <c r="S21" s="19">
        <v>-0.3687</v>
      </c>
      <c r="T21" s="18">
        <v>20843.05</v>
      </c>
      <c r="U21" s="24" t="s">
        <v>76</v>
      </c>
      <c r="V21" s="18" t="s">
        <v>76</v>
      </c>
      <c r="W21" s="25">
        <v>183</v>
      </c>
      <c r="X21" s="26">
        <v>29.99</v>
      </c>
      <c r="Z21" s="8"/>
      <c r="AA21" s="18">
        <v>9</v>
      </c>
      <c r="AB21" s="25">
        <v>2176</v>
      </c>
      <c r="AC21" s="18">
        <v>38</v>
      </c>
      <c r="AD21" s="29">
        <v>4.2</v>
      </c>
      <c r="AE21" s="30">
        <v>0.0547</v>
      </c>
      <c r="AF21" s="26">
        <v>5.62</v>
      </c>
      <c r="AG21" s="19">
        <v>0.6243</v>
      </c>
      <c r="AI21" s="1" t="s">
        <v>330</v>
      </c>
      <c r="AJ21" s="25">
        <v>1697</v>
      </c>
      <c r="AK21" s="1" t="s">
        <v>71</v>
      </c>
      <c r="AL21" s="25">
        <v>10</v>
      </c>
      <c r="AM21" s="25">
        <v>1</v>
      </c>
      <c r="AN21" s="15" t="s">
        <v>111</v>
      </c>
      <c r="AO21" s="1" t="s">
        <v>71</v>
      </c>
      <c r="AP21" s="1" t="s">
        <v>112</v>
      </c>
      <c r="AQ21" s="15" t="s">
        <v>113</v>
      </c>
      <c r="AR21" s="1" t="s">
        <v>114</v>
      </c>
      <c r="AS21" s="1" t="s">
        <v>76</v>
      </c>
      <c r="AT21" s="1" t="s">
        <v>77</v>
      </c>
      <c r="AU21" s="1" t="s">
        <v>76</v>
      </c>
      <c r="AV21" s="1" t="s">
        <v>77</v>
      </c>
      <c r="AW21" s="1" t="s">
        <v>77</v>
      </c>
      <c r="AX21" s="1" t="s">
        <v>77</v>
      </c>
      <c r="AY21" s="1" t="s">
        <v>77</v>
      </c>
      <c r="AZ21" s="1" t="s">
        <v>76</v>
      </c>
      <c r="BA21" s="15" t="s">
        <v>76</v>
      </c>
      <c r="BB21" s="24" t="s">
        <v>331</v>
      </c>
      <c r="BC21" s="24" t="s">
        <v>332</v>
      </c>
      <c r="BD21" s="24" t="s">
        <v>333</v>
      </c>
      <c r="BE21" s="24" t="s">
        <v>334</v>
      </c>
      <c r="BF21" s="1" t="s">
        <v>335</v>
      </c>
    </row>
    <row r="22" ht="24" customHeight="1" spans="1:58">
      <c r="A22" s="1" t="str">
        <f>_xlfn.DISPIMG("ID_4B0ABAD674854334950225CB578D0A81",1)</f>
        <v>=DISPIMG("ID_4B0ABAD674854334950225CB578D0A81",1)</v>
      </c>
      <c r="B22" s="15" t="s">
        <v>336</v>
      </c>
      <c r="C22" s="15" t="s">
        <v>224</v>
      </c>
      <c r="D22" s="15" t="s">
        <v>337</v>
      </c>
      <c r="E22" s="15" t="s">
        <v>103</v>
      </c>
      <c r="F22" s="15" t="s">
        <v>104</v>
      </c>
      <c r="G22" s="15" t="s">
        <v>338</v>
      </c>
      <c r="H22" s="15" t="s">
        <v>339</v>
      </c>
      <c r="I22" s="15" t="s">
        <v>340</v>
      </c>
      <c r="J22" s="15" t="s">
        <v>341</v>
      </c>
      <c r="K22" s="15" t="s">
        <v>65</v>
      </c>
      <c r="L22" s="15" t="s">
        <v>66</v>
      </c>
      <c r="M22" s="18">
        <v>78257</v>
      </c>
      <c r="N22" s="18">
        <v>13836</v>
      </c>
      <c r="O22" s="19">
        <v>0.1769</v>
      </c>
      <c r="P22" s="20" t="s">
        <v>67</v>
      </c>
      <c r="Q22" s="23" t="s">
        <v>342</v>
      </c>
      <c r="R22" s="18">
        <v>421</v>
      </c>
      <c r="S22" s="19">
        <v>-0.4392</v>
      </c>
      <c r="T22" s="18">
        <v>10516.58</v>
      </c>
      <c r="U22" s="24" t="s">
        <v>76</v>
      </c>
      <c r="V22" s="18" t="s">
        <v>76</v>
      </c>
      <c r="W22" s="25">
        <v>62</v>
      </c>
      <c r="X22" s="26">
        <v>24.98</v>
      </c>
      <c r="Z22" s="8"/>
      <c r="AB22" s="25">
        <v>338</v>
      </c>
      <c r="AC22" s="18">
        <v>7</v>
      </c>
      <c r="AD22" s="29">
        <v>4.3</v>
      </c>
      <c r="AE22" s="30">
        <v>0.0166</v>
      </c>
      <c r="AF22" s="26">
        <v>5.39</v>
      </c>
      <c r="AG22" s="19">
        <v>0.5842</v>
      </c>
      <c r="AI22" s="1" t="s">
        <v>343</v>
      </c>
      <c r="AJ22" s="25">
        <v>342</v>
      </c>
      <c r="AK22" s="1" t="s">
        <v>71</v>
      </c>
      <c r="AL22" s="25">
        <v>10</v>
      </c>
      <c r="AM22" s="25">
        <v>1</v>
      </c>
      <c r="AN22" s="15" t="s">
        <v>103</v>
      </c>
      <c r="AO22" s="1" t="s">
        <v>71</v>
      </c>
      <c r="AP22" s="1" t="s">
        <v>73</v>
      </c>
      <c r="AQ22" s="15" t="s">
        <v>146</v>
      </c>
      <c r="AR22" s="1" t="s">
        <v>147</v>
      </c>
      <c r="AS22" s="1" t="s">
        <v>76</v>
      </c>
      <c r="AT22" s="1" t="s">
        <v>76</v>
      </c>
      <c r="AU22" s="1" t="s">
        <v>76</v>
      </c>
      <c r="AV22" s="1" t="s">
        <v>77</v>
      </c>
      <c r="AW22" s="1" t="s">
        <v>77</v>
      </c>
      <c r="AX22" s="1" t="s">
        <v>77</v>
      </c>
      <c r="AY22" s="1" t="s">
        <v>77</v>
      </c>
      <c r="AZ22" s="1" t="s">
        <v>76</v>
      </c>
      <c r="BA22" s="15" t="s">
        <v>76</v>
      </c>
      <c r="BC22" s="24" t="s">
        <v>344</v>
      </c>
      <c r="BD22" s="24" t="s">
        <v>345</v>
      </c>
      <c r="BE22" s="24" t="s">
        <v>346</v>
      </c>
      <c r="BF22" s="1" t="s">
        <v>347</v>
      </c>
    </row>
    <row r="23" ht="24" customHeight="1" spans="1:58">
      <c r="A23" s="1" t="str">
        <f>_xlfn.DISPIMG("ID_85F5F6F281554AE4B8AB090954BA9F3A",1)</f>
        <v>=DISPIMG("ID_85F5F6F281554AE4B8AB090954BA9F3A",1)</v>
      </c>
      <c r="B23" s="15" t="s">
        <v>348</v>
      </c>
      <c r="C23" s="15" t="s">
        <v>349</v>
      </c>
      <c r="D23" s="15" t="s">
        <v>350</v>
      </c>
      <c r="E23" s="15" t="s">
        <v>103</v>
      </c>
      <c r="F23" s="15" t="s">
        <v>104</v>
      </c>
      <c r="G23" s="15" t="s">
        <v>351</v>
      </c>
      <c r="H23" s="15" t="s">
        <v>352</v>
      </c>
      <c r="I23" s="15" t="s">
        <v>353</v>
      </c>
      <c r="J23" s="15" t="s">
        <v>354</v>
      </c>
      <c r="K23" s="15" t="s">
        <v>65</v>
      </c>
      <c r="L23" s="15" t="s">
        <v>66</v>
      </c>
      <c r="M23" s="18">
        <v>32273</v>
      </c>
      <c r="N23" s="18">
        <v>-2575</v>
      </c>
      <c r="O23" s="19">
        <v>-0.0867</v>
      </c>
      <c r="P23" s="20" t="s">
        <v>67</v>
      </c>
      <c r="Q23" s="23" t="s">
        <v>355</v>
      </c>
      <c r="R23" s="18">
        <v>979</v>
      </c>
      <c r="S23" s="19">
        <v>-0.3384</v>
      </c>
      <c r="T23" s="18">
        <v>32297.21</v>
      </c>
      <c r="U23" s="24" t="s">
        <v>76</v>
      </c>
      <c r="V23" s="18" t="s">
        <v>76</v>
      </c>
      <c r="W23" s="25">
        <v>143</v>
      </c>
      <c r="X23" s="26">
        <v>32.99</v>
      </c>
      <c r="Z23" s="8"/>
      <c r="AA23" s="18">
        <v>12</v>
      </c>
      <c r="AB23" s="25">
        <v>2335</v>
      </c>
      <c r="AC23" s="18">
        <v>20</v>
      </c>
      <c r="AD23" s="29">
        <v>4</v>
      </c>
      <c r="AE23" s="30">
        <v>0.0204</v>
      </c>
      <c r="AF23" s="26">
        <v>6.27</v>
      </c>
      <c r="AG23" s="19">
        <v>0.4863</v>
      </c>
      <c r="AI23" s="1" t="s">
        <v>356</v>
      </c>
      <c r="AJ23" s="25">
        <v>827</v>
      </c>
      <c r="AK23" s="1" t="s">
        <v>71</v>
      </c>
      <c r="AL23" s="25">
        <v>9.6</v>
      </c>
      <c r="AM23" s="25">
        <v>1</v>
      </c>
      <c r="AN23" s="15" t="s">
        <v>103</v>
      </c>
      <c r="AO23" s="1" t="s">
        <v>71</v>
      </c>
      <c r="AP23" s="1" t="s">
        <v>73</v>
      </c>
      <c r="AQ23" s="15" t="s">
        <v>146</v>
      </c>
      <c r="AR23" s="1" t="s">
        <v>147</v>
      </c>
      <c r="AS23" s="1" t="s">
        <v>76</v>
      </c>
      <c r="AT23" s="1" t="s">
        <v>76</v>
      </c>
      <c r="AU23" s="1" t="s">
        <v>76</v>
      </c>
      <c r="AV23" s="1" t="s">
        <v>77</v>
      </c>
      <c r="AW23" s="1" t="s">
        <v>77</v>
      </c>
      <c r="AX23" s="1" t="s">
        <v>76</v>
      </c>
      <c r="AY23" s="1" t="s">
        <v>77</v>
      </c>
      <c r="AZ23" s="1" t="s">
        <v>76</v>
      </c>
      <c r="BA23" s="15" t="s">
        <v>76</v>
      </c>
      <c r="BC23" s="24" t="s">
        <v>357</v>
      </c>
      <c r="BD23" s="24" t="s">
        <v>358</v>
      </c>
      <c r="BE23" s="24" t="s">
        <v>359</v>
      </c>
      <c r="BF23" s="1" t="s">
        <v>360</v>
      </c>
    </row>
    <row r="24" ht="24" hidden="1" customHeight="1" spans="1:58">
      <c r="A24" s="1" t="str">
        <f>_xlfn.DISPIMG("ID_5488E7BEEB5045CBA039A7922242863C",1)</f>
        <v>=DISPIMG("ID_5488E7BEEB5045CBA039A7922242863C",1)</v>
      </c>
      <c r="B24" s="15" t="s">
        <v>361</v>
      </c>
      <c r="C24" s="15" t="s">
        <v>362</v>
      </c>
      <c r="D24" s="15" t="s">
        <v>363</v>
      </c>
      <c r="E24" s="15" t="s">
        <v>364</v>
      </c>
      <c r="F24" s="15" t="s">
        <v>365</v>
      </c>
      <c r="G24" s="15" t="s">
        <v>366</v>
      </c>
      <c r="H24" s="15" t="s">
        <v>367</v>
      </c>
      <c r="I24" s="15" t="s">
        <v>368</v>
      </c>
      <c r="J24" s="15" t="s">
        <v>369</v>
      </c>
      <c r="K24" s="15" t="s">
        <v>370</v>
      </c>
      <c r="L24" s="15" t="s">
        <v>66</v>
      </c>
      <c r="M24" s="18">
        <v>10687</v>
      </c>
      <c r="N24" s="18">
        <v>-1042</v>
      </c>
      <c r="O24" s="19">
        <v>-0.1094</v>
      </c>
      <c r="P24" s="20" t="s">
        <v>371</v>
      </c>
      <c r="Q24" s="23" t="s">
        <v>273</v>
      </c>
      <c r="R24" s="18">
        <v>2736</v>
      </c>
      <c r="S24" s="19">
        <v>-0.0862</v>
      </c>
      <c r="T24" s="18">
        <v>54692.64</v>
      </c>
      <c r="U24" s="24" t="s">
        <v>173</v>
      </c>
      <c r="V24" s="18">
        <v>3998</v>
      </c>
      <c r="W24" s="25">
        <v>40</v>
      </c>
      <c r="X24" s="26">
        <v>19.99</v>
      </c>
      <c r="Z24" s="8"/>
      <c r="AA24" s="18">
        <v>11</v>
      </c>
      <c r="AB24" s="25">
        <v>2675</v>
      </c>
      <c r="AC24" s="18">
        <v>32</v>
      </c>
      <c r="AD24" s="29">
        <v>4.2</v>
      </c>
      <c r="AE24" s="30">
        <v>0.0117</v>
      </c>
      <c r="AF24" s="26">
        <v>3.6</v>
      </c>
      <c r="AG24" s="19">
        <v>0.6199</v>
      </c>
      <c r="AI24" s="1" t="s">
        <v>372</v>
      </c>
      <c r="AJ24" s="25">
        <v>1571</v>
      </c>
      <c r="AK24" s="1" t="s">
        <v>71</v>
      </c>
      <c r="AL24" s="25">
        <v>9.9</v>
      </c>
      <c r="AM24" s="25">
        <v>1</v>
      </c>
      <c r="AN24" s="15" t="s">
        <v>373</v>
      </c>
      <c r="AO24" s="1" t="s">
        <v>71</v>
      </c>
      <c r="AP24" s="1" t="s">
        <v>73</v>
      </c>
      <c r="AQ24" s="15" t="s">
        <v>374</v>
      </c>
      <c r="AR24" s="1" t="s">
        <v>375</v>
      </c>
      <c r="AS24" s="1" t="s">
        <v>76</v>
      </c>
      <c r="AT24" s="1" t="s">
        <v>77</v>
      </c>
      <c r="AU24" s="1" t="s">
        <v>76</v>
      </c>
      <c r="AV24" s="1" t="s">
        <v>77</v>
      </c>
      <c r="AW24" s="1" t="s">
        <v>77</v>
      </c>
      <c r="AX24" s="1" t="s">
        <v>76</v>
      </c>
      <c r="AY24" s="1" t="s">
        <v>77</v>
      </c>
      <c r="AZ24" s="1" t="s">
        <v>76</v>
      </c>
      <c r="BA24" s="15" t="s">
        <v>76</v>
      </c>
      <c r="BB24" s="24" t="s">
        <v>376</v>
      </c>
      <c r="BC24" s="24" t="s">
        <v>277</v>
      </c>
      <c r="BD24" s="24" t="s">
        <v>278</v>
      </c>
      <c r="BE24" s="24" t="s">
        <v>377</v>
      </c>
      <c r="BF24" s="1" t="s">
        <v>378</v>
      </c>
    </row>
    <row r="25" ht="24" hidden="1" customHeight="1" spans="1:58">
      <c r="A25" s="1" t="str">
        <f>_xlfn.DISPIMG("ID_3C23BEE860A9416E9EF04095D31EF954",1)</f>
        <v>=DISPIMG("ID_3C23BEE860A9416E9EF04095D31EF954",1)</v>
      </c>
      <c r="B25" s="15" t="s">
        <v>379</v>
      </c>
      <c r="C25" s="15" t="s">
        <v>380</v>
      </c>
      <c r="D25" s="15" t="s">
        <v>381</v>
      </c>
      <c r="E25" s="15" t="s">
        <v>156</v>
      </c>
      <c r="F25" s="15" t="s">
        <v>157</v>
      </c>
      <c r="G25" s="15" t="s">
        <v>382</v>
      </c>
      <c r="H25" s="15" t="s">
        <v>383</v>
      </c>
      <c r="I25" s="15" t="s">
        <v>384</v>
      </c>
      <c r="J25" s="15" t="s">
        <v>385</v>
      </c>
      <c r="K25" s="15" t="s">
        <v>65</v>
      </c>
      <c r="L25" s="15" t="s">
        <v>66</v>
      </c>
      <c r="M25" s="18">
        <v>15518</v>
      </c>
      <c r="N25" s="18">
        <v>7116</v>
      </c>
      <c r="O25" s="19">
        <v>0.3322</v>
      </c>
      <c r="P25" s="20" t="s">
        <v>67</v>
      </c>
      <c r="Q25" s="23" t="s">
        <v>386</v>
      </c>
      <c r="R25" s="18">
        <v>1850</v>
      </c>
      <c r="S25" s="19">
        <v>-0.029</v>
      </c>
      <c r="T25" s="18">
        <v>34021.5</v>
      </c>
      <c r="U25" s="24" t="s">
        <v>173</v>
      </c>
      <c r="V25" s="18">
        <v>3678</v>
      </c>
      <c r="W25" s="25">
        <v>100</v>
      </c>
      <c r="X25" s="26">
        <v>18.39</v>
      </c>
      <c r="Z25" s="8"/>
      <c r="AA25" s="18">
        <v>16</v>
      </c>
      <c r="AB25" s="25">
        <v>3266</v>
      </c>
      <c r="AC25" s="18">
        <v>25</v>
      </c>
      <c r="AD25" s="29">
        <v>4.4</v>
      </c>
      <c r="AE25" s="30">
        <v>0.0135</v>
      </c>
      <c r="AF25" s="26">
        <v>5.39</v>
      </c>
      <c r="AG25" s="19">
        <v>0.5069</v>
      </c>
      <c r="AI25" s="1" t="s">
        <v>387</v>
      </c>
      <c r="AJ25" s="25">
        <v>876</v>
      </c>
      <c r="AK25" s="1" t="s">
        <v>71</v>
      </c>
      <c r="AL25" s="25">
        <v>9.9</v>
      </c>
      <c r="AM25" s="25">
        <v>1</v>
      </c>
      <c r="AN25" s="15" t="s">
        <v>165</v>
      </c>
      <c r="AO25" s="1" t="s">
        <v>71</v>
      </c>
      <c r="AP25" s="1" t="s">
        <v>73</v>
      </c>
      <c r="AQ25" s="15" t="s">
        <v>166</v>
      </c>
      <c r="AR25" s="1" t="s">
        <v>167</v>
      </c>
      <c r="AS25" s="1" t="s">
        <v>76</v>
      </c>
      <c r="AT25" s="1" t="s">
        <v>77</v>
      </c>
      <c r="AU25" s="1" t="s">
        <v>77</v>
      </c>
      <c r="AV25" s="1" t="s">
        <v>77</v>
      </c>
      <c r="AW25" s="1" t="s">
        <v>77</v>
      </c>
      <c r="AX25" s="1" t="s">
        <v>76</v>
      </c>
      <c r="AY25" s="1" t="s">
        <v>77</v>
      </c>
      <c r="AZ25" s="1" t="s">
        <v>76</v>
      </c>
      <c r="BA25" s="15" t="s">
        <v>77</v>
      </c>
      <c r="BB25" s="24" t="s">
        <v>76</v>
      </c>
      <c r="BC25" s="24" t="s">
        <v>200</v>
      </c>
      <c r="BD25" s="24" t="s">
        <v>201</v>
      </c>
      <c r="BE25" s="24" t="s">
        <v>388</v>
      </c>
      <c r="BF25" s="1" t="s">
        <v>389</v>
      </c>
    </row>
    <row r="26" ht="24" customHeight="1" spans="1:58">
      <c r="A26" s="1" t="str">
        <f>_xlfn.DISPIMG("ID_4F7A6A955FA24784B872DC149BB68713",1)</f>
        <v>=DISPIMG("ID_4F7A6A955FA24784B872DC149BB68713",1)</v>
      </c>
      <c r="B26" s="15" t="s">
        <v>390</v>
      </c>
      <c r="C26" s="15" t="s">
        <v>391</v>
      </c>
      <c r="D26" s="15" t="s">
        <v>392</v>
      </c>
      <c r="E26" s="15" t="s">
        <v>103</v>
      </c>
      <c r="F26" s="15" t="s">
        <v>104</v>
      </c>
      <c r="G26" s="15" t="s">
        <v>393</v>
      </c>
      <c r="H26" s="15" t="s">
        <v>394</v>
      </c>
      <c r="I26" s="15" t="s">
        <v>395</v>
      </c>
      <c r="J26" s="15" t="s">
        <v>396</v>
      </c>
      <c r="K26" s="15" t="s">
        <v>65</v>
      </c>
      <c r="L26" s="15" t="s">
        <v>66</v>
      </c>
      <c r="M26" s="18">
        <v>13386</v>
      </c>
      <c r="N26" s="18">
        <v>-1044</v>
      </c>
      <c r="O26" s="19">
        <v>-0.1128</v>
      </c>
      <c r="P26" s="20" t="s">
        <v>67</v>
      </c>
      <c r="Q26" s="23" t="s">
        <v>397</v>
      </c>
      <c r="R26" s="18">
        <v>2545</v>
      </c>
      <c r="S26" s="19">
        <v>-0.1461</v>
      </c>
      <c r="T26" s="18">
        <v>83959.555</v>
      </c>
      <c r="U26" s="24" t="s">
        <v>69</v>
      </c>
      <c r="V26" s="18">
        <v>3299</v>
      </c>
      <c r="W26" s="25">
        <v>127</v>
      </c>
      <c r="X26" s="26">
        <v>32.99</v>
      </c>
      <c r="Z26" s="24" t="s">
        <v>274</v>
      </c>
      <c r="AA26" s="18">
        <v>5</v>
      </c>
      <c r="AB26" s="25">
        <v>2395</v>
      </c>
      <c r="AC26" s="18">
        <v>46</v>
      </c>
      <c r="AD26" s="29">
        <v>4.4</v>
      </c>
      <c r="AE26" s="30">
        <v>0.0181</v>
      </c>
      <c r="AF26" s="26">
        <v>5.46</v>
      </c>
      <c r="AG26" s="19">
        <v>0.6345</v>
      </c>
      <c r="AI26" s="1" t="s">
        <v>398</v>
      </c>
      <c r="AJ26" s="25">
        <v>749</v>
      </c>
      <c r="AK26" s="1" t="s">
        <v>71</v>
      </c>
      <c r="AL26" s="25">
        <v>10</v>
      </c>
      <c r="AM26" s="25">
        <v>1</v>
      </c>
      <c r="AN26" s="15" t="s">
        <v>111</v>
      </c>
      <c r="AO26" s="1" t="s">
        <v>71</v>
      </c>
      <c r="AP26" s="1" t="s">
        <v>112</v>
      </c>
      <c r="AQ26" s="15" t="s">
        <v>113</v>
      </c>
      <c r="AR26" s="1" t="s">
        <v>114</v>
      </c>
      <c r="AS26" s="1" t="s">
        <v>76</v>
      </c>
      <c r="AT26" s="1" t="s">
        <v>76</v>
      </c>
      <c r="AU26" s="1" t="s">
        <v>76</v>
      </c>
      <c r="AV26" s="1" t="s">
        <v>77</v>
      </c>
      <c r="AW26" s="1" t="s">
        <v>77</v>
      </c>
      <c r="AX26" s="1" t="s">
        <v>76</v>
      </c>
      <c r="AY26" s="1" t="s">
        <v>77</v>
      </c>
      <c r="AZ26" s="1" t="s">
        <v>76</v>
      </c>
      <c r="BA26" s="15" t="s">
        <v>76</v>
      </c>
      <c r="BC26" s="24" t="s">
        <v>399</v>
      </c>
      <c r="BD26" s="24" t="s">
        <v>400</v>
      </c>
      <c r="BE26" s="24" t="s">
        <v>401</v>
      </c>
      <c r="BF26" s="1" t="s">
        <v>402</v>
      </c>
    </row>
    <row r="27" ht="24" hidden="1" customHeight="1" spans="1:58">
      <c r="A27" s="1" t="str">
        <f>_xlfn.DISPIMG("ID_CF5B24AD07414205A4E8226FD8A2A260",1)</f>
        <v>=DISPIMG("ID_CF5B24AD07414205A4E8226FD8A2A260",1)</v>
      </c>
      <c r="B27" s="15" t="s">
        <v>403</v>
      </c>
      <c r="C27" s="15" t="s">
        <v>404</v>
      </c>
      <c r="D27" s="15" t="s">
        <v>405</v>
      </c>
      <c r="E27" s="15" t="s">
        <v>406</v>
      </c>
      <c r="F27" s="15" t="s">
        <v>407</v>
      </c>
      <c r="G27" s="15" t="s">
        <v>408</v>
      </c>
      <c r="H27" s="15" t="s">
        <v>409</v>
      </c>
      <c r="I27" s="15" t="s">
        <v>410</v>
      </c>
      <c r="J27" s="15" t="s">
        <v>411</v>
      </c>
      <c r="K27" s="15" t="s">
        <v>65</v>
      </c>
      <c r="L27" s="15" t="s">
        <v>66</v>
      </c>
      <c r="M27" s="18">
        <v>68632</v>
      </c>
      <c r="N27" s="18">
        <v>-1115</v>
      </c>
      <c r="O27" s="19">
        <v>-0.0188</v>
      </c>
      <c r="P27" s="20" t="s">
        <v>67</v>
      </c>
      <c r="Q27" s="23" t="s">
        <v>163</v>
      </c>
      <c r="R27" s="18">
        <v>453</v>
      </c>
      <c r="S27" s="19">
        <v>-0.1212</v>
      </c>
      <c r="T27" s="18">
        <v>22604.701</v>
      </c>
      <c r="U27" s="24" t="s">
        <v>91</v>
      </c>
      <c r="V27" s="18">
        <v>2495</v>
      </c>
      <c r="W27" s="25">
        <v>59</v>
      </c>
      <c r="X27" s="26">
        <v>50.2</v>
      </c>
      <c r="Z27" s="8"/>
      <c r="AA27" s="18">
        <v>28</v>
      </c>
      <c r="AB27" s="25">
        <v>1959</v>
      </c>
      <c r="AC27" s="18">
        <v>16</v>
      </c>
      <c r="AD27" s="29">
        <v>4.5</v>
      </c>
      <c r="AE27" s="30">
        <v>0.0353</v>
      </c>
      <c r="AF27" s="26">
        <v>6.27</v>
      </c>
      <c r="AG27" s="19">
        <v>0.6744</v>
      </c>
      <c r="AI27" s="1" t="s">
        <v>412</v>
      </c>
      <c r="AJ27" s="25">
        <v>2380</v>
      </c>
      <c r="AK27" s="1" t="s">
        <v>71</v>
      </c>
      <c r="AL27" s="25">
        <v>10</v>
      </c>
      <c r="AM27" s="25">
        <v>7</v>
      </c>
      <c r="AN27" s="15" t="s">
        <v>413</v>
      </c>
      <c r="AO27" s="1" t="s">
        <v>71</v>
      </c>
      <c r="AP27" s="1" t="s">
        <v>112</v>
      </c>
      <c r="AQ27" s="15" t="s">
        <v>414</v>
      </c>
      <c r="AR27" s="1" t="s">
        <v>415</v>
      </c>
      <c r="AS27" s="1" t="s">
        <v>76</v>
      </c>
      <c r="AT27" s="1" t="s">
        <v>77</v>
      </c>
      <c r="AU27" s="1" t="s">
        <v>76</v>
      </c>
      <c r="AV27" s="1" t="s">
        <v>77</v>
      </c>
      <c r="AW27" s="1" t="s">
        <v>77</v>
      </c>
      <c r="AX27" s="1" t="s">
        <v>76</v>
      </c>
      <c r="AY27" s="1" t="s">
        <v>77</v>
      </c>
      <c r="AZ27" s="1" t="s">
        <v>76</v>
      </c>
      <c r="BA27" s="15" t="s">
        <v>76</v>
      </c>
      <c r="BB27" s="24" t="s">
        <v>416</v>
      </c>
      <c r="BC27" s="24" t="s">
        <v>417</v>
      </c>
      <c r="BD27" s="24" t="s">
        <v>418</v>
      </c>
      <c r="BE27" s="24" t="s">
        <v>419</v>
      </c>
      <c r="BF27" s="1" t="s">
        <v>420</v>
      </c>
    </row>
    <row r="28" ht="24" hidden="1" customHeight="1" spans="1:58">
      <c r="A28" s="1" t="str">
        <f>_xlfn.DISPIMG("ID_66BB588A66594BFA977B5F846D1A01AC",1)</f>
        <v>=DISPIMG("ID_66BB588A66594BFA977B5F846D1A01AC",1)</v>
      </c>
      <c r="B28" s="15" t="s">
        <v>421</v>
      </c>
      <c r="C28" s="15" t="s">
        <v>323</v>
      </c>
      <c r="D28" s="15" t="s">
        <v>422</v>
      </c>
      <c r="E28" s="15" t="s">
        <v>423</v>
      </c>
      <c r="F28" s="15" t="s">
        <v>424</v>
      </c>
      <c r="G28" s="15" t="s">
        <v>425</v>
      </c>
      <c r="H28" s="15" t="s">
        <v>426</v>
      </c>
      <c r="I28" s="15" t="s">
        <v>427</v>
      </c>
      <c r="J28" s="21" t="s">
        <v>428</v>
      </c>
      <c r="K28" s="15" t="s">
        <v>65</v>
      </c>
      <c r="L28" s="15" t="s">
        <v>66</v>
      </c>
      <c r="M28" s="18">
        <v>7997</v>
      </c>
      <c r="N28" s="18">
        <v>2833</v>
      </c>
      <c r="O28" s="19">
        <v>0.3005</v>
      </c>
      <c r="P28" s="20" t="s">
        <v>67</v>
      </c>
      <c r="Q28" s="23" t="s">
        <v>69</v>
      </c>
      <c r="R28" s="18">
        <v>3144</v>
      </c>
      <c r="S28" s="19">
        <v>-0.4068</v>
      </c>
      <c r="T28" s="18">
        <v>78568.56</v>
      </c>
      <c r="U28" s="24" t="s">
        <v>91</v>
      </c>
      <c r="V28" s="18">
        <v>1249.5</v>
      </c>
      <c r="W28" s="25">
        <v>173</v>
      </c>
      <c r="X28" s="26">
        <v>24.99</v>
      </c>
      <c r="Y28" s="26">
        <v>21.24</v>
      </c>
      <c r="Z28" s="8"/>
      <c r="AA28" s="18">
        <v>3</v>
      </c>
      <c r="AB28" s="25">
        <v>1904</v>
      </c>
      <c r="AC28" s="18">
        <v>86</v>
      </c>
      <c r="AD28" s="29">
        <v>4.2</v>
      </c>
      <c r="AE28" s="30">
        <v>0.0274</v>
      </c>
      <c r="AF28" s="26">
        <v>4.84</v>
      </c>
      <c r="AG28" s="19">
        <v>0.5579</v>
      </c>
      <c r="AI28" s="1" t="s">
        <v>429</v>
      </c>
      <c r="AJ28" s="25">
        <v>179</v>
      </c>
      <c r="AK28" s="1" t="s">
        <v>71</v>
      </c>
      <c r="AL28" s="25">
        <v>9.4</v>
      </c>
      <c r="AM28" s="25">
        <v>1</v>
      </c>
      <c r="AN28" s="15" t="s">
        <v>423</v>
      </c>
      <c r="AO28" s="1" t="s">
        <v>71</v>
      </c>
      <c r="AP28" s="1" t="s">
        <v>73</v>
      </c>
      <c r="AQ28" s="15" t="s">
        <v>430</v>
      </c>
      <c r="AR28" s="1" t="s">
        <v>431</v>
      </c>
      <c r="AS28" s="1" t="s">
        <v>76</v>
      </c>
      <c r="AT28" s="1" t="s">
        <v>77</v>
      </c>
      <c r="AU28" s="1" t="s">
        <v>77</v>
      </c>
      <c r="AV28" s="1" t="s">
        <v>77</v>
      </c>
      <c r="AW28" s="1" t="s">
        <v>76</v>
      </c>
      <c r="AX28" s="1" t="s">
        <v>76</v>
      </c>
      <c r="AY28" s="1" t="s">
        <v>77</v>
      </c>
      <c r="AZ28" s="1" t="s">
        <v>76</v>
      </c>
      <c r="BA28" s="15" t="s">
        <v>76</v>
      </c>
      <c r="BB28" s="24" t="s">
        <v>432</v>
      </c>
      <c r="BC28" s="24" t="s">
        <v>433</v>
      </c>
      <c r="BD28" s="24" t="s">
        <v>434</v>
      </c>
      <c r="BE28" s="24" t="s">
        <v>435</v>
      </c>
      <c r="BF28" s="1" t="s">
        <v>436</v>
      </c>
    </row>
    <row r="29" ht="24" customHeight="1" spans="1:58">
      <c r="A29" s="1" t="str">
        <f>_xlfn.DISPIMG("ID_BCF1AAA056E1419FB9094A28CC77AE5F",1)</f>
        <v>=DISPIMG("ID_BCF1AAA056E1419FB9094A28CC77AE5F",1)</v>
      </c>
      <c r="B29" s="15" t="s">
        <v>437</v>
      </c>
      <c r="C29" s="15" t="s">
        <v>438</v>
      </c>
      <c r="D29" s="15" t="s">
        <v>439</v>
      </c>
      <c r="E29" s="15" t="s">
        <v>103</v>
      </c>
      <c r="F29" s="15" t="s">
        <v>104</v>
      </c>
      <c r="G29" s="15" t="s">
        <v>440</v>
      </c>
      <c r="H29" s="15" t="s">
        <v>441</v>
      </c>
      <c r="I29" s="15" t="s">
        <v>442</v>
      </c>
      <c r="J29" s="15" t="s">
        <v>443</v>
      </c>
      <c r="K29" s="15" t="s">
        <v>271</v>
      </c>
      <c r="L29" s="15" t="s">
        <v>66</v>
      </c>
      <c r="M29" s="18">
        <v>168213</v>
      </c>
      <c r="N29" s="18">
        <v>-49672</v>
      </c>
      <c r="O29" s="19">
        <v>-0.4036</v>
      </c>
      <c r="P29" s="20" t="s">
        <v>272</v>
      </c>
      <c r="Q29" s="23" t="s">
        <v>444</v>
      </c>
      <c r="R29" s="18">
        <v>201</v>
      </c>
      <c r="S29" s="19">
        <v>-0.1848</v>
      </c>
      <c r="T29" s="18">
        <v>3977.7903</v>
      </c>
      <c r="U29" s="24" t="s">
        <v>76</v>
      </c>
      <c r="V29" s="18" t="s">
        <v>76</v>
      </c>
      <c r="W29" s="25">
        <v>73</v>
      </c>
      <c r="X29" s="26">
        <v>19.79</v>
      </c>
      <c r="Z29" s="8"/>
      <c r="AB29" s="25">
        <v>207</v>
      </c>
      <c r="AC29" s="18">
        <v>6</v>
      </c>
      <c r="AD29" s="29">
        <v>3.9</v>
      </c>
      <c r="AE29" s="30">
        <v>0.0299</v>
      </c>
      <c r="AF29" s="26">
        <v>3.6</v>
      </c>
      <c r="AG29" s="19">
        <v>0.6181</v>
      </c>
      <c r="AI29" s="1" t="s">
        <v>445</v>
      </c>
      <c r="AJ29" s="25">
        <v>401</v>
      </c>
      <c r="AK29" s="1" t="s">
        <v>71</v>
      </c>
      <c r="AL29" s="25">
        <v>8.9</v>
      </c>
      <c r="AM29" s="25">
        <v>1</v>
      </c>
      <c r="AN29" s="15" t="s">
        <v>103</v>
      </c>
      <c r="AO29" s="1" t="s">
        <v>71</v>
      </c>
      <c r="AP29" s="1" t="s">
        <v>73</v>
      </c>
      <c r="AQ29" s="15" t="s">
        <v>146</v>
      </c>
      <c r="AR29" s="1" t="s">
        <v>147</v>
      </c>
      <c r="AS29" s="1" t="s">
        <v>76</v>
      </c>
      <c r="AT29" s="1" t="s">
        <v>76</v>
      </c>
      <c r="AU29" s="1" t="s">
        <v>76</v>
      </c>
      <c r="AV29" s="1" t="s">
        <v>77</v>
      </c>
      <c r="AW29" s="1" t="s">
        <v>77</v>
      </c>
      <c r="AX29" s="1" t="s">
        <v>76</v>
      </c>
      <c r="AY29" s="1" t="s">
        <v>77</v>
      </c>
      <c r="AZ29" s="1" t="s">
        <v>76</v>
      </c>
      <c r="BA29" s="15" t="s">
        <v>76</v>
      </c>
      <c r="BC29" s="24" t="s">
        <v>446</v>
      </c>
      <c r="BD29" s="24" t="s">
        <v>447</v>
      </c>
      <c r="BE29" s="24" t="s">
        <v>448</v>
      </c>
      <c r="BF29" s="1" t="s">
        <v>449</v>
      </c>
    </row>
    <row r="30" ht="24" hidden="1" customHeight="1" spans="1:58">
      <c r="A30" s="1" t="str">
        <f>_xlfn.DISPIMG("ID_83942CECA92C4E328DEEDCF99D0B0B7A",1)</f>
        <v>=DISPIMG("ID_83942CECA92C4E328DEEDCF99D0B0B7A",1)</v>
      </c>
      <c r="B30" s="15" t="s">
        <v>450</v>
      </c>
      <c r="C30" s="15" t="s">
        <v>451</v>
      </c>
      <c r="D30" s="15" t="s">
        <v>452</v>
      </c>
      <c r="E30" s="15" t="s">
        <v>453</v>
      </c>
      <c r="F30" s="15" t="s">
        <v>454</v>
      </c>
      <c r="G30" s="15" t="s">
        <v>455</v>
      </c>
      <c r="H30" s="15" t="s">
        <v>456</v>
      </c>
      <c r="I30" s="15" t="s">
        <v>457</v>
      </c>
      <c r="J30" s="15" t="s">
        <v>458</v>
      </c>
      <c r="K30" s="15" t="s">
        <v>65</v>
      </c>
      <c r="L30" s="15" t="s">
        <v>66</v>
      </c>
      <c r="M30" s="18">
        <v>83929</v>
      </c>
      <c r="N30" s="18">
        <v>-27565</v>
      </c>
      <c r="O30" s="19">
        <v>-0.6996</v>
      </c>
      <c r="P30" s="20" t="s">
        <v>67</v>
      </c>
      <c r="Q30" s="23" t="s">
        <v>459</v>
      </c>
      <c r="R30" s="18">
        <v>599</v>
      </c>
      <c r="S30" s="19">
        <v>-0.5266</v>
      </c>
      <c r="T30" s="18">
        <v>11974.01</v>
      </c>
      <c r="U30" s="24" t="s">
        <v>91</v>
      </c>
      <c r="V30" s="18">
        <v>999.5</v>
      </c>
      <c r="W30" s="25">
        <v>44</v>
      </c>
      <c r="X30" s="26">
        <v>19.99</v>
      </c>
      <c r="Z30" s="8"/>
      <c r="AB30" s="25">
        <v>368</v>
      </c>
      <c r="AC30" s="18">
        <v>0</v>
      </c>
      <c r="AD30" s="29">
        <v>4.5</v>
      </c>
      <c r="AE30" s="30">
        <v>0</v>
      </c>
      <c r="AF30" s="26">
        <v>6.27</v>
      </c>
      <c r="AG30" s="19">
        <v>0.4863</v>
      </c>
      <c r="AI30" s="1" t="s">
        <v>460</v>
      </c>
      <c r="AJ30" s="25">
        <v>339</v>
      </c>
      <c r="AK30" s="1" t="s">
        <v>71</v>
      </c>
      <c r="AL30" s="25">
        <v>8.8</v>
      </c>
      <c r="AM30" s="25">
        <v>1</v>
      </c>
      <c r="AN30" s="15" t="s">
        <v>453</v>
      </c>
      <c r="AO30" s="1" t="s">
        <v>71</v>
      </c>
      <c r="AP30" s="1" t="s">
        <v>73</v>
      </c>
      <c r="AQ30" s="15" t="s">
        <v>461</v>
      </c>
      <c r="AR30" s="1" t="s">
        <v>462</v>
      </c>
      <c r="AS30" s="1" t="s">
        <v>76</v>
      </c>
      <c r="AT30" s="1" t="s">
        <v>76</v>
      </c>
      <c r="AU30" s="1" t="s">
        <v>77</v>
      </c>
      <c r="AV30" s="1" t="s">
        <v>77</v>
      </c>
      <c r="AW30" s="1" t="s">
        <v>77</v>
      </c>
      <c r="AX30" s="1" t="s">
        <v>76</v>
      </c>
      <c r="AY30" s="1" t="s">
        <v>77</v>
      </c>
      <c r="AZ30" s="1" t="s">
        <v>76</v>
      </c>
      <c r="BA30" s="15" t="s">
        <v>76</v>
      </c>
      <c r="BC30" s="24" t="s">
        <v>463</v>
      </c>
      <c r="BD30" s="24" t="s">
        <v>464</v>
      </c>
      <c r="BE30" s="24" t="s">
        <v>465</v>
      </c>
      <c r="BF30" s="1" t="s">
        <v>466</v>
      </c>
    </row>
    <row r="31" ht="24" hidden="1" customHeight="1" spans="1:58">
      <c r="A31" s="1" t="str">
        <f>_xlfn.DISPIMG("ID_AE97B81034B64CF4BB1F043B7E47CA8E",1)</f>
        <v>=DISPIMG("ID_AE97B81034B64CF4BB1F043B7E47CA8E",1)</v>
      </c>
      <c r="B31" s="15" t="s">
        <v>467</v>
      </c>
      <c r="C31" s="15" t="s">
        <v>171</v>
      </c>
      <c r="D31" s="15" t="s">
        <v>58</v>
      </c>
      <c r="E31" s="15" t="s">
        <v>84</v>
      </c>
      <c r="F31" s="15" t="s">
        <v>85</v>
      </c>
      <c r="G31" s="15" t="s">
        <v>86</v>
      </c>
      <c r="H31" s="15" t="s">
        <v>468</v>
      </c>
      <c r="I31" s="15" t="s">
        <v>469</v>
      </c>
      <c r="J31" s="15" t="s">
        <v>89</v>
      </c>
      <c r="K31" s="15" t="s">
        <v>65</v>
      </c>
      <c r="L31" s="15" t="s">
        <v>66</v>
      </c>
      <c r="M31" s="18">
        <v>13254</v>
      </c>
      <c r="N31" s="18">
        <v>2619</v>
      </c>
      <c r="O31" s="19">
        <v>0.165</v>
      </c>
      <c r="P31" s="20" t="s">
        <v>67</v>
      </c>
      <c r="Q31" s="23" t="s">
        <v>90</v>
      </c>
      <c r="R31" s="18">
        <v>2397</v>
      </c>
      <c r="S31" s="19">
        <v>-0.2817</v>
      </c>
      <c r="T31" s="18">
        <v>69489.03</v>
      </c>
      <c r="U31" s="24" t="s">
        <v>69</v>
      </c>
      <c r="V31" s="18">
        <v>2899</v>
      </c>
      <c r="W31" s="25">
        <v>156</v>
      </c>
      <c r="X31" s="26">
        <v>28.99</v>
      </c>
      <c r="Y31" s="26">
        <v>23.19</v>
      </c>
      <c r="Z31" s="8"/>
      <c r="AB31" s="25">
        <v>257</v>
      </c>
      <c r="AC31" s="18">
        <v>30</v>
      </c>
      <c r="AD31" s="29">
        <v>4.3</v>
      </c>
      <c r="AE31" s="30">
        <v>0.0125</v>
      </c>
      <c r="AF31" s="26">
        <v>6.53</v>
      </c>
      <c r="AG31" s="19">
        <v>0.5748</v>
      </c>
      <c r="AI31" s="1" t="s">
        <v>92</v>
      </c>
      <c r="AJ31" s="25">
        <v>222</v>
      </c>
      <c r="AK31" s="1" t="s">
        <v>71</v>
      </c>
      <c r="AL31" s="25">
        <v>10</v>
      </c>
      <c r="AM31" s="25">
        <v>1</v>
      </c>
      <c r="AN31" s="15" t="s">
        <v>93</v>
      </c>
      <c r="AO31" s="1" t="s">
        <v>71</v>
      </c>
      <c r="AP31" s="1" t="s">
        <v>73</v>
      </c>
      <c r="AQ31" s="15" t="s">
        <v>94</v>
      </c>
      <c r="AR31" s="1" t="s">
        <v>95</v>
      </c>
      <c r="AS31" s="1" t="s">
        <v>76</v>
      </c>
      <c r="AT31" s="1" t="s">
        <v>76</v>
      </c>
      <c r="AU31" s="1" t="s">
        <v>77</v>
      </c>
      <c r="AV31" s="1" t="s">
        <v>77</v>
      </c>
      <c r="AW31" s="1" t="s">
        <v>77</v>
      </c>
      <c r="AX31" s="1" t="s">
        <v>76</v>
      </c>
      <c r="AY31" s="1" t="s">
        <v>77</v>
      </c>
      <c r="AZ31" s="1" t="s">
        <v>76</v>
      </c>
      <c r="BA31" s="15" t="s">
        <v>76</v>
      </c>
      <c r="BC31" s="24" t="s">
        <v>96</v>
      </c>
      <c r="BD31" s="24" t="s">
        <v>97</v>
      </c>
      <c r="BE31" s="24" t="s">
        <v>98</v>
      </c>
      <c r="BF31" s="1" t="s">
        <v>99</v>
      </c>
    </row>
    <row r="32" ht="24" customHeight="1" spans="1:58">
      <c r="A32" s="1" t="str">
        <f>_xlfn.DISPIMG("ID_606F43EA06784BC694F3913A95315A37",1)</f>
        <v>=DISPIMG("ID_606F43EA06784BC694F3913A95315A37",1)</v>
      </c>
      <c r="B32" s="15" t="s">
        <v>470</v>
      </c>
      <c r="C32" s="15" t="s">
        <v>471</v>
      </c>
      <c r="D32" s="15" t="s">
        <v>472</v>
      </c>
      <c r="E32" s="15" t="s">
        <v>103</v>
      </c>
      <c r="F32" s="15" t="s">
        <v>104</v>
      </c>
      <c r="G32" s="15" t="s">
        <v>473</v>
      </c>
      <c r="H32" s="15" t="s">
        <v>474</v>
      </c>
      <c r="I32" s="15" t="s">
        <v>475</v>
      </c>
      <c r="J32" s="15" t="s">
        <v>476</v>
      </c>
      <c r="K32" s="15" t="s">
        <v>370</v>
      </c>
      <c r="L32" s="15" t="s">
        <v>66</v>
      </c>
      <c r="M32" s="18">
        <v>27397</v>
      </c>
      <c r="N32" s="18">
        <v>5482</v>
      </c>
      <c r="O32" s="19">
        <v>0.2145</v>
      </c>
      <c r="P32" s="20" t="s">
        <v>371</v>
      </c>
      <c r="Q32" s="23" t="s">
        <v>251</v>
      </c>
      <c r="R32" s="18">
        <v>1584</v>
      </c>
      <c r="S32" s="19">
        <v>-0.1527</v>
      </c>
      <c r="T32" s="18">
        <v>47504.16</v>
      </c>
      <c r="U32" s="24" t="s">
        <v>91</v>
      </c>
      <c r="V32" s="18">
        <v>1499.5</v>
      </c>
      <c r="W32" s="25">
        <v>88</v>
      </c>
      <c r="X32" s="26">
        <v>29.99</v>
      </c>
      <c r="Z32" s="24" t="s">
        <v>477</v>
      </c>
      <c r="AB32" s="25">
        <v>554</v>
      </c>
      <c r="AC32" s="18">
        <v>31</v>
      </c>
      <c r="AD32" s="29">
        <v>4</v>
      </c>
      <c r="AE32" s="30">
        <v>0.0196</v>
      </c>
      <c r="AF32" s="26">
        <v>6.92</v>
      </c>
      <c r="AG32" s="19">
        <v>0.5693</v>
      </c>
      <c r="AI32" s="1" t="s">
        <v>478</v>
      </c>
      <c r="AJ32" s="25">
        <v>378</v>
      </c>
      <c r="AK32" s="1" t="s">
        <v>71</v>
      </c>
      <c r="AL32" s="25">
        <v>10</v>
      </c>
      <c r="AM32" s="25">
        <v>1</v>
      </c>
      <c r="AN32" s="15" t="s">
        <v>103</v>
      </c>
      <c r="AO32" s="1" t="s">
        <v>71</v>
      </c>
      <c r="AP32" s="1" t="s">
        <v>73</v>
      </c>
      <c r="AQ32" s="15" t="s">
        <v>146</v>
      </c>
      <c r="AR32" s="1" t="s">
        <v>147</v>
      </c>
      <c r="AS32" s="1" t="s">
        <v>76</v>
      </c>
      <c r="AT32" s="1" t="s">
        <v>76</v>
      </c>
      <c r="AU32" s="1" t="s">
        <v>76</v>
      </c>
      <c r="AV32" s="1" t="s">
        <v>77</v>
      </c>
      <c r="AW32" s="1" t="s">
        <v>77</v>
      </c>
      <c r="AX32" s="1" t="s">
        <v>76</v>
      </c>
      <c r="AY32" s="1" t="s">
        <v>76</v>
      </c>
      <c r="AZ32" s="1" t="s">
        <v>76</v>
      </c>
      <c r="BA32" s="15" t="s">
        <v>76</v>
      </c>
      <c r="BC32" s="24" t="s">
        <v>479</v>
      </c>
      <c r="BD32" s="24" t="s">
        <v>480</v>
      </c>
      <c r="BE32" s="24" t="s">
        <v>481</v>
      </c>
      <c r="BF32" s="1" t="s">
        <v>482</v>
      </c>
    </row>
    <row r="33" ht="24" customHeight="1" spans="1:58">
      <c r="A33" s="1" t="str">
        <f>_xlfn.DISPIMG("ID_5E557F95E17F421996487A5A1CEF1724",1)</f>
        <v>=DISPIMG("ID_5E557F95E17F421996487A5A1CEF1724",1)</v>
      </c>
      <c r="B33" s="15" t="s">
        <v>483</v>
      </c>
      <c r="C33" s="15" t="s">
        <v>484</v>
      </c>
      <c r="D33" s="15" t="s">
        <v>283</v>
      </c>
      <c r="E33" s="15" t="s">
        <v>103</v>
      </c>
      <c r="F33" s="15" t="s">
        <v>104</v>
      </c>
      <c r="G33" s="15" t="s">
        <v>485</v>
      </c>
      <c r="H33" s="15" t="s">
        <v>486</v>
      </c>
      <c r="I33" s="15" t="s">
        <v>487</v>
      </c>
      <c r="J33" s="15" t="s">
        <v>488</v>
      </c>
      <c r="K33" s="15" t="s">
        <v>65</v>
      </c>
      <c r="L33" s="15" t="s">
        <v>66</v>
      </c>
      <c r="M33" s="18">
        <v>5334</v>
      </c>
      <c r="N33" s="18">
        <v>-635</v>
      </c>
      <c r="O33" s="19">
        <v>-0.1747</v>
      </c>
      <c r="P33" s="20" t="s">
        <v>67</v>
      </c>
      <c r="Q33" s="23" t="s">
        <v>489</v>
      </c>
      <c r="R33" s="18">
        <v>5087</v>
      </c>
      <c r="S33" s="19">
        <v>-0.2303</v>
      </c>
      <c r="T33" s="18">
        <v>152559.12</v>
      </c>
      <c r="U33" s="24" t="s">
        <v>91</v>
      </c>
      <c r="V33" s="18">
        <v>1499.5</v>
      </c>
      <c r="W33" s="25">
        <v>128</v>
      </c>
      <c r="X33" s="26">
        <v>29.99</v>
      </c>
      <c r="Z33" s="24" t="s">
        <v>274</v>
      </c>
      <c r="AB33" s="25">
        <v>1609</v>
      </c>
      <c r="AC33" s="18">
        <v>101</v>
      </c>
      <c r="AD33" s="29">
        <v>4.4</v>
      </c>
      <c r="AE33" s="30">
        <v>0.0199</v>
      </c>
      <c r="AF33" s="26">
        <v>3.65</v>
      </c>
      <c r="AG33" s="19">
        <v>0.6783</v>
      </c>
      <c r="AI33" s="1" t="s">
        <v>490</v>
      </c>
      <c r="AJ33" s="25">
        <v>416</v>
      </c>
      <c r="AK33" s="1" t="s">
        <v>71</v>
      </c>
      <c r="AL33" s="25">
        <v>10</v>
      </c>
      <c r="AM33" s="25">
        <v>1</v>
      </c>
      <c r="AN33" s="15" t="s">
        <v>103</v>
      </c>
      <c r="AO33" s="1" t="s">
        <v>71</v>
      </c>
      <c r="AP33" s="1" t="s">
        <v>73</v>
      </c>
      <c r="AQ33" s="15" t="s">
        <v>146</v>
      </c>
      <c r="AR33" s="1" t="s">
        <v>147</v>
      </c>
      <c r="AS33" s="1" t="s">
        <v>76</v>
      </c>
      <c r="AT33" s="1" t="s">
        <v>76</v>
      </c>
      <c r="AU33" s="1" t="s">
        <v>76</v>
      </c>
      <c r="AV33" s="1" t="s">
        <v>77</v>
      </c>
      <c r="AW33" s="1" t="s">
        <v>77</v>
      </c>
      <c r="AX33" s="1" t="s">
        <v>76</v>
      </c>
      <c r="AY33" s="1" t="s">
        <v>77</v>
      </c>
      <c r="AZ33" s="1" t="s">
        <v>76</v>
      </c>
      <c r="BA33" s="15" t="s">
        <v>76</v>
      </c>
      <c r="BC33" s="24" t="s">
        <v>290</v>
      </c>
      <c r="BD33" s="24" t="s">
        <v>291</v>
      </c>
      <c r="BE33" s="24" t="s">
        <v>292</v>
      </c>
      <c r="BF33" s="1" t="s">
        <v>293</v>
      </c>
    </row>
    <row r="34" ht="24" hidden="1" customHeight="1" spans="1:58">
      <c r="A34" s="1" t="str">
        <f>_xlfn.DISPIMG("ID_E0D4B6B78DFE48679E24C5CBD7ADCB7D",1)</f>
        <v>=DISPIMG("ID_E0D4B6B78DFE48679E24C5CBD7ADCB7D",1)</v>
      </c>
      <c r="B34" s="15" t="s">
        <v>491</v>
      </c>
      <c r="C34" s="15" t="s">
        <v>492</v>
      </c>
      <c r="D34" s="15" t="s">
        <v>155</v>
      </c>
      <c r="E34" s="15" t="s">
        <v>156</v>
      </c>
      <c r="F34" s="15" t="s">
        <v>157</v>
      </c>
      <c r="G34" s="15" t="s">
        <v>493</v>
      </c>
      <c r="H34" s="15" t="s">
        <v>494</v>
      </c>
      <c r="I34" s="15" t="s">
        <v>495</v>
      </c>
      <c r="J34" s="15" t="s">
        <v>496</v>
      </c>
      <c r="K34" s="15" t="s">
        <v>65</v>
      </c>
      <c r="L34" s="15" t="s">
        <v>66</v>
      </c>
      <c r="M34" s="18">
        <v>142351</v>
      </c>
      <c r="N34" s="18">
        <v>13904</v>
      </c>
      <c r="O34" s="19">
        <v>0.0621</v>
      </c>
      <c r="P34" s="20" t="s">
        <v>67</v>
      </c>
      <c r="Q34" s="23" t="s">
        <v>497</v>
      </c>
      <c r="R34" s="18">
        <v>149</v>
      </c>
      <c r="S34" s="19">
        <v>-0.6817</v>
      </c>
      <c r="T34" s="18">
        <v>1637.51</v>
      </c>
      <c r="U34" s="24" t="s">
        <v>76</v>
      </c>
      <c r="V34" s="18" t="s">
        <v>76</v>
      </c>
      <c r="W34" s="25">
        <v>84</v>
      </c>
      <c r="X34" s="26">
        <v>10.99</v>
      </c>
      <c r="Z34" s="8"/>
      <c r="AA34" s="18">
        <v>2</v>
      </c>
      <c r="AB34" s="25">
        <v>343</v>
      </c>
      <c r="AC34" s="18">
        <v>18</v>
      </c>
      <c r="AD34" s="29">
        <v>4.3</v>
      </c>
      <c r="AE34" s="30">
        <v>0.1208</v>
      </c>
      <c r="AF34" s="26">
        <v>5.39</v>
      </c>
      <c r="AG34" s="19">
        <v>0.4629</v>
      </c>
      <c r="AI34" s="1" t="s">
        <v>498</v>
      </c>
      <c r="AJ34" s="25">
        <v>407</v>
      </c>
      <c r="AK34" s="1" t="s">
        <v>71</v>
      </c>
      <c r="AL34" s="25">
        <v>9.9</v>
      </c>
      <c r="AM34" s="25">
        <v>1</v>
      </c>
      <c r="AN34" s="15" t="s">
        <v>165</v>
      </c>
      <c r="AO34" s="1" t="s">
        <v>71</v>
      </c>
      <c r="AP34" s="1" t="s">
        <v>73</v>
      </c>
      <c r="AQ34" s="15" t="s">
        <v>166</v>
      </c>
      <c r="AR34" s="1" t="s">
        <v>167</v>
      </c>
      <c r="AS34" s="1" t="s">
        <v>76</v>
      </c>
      <c r="AT34" s="1" t="s">
        <v>76</v>
      </c>
      <c r="AU34" s="1" t="s">
        <v>76</v>
      </c>
      <c r="AV34" s="1" t="s">
        <v>77</v>
      </c>
      <c r="AW34" s="1" t="s">
        <v>77</v>
      </c>
      <c r="AX34" s="1" t="s">
        <v>76</v>
      </c>
      <c r="AY34" s="1" t="s">
        <v>76</v>
      </c>
      <c r="AZ34" s="1" t="s">
        <v>76</v>
      </c>
      <c r="BA34" s="15" t="s">
        <v>77</v>
      </c>
      <c r="BC34" s="24" t="s">
        <v>499</v>
      </c>
      <c r="BD34" s="24" t="s">
        <v>500</v>
      </c>
      <c r="BE34" s="24" t="s">
        <v>501</v>
      </c>
      <c r="BF34" s="1" t="s">
        <v>502</v>
      </c>
    </row>
    <row r="35" ht="24" customHeight="1" spans="1:58">
      <c r="A35" s="1" t="str">
        <f>_xlfn.DISPIMG("ID_D4CA95E77E31474BAD15053D92263A3E",1)</f>
        <v>=DISPIMG("ID_D4CA95E77E31474BAD15053D92263A3E",1)</v>
      </c>
      <c r="B35" s="15" t="s">
        <v>503</v>
      </c>
      <c r="C35" s="15" t="s">
        <v>504</v>
      </c>
      <c r="D35" s="15" t="s">
        <v>505</v>
      </c>
      <c r="E35" s="15" t="s">
        <v>103</v>
      </c>
      <c r="F35" s="15" t="s">
        <v>104</v>
      </c>
      <c r="G35" s="15" t="s">
        <v>506</v>
      </c>
      <c r="H35" s="15" t="s">
        <v>507</v>
      </c>
      <c r="I35" s="15" t="s">
        <v>508</v>
      </c>
      <c r="J35" s="15" t="s">
        <v>509</v>
      </c>
      <c r="K35" s="15" t="s">
        <v>65</v>
      </c>
      <c r="L35" s="15" t="s">
        <v>66</v>
      </c>
      <c r="M35" s="18">
        <v>55372</v>
      </c>
      <c r="N35" s="18">
        <v>-23615</v>
      </c>
      <c r="O35" s="19">
        <v>-0.7057</v>
      </c>
      <c r="P35" s="20" t="s">
        <v>67</v>
      </c>
      <c r="Q35" s="23" t="s">
        <v>510</v>
      </c>
      <c r="R35" s="18">
        <v>751</v>
      </c>
      <c r="S35" s="19">
        <v>-0.2506</v>
      </c>
      <c r="T35" s="18">
        <v>19518.49</v>
      </c>
      <c r="U35" s="24" t="s">
        <v>91</v>
      </c>
      <c r="V35" s="18">
        <v>1299.5</v>
      </c>
      <c r="W35" s="25">
        <v>60</v>
      </c>
      <c r="X35" s="26">
        <v>25.99</v>
      </c>
      <c r="Z35" s="8"/>
      <c r="AB35" s="25">
        <v>138</v>
      </c>
      <c r="AC35" s="18">
        <v>7</v>
      </c>
      <c r="AD35" s="29">
        <v>4.6</v>
      </c>
      <c r="AE35" s="30">
        <v>0.0093</v>
      </c>
      <c r="AF35" s="26">
        <v>5.46</v>
      </c>
      <c r="AG35" s="19">
        <v>0.5899</v>
      </c>
      <c r="AI35" s="1" t="s">
        <v>511</v>
      </c>
      <c r="AJ35" s="25">
        <v>236</v>
      </c>
      <c r="AK35" s="1" t="s">
        <v>71</v>
      </c>
      <c r="AL35" s="25">
        <v>10</v>
      </c>
      <c r="AM35" s="25">
        <v>1</v>
      </c>
      <c r="AN35" s="15" t="s">
        <v>103</v>
      </c>
      <c r="AO35" s="1" t="s">
        <v>71</v>
      </c>
      <c r="AP35" s="1" t="s">
        <v>73</v>
      </c>
      <c r="AQ35" s="15" t="s">
        <v>146</v>
      </c>
      <c r="AR35" s="1" t="s">
        <v>147</v>
      </c>
      <c r="AS35" s="1" t="s">
        <v>76</v>
      </c>
      <c r="AT35" s="1" t="s">
        <v>76</v>
      </c>
      <c r="AU35" s="1" t="s">
        <v>76</v>
      </c>
      <c r="AV35" s="1" t="s">
        <v>77</v>
      </c>
      <c r="AW35" s="1" t="s">
        <v>77</v>
      </c>
      <c r="AX35" s="1" t="s">
        <v>76</v>
      </c>
      <c r="AY35" s="1" t="s">
        <v>77</v>
      </c>
      <c r="AZ35" s="1" t="s">
        <v>76</v>
      </c>
      <c r="BA35" s="15" t="s">
        <v>76</v>
      </c>
      <c r="BC35" s="24" t="s">
        <v>512</v>
      </c>
      <c r="BD35" s="24" t="s">
        <v>513</v>
      </c>
      <c r="BE35" s="24" t="s">
        <v>514</v>
      </c>
      <c r="BF35" s="1" t="s">
        <v>515</v>
      </c>
    </row>
    <row r="36" ht="24" customHeight="1" spans="1:58">
      <c r="A36" s="1" t="str">
        <f>_xlfn.DISPIMG("ID_0510B419E59A4145819CAAB257164ADD",1)</f>
        <v>=DISPIMG("ID_0510B419E59A4145819CAAB257164ADD",1)</v>
      </c>
      <c r="B36" s="15" t="s">
        <v>516</v>
      </c>
      <c r="C36" s="15" t="s">
        <v>517</v>
      </c>
      <c r="D36" s="15" t="s">
        <v>234</v>
      </c>
      <c r="E36" s="15" t="s">
        <v>103</v>
      </c>
      <c r="F36" s="15" t="s">
        <v>104</v>
      </c>
      <c r="G36" s="15" t="s">
        <v>235</v>
      </c>
      <c r="H36" s="15" t="s">
        <v>518</v>
      </c>
      <c r="I36" s="15" t="s">
        <v>519</v>
      </c>
      <c r="J36" s="15" t="s">
        <v>238</v>
      </c>
      <c r="K36" s="15" t="s">
        <v>65</v>
      </c>
      <c r="L36" s="15" t="s">
        <v>66</v>
      </c>
      <c r="M36" s="18">
        <v>8000</v>
      </c>
      <c r="N36" s="18">
        <v>333</v>
      </c>
      <c r="O36" s="19">
        <v>0.0486</v>
      </c>
      <c r="P36" s="20" t="s">
        <v>67</v>
      </c>
      <c r="Q36" s="23" t="s">
        <v>239</v>
      </c>
      <c r="R36" s="18">
        <v>3536</v>
      </c>
      <c r="S36" s="19">
        <v>-0.2782</v>
      </c>
      <c r="T36" s="18">
        <v>106044.64</v>
      </c>
      <c r="U36" s="24" t="s">
        <v>91</v>
      </c>
      <c r="V36" s="18">
        <v>1499.5</v>
      </c>
      <c r="W36" s="25">
        <v>190</v>
      </c>
      <c r="X36" s="26">
        <v>29.99</v>
      </c>
      <c r="Y36" s="26">
        <v>25.49</v>
      </c>
      <c r="Z36" s="8"/>
      <c r="AA36" s="18">
        <v>39</v>
      </c>
      <c r="AB36" s="25">
        <v>15676</v>
      </c>
      <c r="AC36" s="18">
        <v>52</v>
      </c>
      <c r="AD36" s="29">
        <v>4.2</v>
      </c>
      <c r="AE36" s="30">
        <v>0.0147</v>
      </c>
      <c r="AF36" s="26">
        <v>3.87</v>
      </c>
      <c r="AG36" s="19">
        <v>0.671</v>
      </c>
      <c r="AI36" s="1" t="s">
        <v>240</v>
      </c>
      <c r="AJ36" s="25">
        <v>294</v>
      </c>
      <c r="AK36" s="1" t="s">
        <v>71</v>
      </c>
      <c r="AL36" s="25">
        <v>10</v>
      </c>
      <c r="AM36" s="25">
        <v>1</v>
      </c>
      <c r="AN36" s="15" t="s">
        <v>103</v>
      </c>
      <c r="AO36" s="1" t="s">
        <v>71</v>
      </c>
      <c r="AP36" s="1" t="s">
        <v>73</v>
      </c>
      <c r="AQ36" s="15" t="s">
        <v>146</v>
      </c>
      <c r="AR36" s="1" t="s">
        <v>147</v>
      </c>
      <c r="AS36" s="1" t="s">
        <v>77</v>
      </c>
      <c r="AT36" s="1" t="s">
        <v>76</v>
      </c>
      <c r="AU36" s="1" t="s">
        <v>76</v>
      </c>
      <c r="AV36" s="1" t="s">
        <v>77</v>
      </c>
      <c r="AW36" s="1" t="s">
        <v>77</v>
      </c>
      <c r="AX36" s="1" t="s">
        <v>76</v>
      </c>
      <c r="AY36" s="1" t="s">
        <v>77</v>
      </c>
      <c r="AZ36" s="1" t="s">
        <v>76</v>
      </c>
      <c r="BA36" s="15" t="s">
        <v>76</v>
      </c>
      <c r="BC36" s="24" t="s">
        <v>96</v>
      </c>
      <c r="BD36" s="24" t="s">
        <v>97</v>
      </c>
      <c r="BE36" s="24" t="s">
        <v>520</v>
      </c>
      <c r="BF36" s="1" t="s">
        <v>521</v>
      </c>
    </row>
    <row r="37" ht="24" customHeight="1" spans="1:58">
      <c r="A37" s="1" t="str">
        <f>_xlfn.DISPIMG("ID_8007A548591F4EE7863BF55FD7346300",1)</f>
        <v>=DISPIMG("ID_8007A548591F4EE7863BF55FD7346300",1)</v>
      </c>
      <c r="B37" s="15" t="s">
        <v>522</v>
      </c>
      <c r="C37" s="15" t="s">
        <v>154</v>
      </c>
      <c r="D37" s="15" t="s">
        <v>523</v>
      </c>
      <c r="E37" s="15" t="s">
        <v>103</v>
      </c>
      <c r="F37" s="15" t="s">
        <v>104</v>
      </c>
      <c r="G37" s="15" t="s">
        <v>524</v>
      </c>
      <c r="H37" s="15" t="s">
        <v>525</v>
      </c>
      <c r="I37" s="15" t="s">
        <v>526</v>
      </c>
      <c r="J37" s="15" t="s">
        <v>527</v>
      </c>
      <c r="K37" s="15" t="s">
        <v>65</v>
      </c>
      <c r="L37" s="15" t="s">
        <v>66</v>
      </c>
      <c r="M37" s="18">
        <v>96502</v>
      </c>
      <c r="N37" s="18">
        <v>-2745</v>
      </c>
      <c r="O37" s="19">
        <v>-0.0278</v>
      </c>
      <c r="P37" s="20" t="s">
        <v>67</v>
      </c>
      <c r="Q37" s="23" t="s">
        <v>528</v>
      </c>
      <c r="R37" s="18">
        <v>401</v>
      </c>
      <c r="S37" s="19">
        <v>-0.3064</v>
      </c>
      <c r="T37" s="18">
        <v>3167.9001</v>
      </c>
      <c r="U37" s="24" t="s">
        <v>91</v>
      </c>
      <c r="V37" s="18">
        <v>395</v>
      </c>
      <c r="W37" s="25">
        <v>10</v>
      </c>
      <c r="X37" s="26">
        <v>7.9</v>
      </c>
      <c r="Z37" s="8"/>
      <c r="AA37" s="18">
        <v>18</v>
      </c>
      <c r="AB37" s="25">
        <v>474</v>
      </c>
      <c r="AC37" s="18">
        <v>16</v>
      </c>
      <c r="AD37" s="29">
        <v>4</v>
      </c>
      <c r="AE37" s="30">
        <v>0.0399</v>
      </c>
      <c r="AF37" s="26">
        <v>5.42</v>
      </c>
      <c r="AG37" s="19">
        <v>0.1139</v>
      </c>
      <c r="AI37" s="1" t="s">
        <v>529</v>
      </c>
      <c r="AJ37" s="25">
        <v>672</v>
      </c>
      <c r="AK37" s="1" t="s">
        <v>71</v>
      </c>
      <c r="AL37" s="25">
        <v>10</v>
      </c>
      <c r="AM37" s="25">
        <v>1</v>
      </c>
      <c r="AN37" s="15" t="s">
        <v>103</v>
      </c>
      <c r="AO37" s="1" t="s">
        <v>71</v>
      </c>
      <c r="AP37" s="1" t="s">
        <v>73</v>
      </c>
      <c r="AQ37" s="15" t="s">
        <v>146</v>
      </c>
      <c r="AR37" s="1" t="s">
        <v>147</v>
      </c>
      <c r="AS37" s="1" t="s">
        <v>76</v>
      </c>
      <c r="AT37" s="1" t="s">
        <v>76</v>
      </c>
      <c r="AU37" s="1" t="s">
        <v>77</v>
      </c>
      <c r="AV37" s="1" t="s">
        <v>77</v>
      </c>
      <c r="AW37" s="1" t="s">
        <v>77</v>
      </c>
      <c r="AX37" s="1" t="s">
        <v>76</v>
      </c>
      <c r="AY37" s="1" t="s">
        <v>77</v>
      </c>
      <c r="AZ37" s="1" t="s">
        <v>76</v>
      </c>
      <c r="BA37" s="15" t="s">
        <v>76</v>
      </c>
      <c r="BC37" s="24" t="s">
        <v>530</v>
      </c>
      <c r="BD37" s="24" t="s">
        <v>531</v>
      </c>
      <c r="BE37" s="24" t="s">
        <v>532</v>
      </c>
      <c r="BF37" s="1" t="s">
        <v>533</v>
      </c>
    </row>
    <row r="38" ht="24" customHeight="1" spans="1:58">
      <c r="A38" s="1" t="str">
        <f>_xlfn.DISPIMG("ID_138AE24AF0134184BB07A1B889C622E0",1)</f>
        <v>=DISPIMG("ID_138AE24AF0134184BB07A1B889C622E0",1)</v>
      </c>
      <c r="B38" s="15" t="s">
        <v>534</v>
      </c>
      <c r="C38" s="15" t="s">
        <v>535</v>
      </c>
      <c r="D38" s="15" t="s">
        <v>536</v>
      </c>
      <c r="E38" s="15" t="s">
        <v>103</v>
      </c>
      <c r="F38" s="15" t="s">
        <v>104</v>
      </c>
      <c r="G38" s="15" t="s">
        <v>537</v>
      </c>
      <c r="H38" s="15" t="s">
        <v>538</v>
      </c>
      <c r="I38" s="15" t="s">
        <v>539</v>
      </c>
      <c r="J38" s="15" t="s">
        <v>540</v>
      </c>
      <c r="K38" s="15" t="s">
        <v>65</v>
      </c>
      <c r="L38" s="15" t="s">
        <v>66</v>
      </c>
      <c r="M38" s="18">
        <v>22360</v>
      </c>
      <c r="N38" s="18">
        <v>-4684</v>
      </c>
      <c r="O38" s="19">
        <v>-0.265</v>
      </c>
      <c r="P38" s="20" t="s">
        <v>67</v>
      </c>
      <c r="Q38" s="23" t="s">
        <v>541</v>
      </c>
      <c r="R38" s="18">
        <v>1166</v>
      </c>
      <c r="S38" s="19">
        <v>0.4645</v>
      </c>
      <c r="T38" s="18">
        <v>20976.34</v>
      </c>
      <c r="U38" s="24" t="s">
        <v>76</v>
      </c>
      <c r="V38" s="18" t="s">
        <v>76</v>
      </c>
      <c r="W38" s="25">
        <v>65</v>
      </c>
      <c r="X38" s="26">
        <v>17.99</v>
      </c>
      <c r="Z38" s="8"/>
      <c r="AA38" s="18">
        <v>15</v>
      </c>
      <c r="AB38" s="25">
        <v>282</v>
      </c>
      <c r="AC38" s="18">
        <v>10</v>
      </c>
      <c r="AD38" s="29">
        <v>4.4</v>
      </c>
      <c r="AE38" s="30">
        <v>0.0086</v>
      </c>
      <c r="AF38" s="26">
        <v>3.99</v>
      </c>
      <c r="AG38" s="19">
        <v>0.5782</v>
      </c>
      <c r="AI38" s="1" t="s">
        <v>542</v>
      </c>
      <c r="AJ38" s="25">
        <v>490</v>
      </c>
      <c r="AK38" s="1" t="s">
        <v>71</v>
      </c>
      <c r="AL38" s="25">
        <v>10</v>
      </c>
      <c r="AM38" s="25">
        <v>1</v>
      </c>
      <c r="AN38" s="15" t="s">
        <v>111</v>
      </c>
      <c r="AO38" s="1" t="s">
        <v>71</v>
      </c>
      <c r="AP38" s="1" t="s">
        <v>112</v>
      </c>
      <c r="AQ38" s="15" t="s">
        <v>113</v>
      </c>
      <c r="AR38" s="1" t="s">
        <v>114</v>
      </c>
      <c r="AS38" s="1" t="s">
        <v>76</v>
      </c>
      <c r="AT38" s="1" t="s">
        <v>76</v>
      </c>
      <c r="AU38" s="1" t="s">
        <v>76</v>
      </c>
      <c r="AV38" s="1" t="s">
        <v>77</v>
      </c>
      <c r="AW38" s="1" t="s">
        <v>77</v>
      </c>
      <c r="AX38" s="1" t="s">
        <v>76</v>
      </c>
      <c r="AY38" s="1" t="s">
        <v>77</v>
      </c>
      <c r="AZ38" s="1" t="s">
        <v>76</v>
      </c>
      <c r="BA38" s="15" t="s">
        <v>76</v>
      </c>
      <c r="BC38" s="24" t="s">
        <v>399</v>
      </c>
      <c r="BD38" s="24" t="s">
        <v>400</v>
      </c>
      <c r="BE38" s="24" t="s">
        <v>543</v>
      </c>
      <c r="BF38" s="1" t="s">
        <v>544</v>
      </c>
    </row>
    <row r="39" ht="24" customHeight="1" spans="1:58">
      <c r="A39" s="1" t="str">
        <f>_xlfn.DISPIMG("ID_2F2C2BFA7521495995953A46A7218B2A",1)</f>
        <v>=DISPIMG("ID_2F2C2BFA7521495995953A46A7218B2A",1)</v>
      </c>
      <c r="B39" s="15" t="s">
        <v>545</v>
      </c>
      <c r="C39" s="15" t="s">
        <v>546</v>
      </c>
      <c r="D39" s="15" t="s">
        <v>547</v>
      </c>
      <c r="E39" s="15" t="s">
        <v>103</v>
      </c>
      <c r="F39" s="15" t="s">
        <v>104</v>
      </c>
      <c r="G39" s="15" t="s">
        <v>548</v>
      </c>
      <c r="H39" s="15" t="s">
        <v>549</v>
      </c>
      <c r="I39" s="15" t="s">
        <v>550</v>
      </c>
      <c r="J39" s="15" t="s">
        <v>551</v>
      </c>
      <c r="K39" s="15" t="s">
        <v>65</v>
      </c>
      <c r="L39" s="15" t="s">
        <v>66</v>
      </c>
      <c r="M39" s="18">
        <v>38541</v>
      </c>
      <c r="N39" s="18">
        <v>-314</v>
      </c>
      <c r="O39" s="19">
        <v>-0.0101</v>
      </c>
      <c r="P39" s="20" t="s">
        <v>67</v>
      </c>
      <c r="Q39" s="23" t="s">
        <v>552</v>
      </c>
      <c r="R39" s="18">
        <v>955</v>
      </c>
      <c r="S39" s="19">
        <v>-0.2247</v>
      </c>
      <c r="T39" s="18">
        <v>28640.45</v>
      </c>
      <c r="U39" s="24" t="s">
        <v>91</v>
      </c>
      <c r="V39" s="18">
        <v>1499.5</v>
      </c>
      <c r="W39" s="25">
        <v>99</v>
      </c>
      <c r="X39" s="26">
        <v>29.99</v>
      </c>
      <c r="Z39" s="24" t="s">
        <v>214</v>
      </c>
      <c r="AA39" s="18">
        <v>28</v>
      </c>
      <c r="AB39" s="25">
        <v>5378</v>
      </c>
      <c r="AC39" s="18">
        <v>20</v>
      </c>
      <c r="AD39" s="29">
        <v>4.1</v>
      </c>
      <c r="AE39" s="30">
        <v>0.0209</v>
      </c>
      <c r="AF39" s="26">
        <v>5.39</v>
      </c>
      <c r="AG39" s="19">
        <v>0.6203</v>
      </c>
      <c r="AI39" s="1" t="s">
        <v>553</v>
      </c>
      <c r="AJ39" s="25">
        <v>1660</v>
      </c>
      <c r="AK39" s="1" t="s">
        <v>71</v>
      </c>
      <c r="AL39" s="25">
        <v>10</v>
      </c>
      <c r="AM39" s="25">
        <v>1</v>
      </c>
      <c r="AN39" s="15" t="s">
        <v>554</v>
      </c>
      <c r="AO39" s="1" t="s">
        <v>71</v>
      </c>
      <c r="AP39" s="1" t="s">
        <v>73</v>
      </c>
      <c r="AQ39" s="15" t="s">
        <v>555</v>
      </c>
      <c r="AR39" s="1" t="s">
        <v>556</v>
      </c>
      <c r="AS39" s="1" t="s">
        <v>77</v>
      </c>
      <c r="AT39" s="1" t="s">
        <v>77</v>
      </c>
      <c r="AU39" s="1" t="s">
        <v>76</v>
      </c>
      <c r="AV39" s="1" t="s">
        <v>77</v>
      </c>
      <c r="AW39" s="1" t="s">
        <v>77</v>
      </c>
      <c r="AX39" s="1" t="s">
        <v>76</v>
      </c>
      <c r="AY39" s="1" t="s">
        <v>77</v>
      </c>
      <c r="AZ39" s="1" t="s">
        <v>76</v>
      </c>
      <c r="BA39" s="15" t="s">
        <v>76</v>
      </c>
      <c r="BB39" s="24" t="s">
        <v>76</v>
      </c>
      <c r="BC39" s="24" t="s">
        <v>128</v>
      </c>
      <c r="BD39" s="24" t="s">
        <v>129</v>
      </c>
      <c r="BE39" s="24" t="s">
        <v>557</v>
      </c>
      <c r="BF39" s="1" t="s">
        <v>558</v>
      </c>
    </row>
    <row r="40" ht="24" hidden="1" customHeight="1" spans="1:58">
      <c r="A40" s="1" t="str">
        <f>_xlfn.DISPIMG("ID_428891A84A7C4ED3B16FD5AD07925DC8",1)</f>
        <v>=DISPIMG("ID_428891A84A7C4ED3B16FD5AD07925DC8",1)</v>
      </c>
      <c r="B40" s="15" t="s">
        <v>559</v>
      </c>
      <c r="C40" s="15" t="s">
        <v>560</v>
      </c>
      <c r="D40" s="15" t="s">
        <v>561</v>
      </c>
      <c r="E40" s="15" t="s">
        <v>423</v>
      </c>
      <c r="F40" s="15" t="s">
        <v>424</v>
      </c>
      <c r="G40" s="15" t="s">
        <v>562</v>
      </c>
      <c r="H40" s="15" t="s">
        <v>563</v>
      </c>
      <c r="I40" s="15" t="s">
        <v>564</v>
      </c>
      <c r="J40" s="15" t="s">
        <v>565</v>
      </c>
      <c r="K40" s="15" t="s">
        <v>370</v>
      </c>
      <c r="L40" s="15" t="s">
        <v>66</v>
      </c>
      <c r="M40" s="18">
        <v>256839</v>
      </c>
      <c r="N40" s="18">
        <v>90050</v>
      </c>
      <c r="O40" s="19">
        <v>0.1523</v>
      </c>
      <c r="P40" s="20" t="s">
        <v>371</v>
      </c>
      <c r="Q40" s="23" t="s">
        <v>566</v>
      </c>
      <c r="R40" s="18">
        <v>34</v>
      </c>
      <c r="S40" s="19">
        <v>-0.425</v>
      </c>
      <c r="T40" s="18">
        <v>356.66</v>
      </c>
      <c r="U40" s="24" t="s">
        <v>76</v>
      </c>
      <c r="V40" s="18" t="s">
        <v>76</v>
      </c>
      <c r="W40" s="25">
        <v>41</v>
      </c>
      <c r="X40" s="26">
        <v>10.49</v>
      </c>
      <c r="Z40" s="8"/>
      <c r="AB40" s="25">
        <v>37</v>
      </c>
      <c r="AC40" s="18">
        <v>1</v>
      </c>
      <c r="AD40" s="29">
        <v>3.8</v>
      </c>
      <c r="AE40" s="30">
        <v>0.0294</v>
      </c>
      <c r="AG40" s="19">
        <v>0</v>
      </c>
      <c r="AI40" s="1" t="s">
        <v>567</v>
      </c>
      <c r="AJ40" s="25">
        <v>289</v>
      </c>
      <c r="AK40" s="1" t="s">
        <v>71</v>
      </c>
      <c r="AL40" s="25" t="s">
        <v>76</v>
      </c>
      <c r="AM40" s="25">
        <v>1</v>
      </c>
      <c r="AN40" s="15" t="s">
        <v>423</v>
      </c>
      <c r="AO40" s="1" t="s">
        <v>71</v>
      </c>
      <c r="AP40" s="1" t="s">
        <v>73</v>
      </c>
      <c r="AQ40" s="15" t="s">
        <v>430</v>
      </c>
      <c r="AR40" s="1" t="s">
        <v>431</v>
      </c>
      <c r="AS40" s="1" t="s">
        <v>76</v>
      </c>
      <c r="AT40" s="1" t="s">
        <v>76</v>
      </c>
      <c r="AU40" s="1" t="s">
        <v>76</v>
      </c>
      <c r="AV40" s="1" t="s">
        <v>77</v>
      </c>
      <c r="AW40" s="1" t="s">
        <v>77</v>
      </c>
      <c r="AX40" s="1" t="s">
        <v>76</v>
      </c>
      <c r="AY40" s="1" t="s">
        <v>77</v>
      </c>
      <c r="AZ40" s="1" t="s">
        <v>76</v>
      </c>
      <c r="BA40" s="15" t="s">
        <v>76</v>
      </c>
      <c r="BD40" s="24" t="s">
        <v>76</v>
      </c>
      <c r="BF40" s="1" t="s">
        <v>76</v>
      </c>
    </row>
    <row r="41" ht="24" customHeight="1" spans="1:58">
      <c r="A41" s="1" t="str">
        <f>_xlfn.DISPIMG("ID_BFE4DC057F2A431AABEF13713B7B54B8",1)</f>
        <v>=DISPIMG("ID_BFE4DC057F2A431AABEF13713B7B54B8",1)</v>
      </c>
      <c r="B41" s="15" t="s">
        <v>568</v>
      </c>
      <c r="C41" s="15" t="s">
        <v>569</v>
      </c>
      <c r="D41" s="15" t="s">
        <v>570</v>
      </c>
      <c r="E41" s="15" t="s">
        <v>103</v>
      </c>
      <c r="F41" s="15" t="s">
        <v>104</v>
      </c>
      <c r="G41" s="15" t="s">
        <v>571</v>
      </c>
      <c r="H41" s="15" t="s">
        <v>572</v>
      </c>
      <c r="I41" s="15" t="s">
        <v>573</v>
      </c>
      <c r="J41" s="15" t="s">
        <v>574</v>
      </c>
      <c r="K41" s="15" t="s">
        <v>65</v>
      </c>
      <c r="L41" s="15" t="s">
        <v>66</v>
      </c>
      <c r="M41" s="18">
        <v>21460</v>
      </c>
      <c r="N41" s="18">
        <v>-27</v>
      </c>
      <c r="O41" s="19">
        <v>-0.0015</v>
      </c>
      <c r="P41" s="20" t="s">
        <v>67</v>
      </c>
      <c r="Q41" s="23" t="s">
        <v>575</v>
      </c>
      <c r="R41" s="18">
        <v>1453</v>
      </c>
      <c r="S41" s="19">
        <v>-0.3809</v>
      </c>
      <c r="T41" s="18">
        <v>43575.47</v>
      </c>
      <c r="U41" s="24" t="s">
        <v>91</v>
      </c>
      <c r="V41" s="18">
        <v>1499.5</v>
      </c>
      <c r="W41" s="25">
        <v>59</v>
      </c>
      <c r="X41" s="26">
        <v>29.99</v>
      </c>
      <c r="Z41" s="8"/>
      <c r="AB41" s="25">
        <v>490</v>
      </c>
      <c r="AC41" s="18">
        <v>31</v>
      </c>
      <c r="AD41" s="29">
        <v>4.4</v>
      </c>
      <c r="AE41" s="30">
        <v>0.0213</v>
      </c>
      <c r="AF41" s="26">
        <v>5.46</v>
      </c>
      <c r="AG41" s="19">
        <v>0.6179</v>
      </c>
      <c r="AI41" s="1" t="s">
        <v>576</v>
      </c>
      <c r="AJ41" s="25">
        <v>354</v>
      </c>
      <c r="AK41" s="1" t="s">
        <v>71</v>
      </c>
      <c r="AL41" s="25">
        <v>9.8</v>
      </c>
      <c r="AM41" s="25">
        <v>1</v>
      </c>
      <c r="AN41" s="15" t="s">
        <v>103</v>
      </c>
      <c r="AO41" s="1" t="s">
        <v>71</v>
      </c>
      <c r="AP41" s="1" t="s">
        <v>73</v>
      </c>
      <c r="AQ41" s="15" t="s">
        <v>146</v>
      </c>
      <c r="AR41" s="1" t="s">
        <v>147</v>
      </c>
      <c r="AS41" s="1" t="s">
        <v>76</v>
      </c>
      <c r="AT41" s="1" t="s">
        <v>77</v>
      </c>
      <c r="AU41" s="1" t="s">
        <v>76</v>
      </c>
      <c r="AV41" s="1" t="s">
        <v>77</v>
      </c>
      <c r="AW41" s="1" t="s">
        <v>77</v>
      </c>
      <c r="AX41" s="1" t="s">
        <v>76</v>
      </c>
      <c r="AY41" s="1" t="s">
        <v>76</v>
      </c>
      <c r="AZ41" s="1" t="s">
        <v>76</v>
      </c>
      <c r="BA41" s="15" t="s">
        <v>76</v>
      </c>
      <c r="BB41" s="24" t="s">
        <v>76</v>
      </c>
      <c r="BC41" s="24" t="s">
        <v>116</v>
      </c>
      <c r="BD41" s="24" t="s">
        <v>117</v>
      </c>
      <c r="BE41" s="24" t="s">
        <v>577</v>
      </c>
      <c r="BF41" s="1" t="s">
        <v>578</v>
      </c>
    </row>
    <row r="42" ht="24" hidden="1" customHeight="1" spans="1:58">
      <c r="A42" s="1" t="str">
        <f>_xlfn.DISPIMG("ID_3AFDD3D9339B4962B3DF3581C639C481",1)</f>
        <v>=DISPIMG("ID_3AFDD3D9339B4962B3DF3581C639C481",1)</v>
      </c>
      <c r="B42" s="15" t="s">
        <v>579</v>
      </c>
      <c r="C42" s="15" t="s">
        <v>580</v>
      </c>
      <c r="D42" s="15" t="s">
        <v>581</v>
      </c>
      <c r="E42" s="15" t="s">
        <v>156</v>
      </c>
      <c r="F42" s="15" t="s">
        <v>157</v>
      </c>
      <c r="G42" s="15" t="s">
        <v>582</v>
      </c>
      <c r="H42" s="15" t="s">
        <v>583</v>
      </c>
      <c r="I42" s="15" t="s">
        <v>584</v>
      </c>
      <c r="J42" s="15" t="s">
        <v>585</v>
      </c>
      <c r="K42" s="15" t="s">
        <v>65</v>
      </c>
      <c r="L42" s="15" t="s">
        <v>66</v>
      </c>
      <c r="M42" s="18">
        <v>10739</v>
      </c>
      <c r="N42" s="18">
        <v>2557</v>
      </c>
      <c r="O42" s="19">
        <v>0.1564</v>
      </c>
      <c r="P42" s="20" t="s">
        <v>67</v>
      </c>
      <c r="Q42" s="23" t="s">
        <v>586</v>
      </c>
      <c r="R42" s="18">
        <v>1829</v>
      </c>
      <c r="S42" s="19">
        <v>-0.1814</v>
      </c>
      <c r="T42" s="18">
        <v>36543.418</v>
      </c>
      <c r="U42" s="24" t="s">
        <v>76</v>
      </c>
      <c r="V42" s="18" t="s">
        <v>76</v>
      </c>
      <c r="W42" s="25">
        <v>105</v>
      </c>
      <c r="X42" s="26">
        <v>19.98</v>
      </c>
      <c r="Z42" s="24" t="s">
        <v>274</v>
      </c>
      <c r="AA42" s="18">
        <v>50</v>
      </c>
      <c r="AB42" s="25">
        <v>12987</v>
      </c>
      <c r="AC42" s="18">
        <v>23</v>
      </c>
      <c r="AD42" s="29">
        <v>4.3</v>
      </c>
      <c r="AE42" s="30">
        <v>0.0126</v>
      </c>
      <c r="AF42" s="26">
        <v>5.32</v>
      </c>
      <c r="AG42" s="19">
        <v>0.5952</v>
      </c>
      <c r="AI42" s="1" t="s">
        <v>587</v>
      </c>
      <c r="AJ42" s="25">
        <v>1701</v>
      </c>
      <c r="AK42" s="1" t="s">
        <v>71</v>
      </c>
      <c r="AL42" s="25">
        <v>8.5</v>
      </c>
      <c r="AM42" s="25">
        <v>1</v>
      </c>
      <c r="AN42" s="15" t="s">
        <v>156</v>
      </c>
      <c r="AO42" s="1" t="s">
        <v>71</v>
      </c>
      <c r="AP42" s="1" t="s">
        <v>73</v>
      </c>
      <c r="AQ42" s="15" t="s">
        <v>588</v>
      </c>
      <c r="AR42" s="1" t="s">
        <v>589</v>
      </c>
      <c r="AS42" s="1" t="s">
        <v>76</v>
      </c>
      <c r="AT42" s="1" t="s">
        <v>77</v>
      </c>
      <c r="AU42" s="1" t="s">
        <v>76</v>
      </c>
      <c r="AV42" s="1" t="s">
        <v>77</v>
      </c>
      <c r="AW42" s="1" t="s">
        <v>77</v>
      </c>
      <c r="AX42" s="1" t="s">
        <v>76</v>
      </c>
      <c r="AY42" s="1" t="s">
        <v>77</v>
      </c>
      <c r="AZ42" s="1" t="s">
        <v>76</v>
      </c>
      <c r="BA42" s="15" t="s">
        <v>77</v>
      </c>
      <c r="BB42" s="24" t="s">
        <v>590</v>
      </c>
      <c r="BC42" s="24" t="s">
        <v>591</v>
      </c>
      <c r="BD42" s="24" t="s">
        <v>592</v>
      </c>
      <c r="BE42" s="24" t="s">
        <v>593</v>
      </c>
      <c r="BF42" s="1" t="s">
        <v>594</v>
      </c>
    </row>
    <row r="43" ht="24" hidden="1" customHeight="1" spans="1:58">
      <c r="A43" s="1" t="str">
        <f>_xlfn.DISPIMG("ID_055E4592ACBA49E4883FDF3F3E914A4D",1)</f>
        <v>=DISPIMG("ID_055E4592ACBA49E4883FDF3F3E914A4D",1)</v>
      </c>
      <c r="B43" s="15" t="s">
        <v>595</v>
      </c>
      <c r="C43" s="15" t="s">
        <v>596</v>
      </c>
      <c r="D43" s="15" t="s">
        <v>597</v>
      </c>
      <c r="E43" s="15" t="s">
        <v>598</v>
      </c>
      <c r="F43" s="15" t="s">
        <v>599</v>
      </c>
      <c r="G43" s="15" t="s">
        <v>600</v>
      </c>
      <c r="H43" s="15" t="s">
        <v>601</v>
      </c>
      <c r="I43" s="15" t="s">
        <v>602</v>
      </c>
      <c r="J43" s="15" t="s">
        <v>603</v>
      </c>
      <c r="K43" s="15" t="s">
        <v>370</v>
      </c>
      <c r="L43" s="15" t="s">
        <v>66</v>
      </c>
      <c r="M43" s="18">
        <v>780</v>
      </c>
      <c r="N43" s="18">
        <v>4316</v>
      </c>
      <c r="O43" s="19">
        <v>0.8468</v>
      </c>
      <c r="P43" s="20" t="s">
        <v>371</v>
      </c>
      <c r="Q43" s="23" t="s">
        <v>604</v>
      </c>
      <c r="R43" s="18">
        <v>6972</v>
      </c>
      <c r="S43" s="19">
        <v>0.8937</v>
      </c>
      <c r="T43" s="18">
        <v>136930.08</v>
      </c>
      <c r="U43" s="24" t="s">
        <v>69</v>
      </c>
      <c r="V43" s="18">
        <v>1964</v>
      </c>
      <c r="W43" s="25">
        <v>104</v>
      </c>
      <c r="X43" s="26">
        <v>19.64</v>
      </c>
      <c r="Z43" s="8"/>
      <c r="AA43" s="18">
        <v>30</v>
      </c>
      <c r="AB43" s="25">
        <v>9236</v>
      </c>
      <c r="AC43" s="18">
        <v>17</v>
      </c>
      <c r="AD43" s="29">
        <v>4.5</v>
      </c>
      <c r="AE43" s="30">
        <v>0.0024</v>
      </c>
      <c r="AF43" s="26">
        <v>5.05</v>
      </c>
      <c r="AG43" s="19">
        <v>0.5474</v>
      </c>
      <c r="AI43" s="1" t="s">
        <v>605</v>
      </c>
      <c r="AJ43" s="25">
        <v>181</v>
      </c>
      <c r="AK43" s="1" t="s">
        <v>606</v>
      </c>
      <c r="AL43" s="25">
        <v>8.8</v>
      </c>
      <c r="AM43" s="25">
        <v>1</v>
      </c>
      <c r="AN43" s="15" t="s">
        <v>607</v>
      </c>
      <c r="AO43" s="1" t="s">
        <v>606</v>
      </c>
      <c r="AP43" s="1" t="s">
        <v>76</v>
      </c>
      <c r="AQ43" s="15" t="s">
        <v>76</v>
      </c>
      <c r="AR43" s="1" t="s">
        <v>76</v>
      </c>
      <c r="AS43" s="1" t="s">
        <v>76</v>
      </c>
      <c r="AT43" s="1" t="s">
        <v>77</v>
      </c>
      <c r="AU43" s="1" t="s">
        <v>76</v>
      </c>
      <c r="AV43" s="1" t="s">
        <v>77</v>
      </c>
      <c r="AW43" s="1" t="s">
        <v>76</v>
      </c>
      <c r="AX43" s="1" t="s">
        <v>76</v>
      </c>
      <c r="AY43" s="1" t="s">
        <v>77</v>
      </c>
      <c r="AZ43" s="1" t="s">
        <v>76</v>
      </c>
      <c r="BA43" s="15" t="s">
        <v>77</v>
      </c>
      <c r="BB43" s="24" t="s">
        <v>76</v>
      </c>
      <c r="BC43" s="24" t="s">
        <v>463</v>
      </c>
      <c r="BD43" s="24" t="s">
        <v>464</v>
      </c>
      <c r="BE43" s="24" t="s">
        <v>608</v>
      </c>
      <c r="BF43" s="1" t="s">
        <v>609</v>
      </c>
    </row>
    <row r="44" ht="24" hidden="1" customHeight="1" spans="1:58">
      <c r="A44" s="1" t="str">
        <f>_xlfn.DISPIMG("ID_0BDB5A5E39AC4497BC96E3700D004823",1)</f>
        <v>=DISPIMG("ID_0BDB5A5E39AC4497BC96E3700D004823",1)</v>
      </c>
      <c r="B44" s="15" t="s">
        <v>610</v>
      </c>
      <c r="C44" s="15" t="s">
        <v>611</v>
      </c>
      <c r="D44" s="15" t="s">
        <v>612</v>
      </c>
      <c r="E44" s="15" t="s">
        <v>613</v>
      </c>
      <c r="F44" s="15" t="s">
        <v>614</v>
      </c>
      <c r="G44" s="15" t="s">
        <v>615</v>
      </c>
      <c r="H44" s="15" t="s">
        <v>616</v>
      </c>
      <c r="I44" s="15" t="s">
        <v>617</v>
      </c>
      <c r="J44" s="15" t="s">
        <v>618</v>
      </c>
      <c r="K44" s="15" t="s">
        <v>65</v>
      </c>
      <c r="L44" s="15" t="s">
        <v>66</v>
      </c>
      <c r="M44" s="18">
        <v>80393</v>
      </c>
      <c r="N44" s="18">
        <v>-15883</v>
      </c>
      <c r="O44" s="19">
        <v>-0.2543</v>
      </c>
      <c r="P44" s="20" t="s">
        <v>67</v>
      </c>
      <c r="Q44" s="23" t="s">
        <v>619</v>
      </c>
      <c r="R44" s="18">
        <v>472</v>
      </c>
      <c r="S44" s="19">
        <v>-0.3283</v>
      </c>
      <c r="T44" s="18">
        <v>8491.28</v>
      </c>
      <c r="U44" s="24" t="s">
        <v>76</v>
      </c>
      <c r="V44" s="18" t="s">
        <v>76</v>
      </c>
      <c r="W44" s="25">
        <v>107</v>
      </c>
      <c r="X44" s="26">
        <v>17.99</v>
      </c>
      <c r="Z44" s="8"/>
      <c r="AB44" s="25">
        <v>229</v>
      </c>
      <c r="AC44" s="18">
        <v>14</v>
      </c>
      <c r="AD44" s="29">
        <v>4.3</v>
      </c>
      <c r="AE44" s="30">
        <v>0.0297</v>
      </c>
      <c r="AG44" s="19">
        <v>0</v>
      </c>
      <c r="AI44" s="1" t="s">
        <v>460</v>
      </c>
      <c r="AJ44" s="25">
        <v>339</v>
      </c>
      <c r="AK44" s="1" t="s">
        <v>71</v>
      </c>
      <c r="AL44" s="25">
        <v>10</v>
      </c>
      <c r="AM44" s="25">
        <v>1</v>
      </c>
      <c r="AN44" s="15" t="s">
        <v>613</v>
      </c>
      <c r="AO44" s="1" t="s">
        <v>71</v>
      </c>
      <c r="AP44" s="1" t="s">
        <v>112</v>
      </c>
      <c r="AQ44" s="15" t="s">
        <v>620</v>
      </c>
      <c r="AR44" s="1" t="s">
        <v>621</v>
      </c>
      <c r="AS44" s="1" t="s">
        <v>76</v>
      </c>
      <c r="AT44" s="1" t="s">
        <v>76</v>
      </c>
      <c r="AU44" s="1" t="s">
        <v>76</v>
      </c>
      <c r="AV44" s="1" t="s">
        <v>77</v>
      </c>
      <c r="AW44" s="1" t="s">
        <v>77</v>
      </c>
      <c r="AX44" s="1" t="s">
        <v>76</v>
      </c>
      <c r="AY44" s="1" t="s">
        <v>76</v>
      </c>
      <c r="AZ44" s="1" t="s">
        <v>76</v>
      </c>
      <c r="BA44" s="15" t="s">
        <v>76</v>
      </c>
      <c r="BC44" s="24" t="s">
        <v>512</v>
      </c>
      <c r="BD44" s="24" t="s">
        <v>513</v>
      </c>
      <c r="BE44" s="24" t="s">
        <v>622</v>
      </c>
      <c r="BF44" s="1" t="s">
        <v>623</v>
      </c>
    </row>
    <row r="45" ht="24" hidden="1" customHeight="1" spans="1:58">
      <c r="A45" s="1" t="str">
        <f>_xlfn.DISPIMG("ID_E88B161500E346E196D54ABC38D95BBE",1)</f>
        <v>=DISPIMG("ID_E88B161500E346E196D54ABC38D95BBE",1)</v>
      </c>
      <c r="B45" s="15" t="s">
        <v>624</v>
      </c>
      <c r="C45" s="15" t="s">
        <v>625</v>
      </c>
      <c r="D45" s="15" t="s">
        <v>626</v>
      </c>
      <c r="E45" s="15" t="s">
        <v>627</v>
      </c>
      <c r="F45" s="15" t="s">
        <v>628</v>
      </c>
      <c r="G45" s="15" t="s">
        <v>629</v>
      </c>
      <c r="H45" s="15" t="s">
        <v>630</v>
      </c>
      <c r="I45" s="15" t="s">
        <v>631</v>
      </c>
      <c r="J45" s="15" t="s">
        <v>632</v>
      </c>
      <c r="K45" s="15" t="s">
        <v>65</v>
      </c>
      <c r="L45" s="15" t="s">
        <v>66</v>
      </c>
      <c r="M45" s="18">
        <v>44124</v>
      </c>
      <c r="N45" s="18">
        <v>-18037</v>
      </c>
      <c r="O45" s="19">
        <v>-0.6801</v>
      </c>
      <c r="P45" s="20" t="s">
        <v>67</v>
      </c>
      <c r="Q45" s="23" t="s">
        <v>633</v>
      </c>
      <c r="R45" s="18">
        <v>921</v>
      </c>
      <c r="S45" s="19">
        <v>-0.3247</v>
      </c>
      <c r="T45" s="18">
        <v>18410.79</v>
      </c>
      <c r="U45" s="24" t="s">
        <v>91</v>
      </c>
      <c r="V45" s="18">
        <v>999.5</v>
      </c>
      <c r="W45" s="25">
        <v>37</v>
      </c>
      <c r="X45" s="26">
        <v>19.99</v>
      </c>
      <c r="Z45" s="8"/>
      <c r="AA45" s="18">
        <v>4</v>
      </c>
      <c r="AB45" s="25">
        <v>1354</v>
      </c>
      <c r="AC45" s="18">
        <v>21</v>
      </c>
      <c r="AD45" s="29">
        <v>4.2</v>
      </c>
      <c r="AE45" s="30">
        <v>0.0228</v>
      </c>
      <c r="AF45" s="26">
        <v>3.6</v>
      </c>
      <c r="AG45" s="19">
        <v>0.6199</v>
      </c>
      <c r="AI45" s="1" t="s">
        <v>634</v>
      </c>
      <c r="AJ45" s="25">
        <v>1382</v>
      </c>
      <c r="AK45" s="1" t="s">
        <v>71</v>
      </c>
      <c r="AL45" s="25">
        <v>9.8</v>
      </c>
      <c r="AM45" s="25">
        <v>1</v>
      </c>
      <c r="AN45" s="15" t="s">
        <v>635</v>
      </c>
      <c r="AO45" s="1" t="s">
        <v>71</v>
      </c>
      <c r="AP45" s="1" t="s">
        <v>73</v>
      </c>
      <c r="AQ45" s="15" t="s">
        <v>636</v>
      </c>
      <c r="AR45" s="1" t="s">
        <v>637</v>
      </c>
      <c r="AS45" s="1" t="s">
        <v>76</v>
      </c>
      <c r="AT45" s="1" t="s">
        <v>77</v>
      </c>
      <c r="AU45" s="1" t="s">
        <v>76</v>
      </c>
      <c r="AV45" s="1" t="s">
        <v>77</v>
      </c>
      <c r="AW45" s="1" t="s">
        <v>77</v>
      </c>
      <c r="AX45" s="1" t="s">
        <v>76</v>
      </c>
      <c r="AY45" s="1" t="s">
        <v>77</v>
      </c>
      <c r="AZ45" s="1" t="s">
        <v>76</v>
      </c>
      <c r="BA45" s="15" t="s">
        <v>76</v>
      </c>
      <c r="BB45" s="24" t="s">
        <v>76</v>
      </c>
      <c r="BC45" s="24" t="s">
        <v>499</v>
      </c>
      <c r="BD45" s="24" t="s">
        <v>500</v>
      </c>
      <c r="BE45" s="24" t="s">
        <v>638</v>
      </c>
      <c r="BF45" s="1" t="s">
        <v>639</v>
      </c>
    </row>
    <row r="46" ht="24" customHeight="1" spans="1:58">
      <c r="A46" s="1" t="str">
        <f>_xlfn.DISPIMG("ID_176006F120CB4C6681EDE9E3A31DF14C",1)</f>
        <v>=DISPIMG("ID_176006F120CB4C6681EDE9E3A31DF14C",1)</v>
      </c>
      <c r="B46" s="15" t="s">
        <v>640</v>
      </c>
      <c r="C46" s="15" t="s">
        <v>641</v>
      </c>
      <c r="D46" s="15" t="s">
        <v>642</v>
      </c>
      <c r="E46" s="15" t="s">
        <v>103</v>
      </c>
      <c r="F46" s="15" t="s">
        <v>104</v>
      </c>
      <c r="G46" s="15" t="s">
        <v>643</v>
      </c>
      <c r="H46" s="15" t="s">
        <v>644</v>
      </c>
      <c r="I46" s="15" t="s">
        <v>645</v>
      </c>
      <c r="J46" s="15" t="s">
        <v>646</v>
      </c>
      <c r="K46" s="15" t="s">
        <v>271</v>
      </c>
      <c r="L46" s="15" t="s">
        <v>66</v>
      </c>
      <c r="M46" s="18">
        <v>97520</v>
      </c>
      <c r="N46" s="18">
        <v>-13287</v>
      </c>
      <c r="O46" s="19">
        <v>-0.2439</v>
      </c>
      <c r="P46" s="20" t="s">
        <v>272</v>
      </c>
      <c r="Q46" s="23" t="s">
        <v>647</v>
      </c>
      <c r="R46" s="18">
        <v>591</v>
      </c>
      <c r="S46" s="19">
        <v>0.5156</v>
      </c>
      <c r="T46" s="18">
        <v>21270.092</v>
      </c>
      <c r="U46" s="24" t="s">
        <v>76</v>
      </c>
      <c r="V46" s="18" t="s">
        <v>76</v>
      </c>
      <c r="W46" s="25">
        <v>47</v>
      </c>
      <c r="X46" s="26">
        <v>35.99</v>
      </c>
      <c r="Z46" s="24" t="s">
        <v>274</v>
      </c>
      <c r="AA46" s="18">
        <v>13</v>
      </c>
      <c r="AB46" s="25">
        <v>239</v>
      </c>
      <c r="AC46" s="18">
        <v>7</v>
      </c>
      <c r="AD46" s="29">
        <v>4.1</v>
      </c>
      <c r="AE46" s="30">
        <v>0.0118</v>
      </c>
      <c r="AF46" s="26">
        <v>6.19</v>
      </c>
      <c r="AG46" s="19">
        <v>0.628</v>
      </c>
      <c r="AI46" s="1" t="s">
        <v>648</v>
      </c>
      <c r="AJ46" s="25">
        <v>757</v>
      </c>
      <c r="AK46" s="1" t="s">
        <v>71</v>
      </c>
      <c r="AL46" s="25">
        <v>10</v>
      </c>
      <c r="AM46" s="25">
        <v>1</v>
      </c>
      <c r="AN46" s="15" t="s">
        <v>111</v>
      </c>
      <c r="AO46" s="1" t="s">
        <v>71</v>
      </c>
      <c r="AP46" s="1" t="s">
        <v>112</v>
      </c>
      <c r="AQ46" s="15" t="s">
        <v>113</v>
      </c>
      <c r="AR46" s="1" t="s">
        <v>114</v>
      </c>
      <c r="AS46" s="1" t="s">
        <v>76</v>
      </c>
      <c r="AT46" s="1" t="s">
        <v>76</v>
      </c>
      <c r="AU46" s="1" t="s">
        <v>76</v>
      </c>
      <c r="AV46" s="1" t="s">
        <v>77</v>
      </c>
      <c r="AW46" s="1" t="s">
        <v>77</v>
      </c>
      <c r="AX46" s="1" t="s">
        <v>76</v>
      </c>
      <c r="AY46" s="1" t="s">
        <v>77</v>
      </c>
      <c r="AZ46" s="1" t="s">
        <v>76</v>
      </c>
      <c r="BA46" s="15" t="s">
        <v>76</v>
      </c>
      <c r="BC46" s="24" t="s">
        <v>649</v>
      </c>
      <c r="BD46" s="24" t="s">
        <v>650</v>
      </c>
      <c r="BE46" s="24" t="s">
        <v>651</v>
      </c>
      <c r="BF46" s="1" t="s">
        <v>652</v>
      </c>
    </row>
    <row r="47" ht="24" hidden="1" customHeight="1" spans="1:58">
      <c r="A47" s="1" t="str">
        <f>_xlfn.DISPIMG("ID_1F3DA910F2614E38A9A250AFEC340EE5",1)</f>
        <v>=DISPIMG("ID_1F3DA910F2614E38A9A250AFEC340EE5",1)</v>
      </c>
      <c r="B47" s="15" t="s">
        <v>653</v>
      </c>
      <c r="C47" s="15" t="s">
        <v>654</v>
      </c>
      <c r="D47" s="15" t="s">
        <v>655</v>
      </c>
      <c r="E47" s="15" t="s">
        <v>656</v>
      </c>
      <c r="F47" s="15" t="s">
        <v>657</v>
      </c>
      <c r="G47" s="15" t="s">
        <v>658</v>
      </c>
      <c r="H47" s="15" t="s">
        <v>659</v>
      </c>
      <c r="I47" s="15" t="s">
        <v>660</v>
      </c>
      <c r="J47" s="15" t="s">
        <v>661</v>
      </c>
      <c r="K47" s="15" t="s">
        <v>65</v>
      </c>
      <c r="L47" s="15" t="s">
        <v>66</v>
      </c>
      <c r="M47" s="18">
        <v>58293</v>
      </c>
      <c r="N47" s="18">
        <v>4035</v>
      </c>
      <c r="O47" s="19">
        <v>0.0567</v>
      </c>
      <c r="P47" s="20" t="s">
        <v>67</v>
      </c>
      <c r="Q47" s="23" t="s">
        <v>662</v>
      </c>
      <c r="R47" s="18">
        <v>516</v>
      </c>
      <c r="S47" s="19">
        <v>0.4101</v>
      </c>
      <c r="T47" s="18">
        <v>18054.842</v>
      </c>
      <c r="U47" s="24" t="s">
        <v>76</v>
      </c>
      <c r="V47" s="18" t="s">
        <v>76</v>
      </c>
      <c r="W47" s="25">
        <v>62</v>
      </c>
      <c r="X47" s="26">
        <v>34.99</v>
      </c>
      <c r="Z47" s="24" t="s">
        <v>663</v>
      </c>
      <c r="AB47" s="25">
        <v>31</v>
      </c>
      <c r="AC47" s="18">
        <v>7</v>
      </c>
      <c r="AD47" s="29">
        <v>4.2</v>
      </c>
      <c r="AE47" s="30">
        <v>0.0136</v>
      </c>
      <c r="AF47" s="26">
        <v>6.27</v>
      </c>
      <c r="AG47" s="19">
        <v>0.6208</v>
      </c>
      <c r="AI47" s="1" t="s">
        <v>664</v>
      </c>
      <c r="AJ47" s="25">
        <v>178</v>
      </c>
      <c r="AK47" s="1" t="s">
        <v>71</v>
      </c>
      <c r="AL47" s="25">
        <v>10</v>
      </c>
      <c r="AM47" s="25">
        <v>1</v>
      </c>
      <c r="AN47" s="15" t="s">
        <v>665</v>
      </c>
      <c r="AO47" s="1" t="s">
        <v>71</v>
      </c>
      <c r="AP47" s="1" t="s">
        <v>73</v>
      </c>
      <c r="AQ47" s="15" t="s">
        <v>666</v>
      </c>
      <c r="AR47" s="1" t="s">
        <v>667</v>
      </c>
      <c r="AS47" s="1" t="s">
        <v>76</v>
      </c>
      <c r="AT47" s="1" t="s">
        <v>76</v>
      </c>
      <c r="AU47" s="1" t="s">
        <v>76</v>
      </c>
      <c r="AV47" s="1" t="s">
        <v>77</v>
      </c>
      <c r="AW47" s="1" t="s">
        <v>77</v>
      </c>
      <c r="AX47" s="1" t="s">
        <v>76</v>
      </c>
      <c r="AY47" s="1" t="s">
        <v>77</v>
      </c>
      <c r="AZ47" s="1" t="s">
        <v>76</v>
      </c>
      <c r="BA47" s="15" t="s">
        <v>76</v>
      </c>
      <c r="BD47" s="24" t="s">
        <v>76</v>
      </c>
      <c r="BF47" s="1" t="s">
        <v>76</v>
      </c>
    </row>
    <row r="48" ht="24" hidden="1" customHeight="1" spans="1:58">
      <c r="A48" s="1" t="str">
        <f>_xlfn.DISPIMG("ID_3573862462B74814B1D1801BE4C987B2",1)</f>
        <v>=DISPIMG("ID_3573862462B74814B1D1801BE4C987B2",1)</v>
      </c>
      <c r="B48" s="15" t="s">
        <v>668</v>
      </c>
      <c r="C48" s="15" t="s">
        <v>438</v>
      </c>
      <c r="D48" s="15" t="s">
        <v>669</v>
      </c>
      <c r="E48" s="15" t="s">
        <v>670</v>
      </c>
      <c r="F48" s="15" t="s">
        <v>671</v>
      </c>
      <c r="G48" s="15" t="s">
        <v>672</v>
      </c>
      <c r="H48" s="15" t="s">
        <v>673</v>
      </c>
      <c r="I48" s="15" t="s">
        <v>674</v>
      </c>
      <c r="J48" s="15" t="s">
        <v>675</v>
      </c>
      <c r="K48" s="15" t="s">
        <v>65</v>
      </c>
      <c r="L48" s="15" t="s">
        <v>66</v>
      </c>
      <c r="M48" s="18">
        <v>16124</v>
      </c>
      <c r="N48" s="18">
        <v>1864</v>
      </c>
      <c r="O48" s="19">
        <v>0.111</v>
      </c>
      <c r="P48" s="20" t="s">
        <v>67</v>
      </c>
      <c r="Q48" s="23" t="s">
        <v>676</v>
      </c>
      <c r="R48" s="18">
        <v>3004</v>
      </c>
      <c r="S48" s="19">
        <v>0.2651</v>
      </c>
      <c r="T48" s="18">
        <v>74739.516</v>
      </c>
      <c r="U48" s="24" t="s">
        <v>69</v>
      </c>
      <c r="V48" s="18">
        <v>2488</v>
      </c>
      <c r="W48" s="25">
        <v>118</v>
      </c>
      <c r="X48" s="26">
        <v>24.88</v>
      </c>
      <c r="Y48" s="26">
        <v>22.39</v>
      </c>
      <c r="Z48" s="8"/>
      <c r="AA48" s="18">
        <v>21</v>
      </c>
      <c r="AB48" s="25">
        <v>6622</v>
      </c>
      <c r="AC48" s="18">
        <v>33</v>
      </c>
      <c r="AD48" s="29">
        <v>4.1</v>
      </c>
      <c r="AE48" s="30">
        <v>0.011</v>
      </c>
      <c r="AF48" s="26">
        <v>4.94</v>
      </c>
      <c r="AG48" s="19">
        <v>0.6015</v>
      </c>
      <c r="AI48" s="1" t="s">
        <v>677</v>
      </c>
      <c r="AJ48" s="25">
        <v>1585</v>
      </c>
      <c r="AK48" s="1" t="s">
        <v>71</v>
      </c>
      <c r="AL48" s="25">
        <v>9.3</v>
      </c>
      <c r="AM48" s="25">
        <v>2</v>
      </c>
      <c r="AN48" s="15" t="s">
        <v>678</v>
      </c>
      <c r="AO48" s="1" t="s">
        <v>71</v>
      </c>
      <c r="AP48" s="1" t="s">
        <v>73</v>
      </c>
      <c r="AQ48" s="15" t="s">
        <v>679</v>
      </c>
      <c r="AR48" s="1" t="s">
        <v>680</v>
      </c>
      <c r="AS48" s="1" t="s">
        <v>76</v>
      </c>
      <c r="AT48" s="1" t="s">
        <v>77</v>
      </c>
      <c r="AU48" s="1" t="s">
        <v>76</v>
      </c>
      <c r="AV48" s="1" t="s">
        <v>77</v>
      </c>
      <c r="AW48" s="1" t="s">
        <v>77</v>
      </c>
      <c r="AX48" s="1" t="s">
        <v>76</v>
      </c>
      <c r="AY48" s="1" t="s">
        <v>77</v>
      </c>
      <c r="AZ48" s="1" t="s">
        <v>76</v>
      </c>
      <c r="BA48" s="15" t="s">
        <v>76</v>
      </c>
      <c r="BB48" s="24" t="s">
        <v>76</v>
      </c>
      <c r="BC48" s="24" t="s">
        <v>277</v>
      </c>
      <c r="BD48" s="24" t="s">
        <v>278</v>
      </c>
      <c r="BE48" s="24" t="s">
        <v>681</v>
      </c>
      <c r="BF48" s="1" t="s">
        <v>682</v>
      </c>
    </row>
    <row r="49" ht="24" hidden="1" customHeight="1" spans="1:58">
      <c r="A49" s="1" t="str">
        <f>_xlfn.DISPIMG("ID_CF2C2611ABDF4114A2FD3254B265AB39",1)</f>
        <v>=DISPIMG("ID_CF2C2611ABDF4114A2FD3254B265AB39",1)</v>
      </c>
      <c r="B49" s="15" t="s">
        <v>683</v>
      </c>
      <c r="C49" s="15" t="s">
        <v>684</v>
      </c>
      <c r="D49" s="15" t="s">
        <v>685</v>
      </c>
      <c r="E49" s="15" t="s">
        <v>686</v>
      </c>
      <c r="F49" s="15" t="s">
        <v>687</v>
      </c>
      <c r="G49" s="15" t="s">
        <v>688</v>
      </c>
      <c r="H49" s="15" t="s">
        <v>689</v>
      </c>
      <c r="I49" s="15" t="s">
        <v>690</v>
      </c>
      <c r="J49" s="15" t="s">
        <v>691</v>
      </c>
      <c r="K49" s="15" t="s">
        <v>65</v>
      </c>
      <c r="L49" s="15" t="s">
        <v>66</v>
      </c>
      <c r="M49" s="18">
        <v>41263</v>
      </c>
      <c r="N49" s="18">
        <v>-22271</v>
      </c>
      <c r="O49" s="19">
        <v>-1.0578</v>
      </c>
      <c r="P49" s="20" t="s">
        <v>67</v>
      </c>
      <c r="Q49" s="23" t="s">
        <v>692</v>
      </c>
      <c r="R49" s="18">
        <v>1275</v>
      </c>
      <c r="S49" s="19">
        <v>-0.0657</v>
      </c>
      <c r="T49" s="18">
        <v>25487.25</v>
      </c>
      <c r="U49" s="24" t="s">
        <v>91</v>
      </c>
      <c r="V49" s="18">
        <v>999.5</v>
      </c>
      <c r="W49" s="25">
        <v>29</v>
      </c>
      <c r="X49" s="26">
        <v>19.99</v>
      </c>
      <c r="Z49" s="8"/>
      <c r="AA49" s="18">
        <v>32</v>
      </c>
      <c r="AB49" s="25">
        <v>8387</v>
      </c>
      <c r="AC49" s="18">
        <v>0</v>
      </c>
      <c r="AD49" s="29">
        <v>4.3</v>
      </c>
      <c r="AE49" s="30">
        <v>0</v>
      </c>
      <c r="AF49" s="26">
        <v>6.19</v>
      </c>
      <c r="AG49" s="19">
        <v>0.4904</v>
      </c>
      <c r="AI49" s="1" t="s">
        <v>693</v>
      </c>
      <c r="AJ49" s="25">
        <v>330</v>
      </c>
      <c r="AK49" s="1" t="s">
        <v>71</v>
      </c>
      <c r="AL49" s="25">
        <v>9.7</v>
      </c>
      <c r="AM49" s="25">
        <v>1</v>
      </c>
      <c r="AN49" s="15" t="s">
        <v>686</v>
      </c>
      <c r="AO49" s="1" t="s">
        <v>71</v>
      </c>
      <c r="AP49" s="1" t="s">
        <v>73</v>
      </c>
      <c r="AQ49" s="15" t="s">
        <v>694</v>
      </c>
      <c r="AR49" s="1" t="s">
        <v>695</v>
      </c>
      <c r="AS49" s="1" t="s">
        <v>76</v>
      </c>
      <c r="AT49" s="1" t="s">
        <v>77</v>
      </c>
      <c r="AU49" s="1" t="s">
        <v>76</v>
      </c>
      <c r="AV49" s="1" t="s">
        <v>77</v>
      </c>
      <c r="AW49" s="1" t="s">
        <v>76</v>
      </c>
      <c r="AX49" s="1" t="s">
        <v>76</v>
      </c>
      <c r="AY49" s="1" t="s">
        <v>77</v>
      </c>
      <c r="AZ49" s="1" t="s">
        <v>76</v>
      </c>
      <c r="BA49" s="15" t="s">
        <v>76</v>
      </c>
      <c r="BB49" s="24" t="s">
        <v>696</v>
      </c>
      <c r="BC49" s="24" t="s">
        <v>357</v>
      </c>
      <c r="BD49" s="24" t="s">
        <v>358</v>
      </c>
      <c r="BE49" s="24" t="s">
        <v>697</v>
      </c>
      <c r="BF49" s="1" t="s">
        <v>698</v>
      </c>
    </row>
    <row r="50" ht="24" customHeight="1" spans="1:58">
      <c r="A50" s="1" t="str">
        <f>_xlfn.DISPIMG("ID_B26F6041B60F4A07806DB1E6399E6DC4",1)</f>
        <v>=DISPIMG("ID_B26F6041B60F4A07806DB1E6399E6DC4",1)</v>
      </c>
      <c r="B50" s="15" t="s">
        <v>699</v>
      </c>
      <c r="C50" s="15" t="s">
        <v>700</v>
      </c>
      <c r="D50" s="15" t="s">
        <v>701</v>
      </c>
      <c r="E50" s="15" t="s">
        <v>103</v>
      </c>
      <c r="F50" s="15" t="s">
        <v>104</v>
      </c>
      <c r="G50" s="15" t="s">
        <v>702</v>
      </c>
      <c r="H50" s="15" t="s">
        <v>703</v>
      </c>
      <c r="I50" s="15" t="s">
        <v>704</v>
      </c>
      <c r="J50" s="15" t="s">
        <v>705</v>
      </c>
      <c r="K50" s="15" t="s">
        <v>65</v>
      </c>
      <c r="L50" s="15" t="s">
        <v>66</v>
      </c>
      <c r="M50" s="18">
        <v>34591</v>
      </c>
      <c r="N50" s="18">
        <v>-2757</v>
      </c>
      <c r="O50" s="19">
        <v>-0.084</v>
      </c>
      <c r="P50" s="20" t="s">
        <v>67</v>
      </c>
      <c r="Q50" s="23" t="s">
        <v>706</v>
      </c>
      <c r="R50" s="18">
        <v>960</v>
      </c>
      <c r="S50" s="19">
        <v>-0.3946</v>
      </c>
      <c r="T50" s="18">
        <v>27830.4</v>
      </c>
      <c r="U50" s="24" t="s">
        <v>76</v>
      </c>
      <c r="V50" s="18" t="s">
        <v>76</v>
      </c>
      <c r="W50" s="25">
        <v>102</v>
      </c>
      <c r="X50" s="26">
        <v>28.99</v>
      </c>
      <c r="Z50" s="8"/>
      <c r="AB50" s="25">
        <v>234</v>
      </c>
      <c r="AC50" s="18">
        <v>12</v>
      </c>
      <c r="AD50" s="29">
        <v>4.4</v>
      </c>
      <c r="AE50" s="30">
        <v>0.0125</v>
      </c>
      <c r="AF50" s="26">
        <v>4.61</v>
      </c>
      <c r="AG50" s="19">
        <v>0.6463</v>
      </c>
      <c r="AI50" s="1" t="s">
        <v>707</v>
      </c>
      <c r="AJ50" s="25">
        <v>304</v>
      </c>
      <c r="AK50" s="1" t="s">
        <v>71</v>
      </c>
      <c r="AL50" s="25">
        <v>9</v>
      </c>
      <c r="AM50" s="25">
        <v>1</v>
      </c>
      <c r="AN50" s="15" t="s">
        <v>103</v>
      </c>
      <c r="AO50" s="1" t="s">
        <v>71</v>
      </c>
      <c r="AP50" s="1" t="s">
        <v>73</v>
      </c>
      <c r="AQ50" s="15" t="s">
        <v>146</v>
      </c>
      <c r="AR50" s="1" t="s">
        <v>147</v>
      </c>
      <c r="AS50" s="1" t="s">
        <v>76</v>
      </c>
      <c r="AT50" s="1" t="s">
        <v>76</v>
      </c>
      <c r="AU50" s="1" t="s">
        <v>76</v>
      </c>
      <c r="AV50" s="1" t="s">
        <v>77</v>
      </c>
      <c r="AW50" s="1" t="s">
        <v>77</v>
      </c>
      <c r="AX50" s="1" t="s">
        <v>76</v>
      </c>
      <c r="AY50" s="1" t="s">
        <v>77</v>
      </c>
      <c r="AZ50" s="1" t="s">
        <v>76</v>
      </c>
      <c r="BA50" s="15" t="s">
        <v>76</v>
      </c>
      <c r="BC50" s="24" t="s">
        <v>200</v>
      </c>
      <c r="BD50" s="24" t="s">
        <v>201</v>
      </c>
      <c r="BE50" s="24" t="s">
        <v>708</v>
      </c>
      <c r="BF50" s="1" t="s">
        <v>709</v>
      </c>
    </row>
    <row r="51" ht="24" hidden="1" customHeight="1" spans="1:58">
      <c r="A51" s="1" t="str">
        <f>_xlfn.DISPIMG("ID_2F23BB0E57FC4AEBB2C3601BB0FA0002",1)</f>
        <v>=DISPIMG("ID_2F23BB0E57FC4AEBB2C3601BB0FA0002",1)</v>
      </c>
      <c r="B51" s="15" t="s">
        <v>710</v>
      </c>
      <c r="C51" s="15" t="s">
        <v>438</v>
      </c>
      <c r="D51" s="15" t="s">
        <v>711</v>
      </c>
      <c r="E51" s="15" t="s">
        <v>712</v>
      </c>
      <c r="F51" s="15" t="s">
        <v>713</v>
      </c>
      <c r="G51" s="15" t="s">
        <v>714</v>
      </c>
      <c r="H51" s="15" t="s">
        <v>715</v>
      </c>
      <c r="I51" s="15" t="s">
        <v>716</v>
      </c>
      <c r="J51" s="15" t="s">
        <v>717</v>
      </c>
      <c r="K51" s="15" t="s">
        <v>65</v>
      </c>
      <c r="L51" s="15" t="s">
        <v>66</v>
      </c>
      <c r="M51" s="18">
        <v>113957</v>
      </c>
      <c r="N51" s="18">
        <v>58494</v>
      </c>
      <c r="O51" s="19">
        <v>0.3675</v>
      </c>
      <c r="P51" s="20" t="s">
        <v>67</v>
      </c>
      <c r="Q51" s="23" t="s">
        <v>718</v>
      </c>
      <c r="R51" s="18">
        <v>280</v>
      </c>
      <c r="S51" s="19">
        <v>-0.0403</v>
      </c>
      <c r="T51" s="18">
        <v>5597.1997</v>
      </c>
      <c r="U51" s="24" t="s">
        <v>76</v>
      </c>
      <c r="V51" s="18" t="s">
        <v>76</v>
      </c>
      <c r="W51" s="25">
        <v>36</v>
      </c>
      <c r="X51" s="26">
        <v>19.99</v>
      </c>
      <c r="Z51" s="8"/>
      <c r="AB51" s="25">
        <v>31</v>
      </c>
      <c r="AC51" s="18">
        <v>3</v>
      </c>
      <c r="AD51" s="29">
        <v>4.7</v>
      </c>
      <c r="AE51" s="30">
        <v>0.0107</v>
      </c>
      <c r="AF51" s="26">
        <v>3.99</v>
      </c>
      <c r="AG51" s="19">
        <v>0.6264</v>
      </c>
      <c r="AI51" s="1" t="s">
        <v>719</v>
      </c>
      <c r="AJ51" s="25">
        <v>140</v>
      </c>
      <c r="AK51" s="1" t="s">
        <v>71</v>
      </c>
      <c r="AL51" s="25">
        <v>10</v>
      </c>
      <c r="AM51" s="25">
        <v>1</v>
      </c>
      <c r="AN51" s="15" t="s">
        <v>720</v>
      </c>
      <c r="AO51" s="1" t="s">
        <v>71</v>
      </c>
      <c r="AP51" s="1" t="s">
        <v>73</v>
      </c>
      <c r="AQ51" s="15" t="s">
        <v>721</v>
      </c>
      <c r="AR51" s="1" t="s">
        <v>722</v>
      </c>
      <c r="AS51" s="1" t="s">
        <v>76</v>
      </c>
      <c r="AT51" s="1" t="s">
        <v>76</v>
      </c>
      <c r="AU51" s="1" t="s">
        <v>76</v>
      </c>
      <c r="AV51" s="1" t="s">
        <v>77</v>
      </c>
      <c r="AW51" s="1" t="s">
        <v>77</v>
      </c>
      <c r="AX51" s="1" t="s">
        <v>76</v>
      </c>
      <c r="AY51" s="1" t="s">
        <v>76</v>
      </c>
      <c r="AZ51" s="1" t="s">
        <v>76</v>
      </c>
      <c r="BA51" s="15" t="s">
        <v>76</v>
      </c>
      <c r="BC51" s="24" t="s">
        <v>723</v>
      </c>
      <c r="BD51" s="24" t="s">
        <v>724</v>
      </c>
      <c r="BE51" s="24" t="s">
        <v>725</v>
      </c>
      <c r="BF51" s="1" t="s">
        <v>726</v>
      </c>
    </row>
    <row r="52" ht="24" customHeight="1" spans="1:58">
      <c r="A52" s="1" t="str">
        <f>_xlfn.DISPIMG("ID_A7F9E8373C7F49D18368A6B9EF412FCA",1)</f>
        <v>=DISPIMG("ID_A7F9E8373C7F49D18368A6B9EF412FCA",1)</v>
      </c>
      <c r="B52" s="15" t="s">
        <v>727</v>
      </c>
      <c r="C52" s="15" t="s">
        <v>438</v>
      </c>
      <c r="D52" s="15" t="s">
        <v>728</v>
      </c>
      <c r="E52" s="15" t="s">
        <v>103</v>
      </c>
      <c r="F52" s="15" t="s">
        <v>104</v>
      </c>
      <c r="G52" s="15" t="s">
        <v>729</v>
      </c>
      <c r="H52" s="15" t="s">
        <v>730</v>
      </c>
      <c r="I52" s="15" t="s">
        <v>731</v>
      </c>
      <c r="J52" s="15" t="s">
        <v>732</v>
      </c>
      <c r="K52" s="15" t="s">
        <v>65</v>
      </c>
      <c r="L52" s="15" t="s">
        <v>66</v>
      </c>
      <c r="M52" s="18">
        <v>3643</v>
      </c>
      <c r="N52" s="18">
        <v>1629</v>
      </c>
      <c r="O52" s="19">
        <v>0.3464</v>
      </c>
      <c r="P52" s="20" t="s">
        <v>67</v>
      </c>
      <c r="Q52" s="23" t="s">
        <v>733</v>
      </c>
      <c r="R52" s="18">
        <v>4410</v>
      </c>
      <c r="S52" s="19">
        <v>-0.0752</v>
      </c>
      <c r="T52" s="18">
        <v>132255.9</v>
      </c>
      <c r="U52" s="24" t="s">
        <v>91</v>
      </c>
      <c r="V52" s="18">
        <v>1499.5</v>
      </c>
      <c r="W52" s="25">
        <v>123</v>
      </c>
      <c r="X52" s="26">
        <v>29.99</v>
      </c>
      <c r="Z52" s="24" t="s">
        <v>274</v>
      </c>
      <c r="AB52" s="25">
        <v>592</v>
      </c>
      <c r="AC52" s="18">
        <v>36</v>
      </c>
      <c r="AD52" s="29">
        <v>4.3</v>
      </c>
      <c r="AE52" s="30">
        <v>0.0082</v>
      </c>
      <c r="AF52" s="26">
        <v>5.05</v>
      </c>
      <c r="AG52" s="19">
        <v>0.6316</v>
      </c>
      <c r="AI52" s="1" t="s">
        <v>734</v>
      </c>
      <c r="AJ52" s="25">
        <v>332</v>
      </c>
      <c r="AK52" s="1" t="s">
        <v>71</v>
      </c>
      <c r="AL52" s="25">
        <v>10</v>
      </c>
      <c r="AM52" s="25">
        <v>1</v>
      </c>
      <c r="AN52" s="15" t="s">
        <v>103</v>
      </c>
      <c r="AO52" s="1" t="s">
        <v>71</v>
      </c>
      <c r="AP52" s="1" t="s">
        <v>73</v>
      </c>
      <c r="AQ52" s="15" t="s">
        <v>146</v>
      </c>
      <c r="AR52" s="1" t="s">
        <v>147</v>
      </c>
      <c r="AS52" s="1" t="s">
        <v>76</v>
      </c>
      <c r="AT52" s="1" t="s">
        <v>76</v>
      </c>
      <c r="AU52" s="1" t="s">
        <v>76</v>
      </c>
      <c r="AV52" s="1" t="s">
        <v>77</v>
      </c>
      <c r="AW52" s="1" t="s">
        <v>77</v>
      </c>
      <c r="AX52" s="1" t="s">
        <v>76</v>
      </c>
      <c r="AY52" s="1" t="s">
        <v>76</v>
      </c>
      <c r="AZ52" s="1" t="s">
        <v>76</v>
      </c>
      <c r="BA52" s="15" t="s">
        <v>76</v>
      </c>
      <c r="BC52" s="24" t="s">
        <v>307</v>
      </c>
      <c r="BD52" s="24" t="s">
        <v>308</v>
      </c>
      <c r="BE52" s="24" t="s">
        <v>735</v>
      </c>
      <c r="BF52" s="1" t="s">
        <v>736</v>
      </c>
    </row>
    <row r="53" ht="24" customHeight="1" spans="1:58">
      <c r="A53" s="1" t="str">
        <f>_xlfn.DISPIMG("ID_7D029147E9BD4BA2B7B88A10DA0A0F45",1)</f>
        <v>=DISPIMG("ID_7D029147E9BD4BA2B7B88A10DA0A0F45",1)</v>
      </c>
      <c r="B53" s="15" t="s">
        <v>737</v>
      </c>
      <c r="C53" s="15" t="s">
        <v>738</v>
      </c>
      <c r="D53" s="15" t="s">
        <v>739</v>
      </c>
      <c r="E53" s="15" t="s">
        <v>103</v>
      </c>
      <c r="F53" s="15" t="s">
        <v>104</v>
      </c>
      <c r="G53" s="15" t="s">
        <v>740</v>
      </c>
      <c r="H53" s="15" t="s">
        <v>741</v>
      </c>
      <c r="I53" s="15" t="s">
        <v>742</v>
      </c>
      <c r="J53" s="15" t="s">
        <v>743</v>
      </c>
      <c r="K53" s="15" t="s">
        <v>370</v>
      </c>
      <c r="L53" s="15" t="s">
        <v>66</v>
      </c>
      <c r="M53" s="18">
        <v>62445</v>
      </c>
      <c r="N53" s="18">
        <v>-11499</v>
      </c>
      <c r="O53" s="19">
        <v>-0.2532</v>
      </c>
      <c r="P53" s="20" t="s">
        <v>371</v>
      </c>
      <c r="Q53" s="23" t="s">
        <v>744</v>
      </c>
      <c r="R53" s="18">
        <v>763</v>
      </c>
      <c r="S53" s="19">
        <v>-0.3477</v>
      </c>
      <c r="T53" s="18">
        <v>22882.37</v>
      </c>
      <c r="U53" s="24" t="s">
        <v>91</v>
      </c>
      <c r="V53" s="18">
        <v>1499.5</v>
      </c>
      <c r="W53" s="25">
        <v>131</v>
      </c>
      <c r="X53" s="26">
        <v>29.99</v>
      </c>
      <c r="Y53" s="26">
        <v>24.99</v>
      </c>
      <c r="Z53" s="24" t="s">
        <v>274</v>
      </c>
      <c r="AA53" s="18">
        <v>4</v>
      </c>
      <c r="AB53" s="25">
        <v>2562</v>
      </c>
      <c r="AC53" s="18">
        <v>19</v>
      </c>
      <c r="AD53" s="29">
        <v>4</v>
      </c>
      <c r="AE53" s="30">
        <v>0.0249</v>
      </c>
      <c r="AF53" s="26">
        <v>6.19</v>
      </c>
      <c r="AG53" s="19">
        <v>0.5936</v>
      </c>
      <c r="AI53" s="1" t="s">
        <v>745</v>
      </c>
      <c r="AJ53" s="25">
        <v>1761</v>
      </c>
      <c r="AK53" s="1" t="s">
        <v>71</v>
      </c>
      <c r="AL53" s="25">
        <v>10</v>
      </c>
      <c r="AM53" s="25">
        <v>1</v>
      </c>
      <c r="AN53" s="15" t="s">
        <v>103</v>
      </c>
      <c r="AO53" s="1" t="s">
        <v>71</v>
      </c>
      <c r="AP53" s="1" t="s">
        <v>73</v>
      </c>
      <c r="AQ53" s="15" t="s">
        <v>146</v>
      </c>
      <c r="AR53" s="1" t="s">
        <v>147</v>
      </c>
      <c r="AS53" s="1" t="s">
        <v>76</v>
      </c>
      <c r="AT53" s="1" t="s">
        <v>76</v>
      </c>
      <c r="AU53" s="1" t="s">
        <v>76</v>
      </c>
      <c r="AV53" s="1" t="s">
        <v>77</v>
      </c>
      <c r="AW53" s="1" t="s">
        <v>77</v>
      </c>
      <c r="AX53" s="1" t="s">
        <v>76</v>
      </c>
      <c r="AY53" s="1" t="s">
        <v>77</v>
      </c>
      <c r="AZ53" s="1" t="s">
        <v>76</v>
      </c>
      <c r="BA53" s="15" t="s">
        <v>76</v>
      </c>
      <c r="BC53" s="24" t="s">
        <v>499</v>
      </c>
      <c r="BD53" s="24" t="s">
        <v>500</v>
      </c>
      <c r="BE53" s="24" t="s">
        <v>746</v>
      </c>
      <c r="BF53" s="1" t="s">
        <v>747</v>
      </c>
    </row>
    <row r="54" ht="24" hidden="1" customHeight="1" spans="1:58">
      <c r="A54" s="1" t="str">
        <f>_xlfn.DISPIMG("ID_D4C7DBA330B24079A40741C9A1540A04",1)</f>
        <v>=DISPIMG("ID_D4C7DBA330B24079A40741C9A1540A04",1)</v>
      </c>
      <c r="B54" s="15" t="s">
        <v>748</v>
      </c>
      <c r="C54" s="15" t="s">
        <v>749</v>
      </c>
      <c r="D54" s="15" t="s">
        <v>750</v>
      </c>
      <c r="E54" s="15" t="s">
        <v>751</v>
      </c>
      <c r="F54" s="15" t="s">
        <v>752</v>
      </c>
      <c r="G54" s="15" t="s">
        <v>753</v>
      </c>
      <c r="H54" s="15" t="s">
        <v>754</v>
      </c>
      <c r="I54" s="15" t="s">
        <v>755</v>
      </c>
      <c r="J54" s="15" t="s">
        <v>756</v>
      </c>
      <c r="K54" s="15" t="s">
        <v>65</v>
      </c>
      <c r="L54" s="15" t="s">
        <v>66</v>
      </c>
      <c r="M54" s="18">
        <v>28701</v>
      </c>
      <c r="N54" s="18">
        <v>-2613</v>
      </c>
      <c r="O54" s="19">
        <v>-0.0873</v>
      </c>
      <c r="P54" s="20" t="s">
        <v>67</v>
      </c>
      <c r="Q54" s="23" t="s">
        <v>757</v>
      </c>
      <c r="R54" s="18">
        <v>939</v>
      </c>
      <c r="S54" s="19">
        <v>-0.0685</v>
      </c>
      <c r="T54" s="18">
        <v>20648.61</v>
      </c>
      <c r="U54" s="24" t="s">
        <v>76</v>
      </c>
      <c r="V54" s="18" t="s">
        <v>76</v>
      </c>
      <c r="W54" s="25">
        <v>86</v>
      </c>
      <c r="X54" s="26">
        <v>21.99</v>
      </c>
      <c r="Z54" s="24" t="s">
        <v>230</v>
      </c>
      <c r="AA54" s="18">
        <v>2</v>
      </c>
      <c r="AB54" s="25">
        <v>496</v>
      </c>
      <c r="AC54" s="18">
        <v>1</v>
      </c>
      <c r="AD54" s="29">
        <v>4.4</v>
      </c>
      <c r="AE54" s="30">
        <v>0.0011</v>
      </c>
      <c r="AF54" s="26">
        <v>6.19</v>
      </c>
      <c r="AG54" s="19">
        <v>0.5185</v>
      </c>
      <c r="AI54" s="1" t="s">
        <v>758</v>
      </c>
      <c r="AJ54" s="25">
        <v>548</v>
      </c>
      <c r="AK54" s="1" t="s">
        <v>71</v>
      </c>
      <c r="AL54" s="25">
        <v>10</v>
      </c>
      <c r="AM54" s="25">
        <v>1</v>
      </c>
      <c r="AN54" s="15" t="s">
        <v>759</v>
      </c>
      <c r="AO54" s="1" t="s">
        <v>71</v>
      </c>
      <c r="AP54" s="1" t="s">
        <v>73</v>
      </c>
      <c r="AQ54" s="15" t="s">
        <v>760</v>
      </c>
      <c r="AR54" s="1" t="s">
        <v>761</v>
      </c>
      <c r="AS54" s="1" t="s">
        <v>76</v>
      </c>
      <c r="AT54" s="1" t="s">
        <v>76</v>
      </c>
      <c r="AU54" s="1" t="s">
        <v>76</v>
      </c>
      <c r="AV54" s="1" t="s">
        <v>77</v>
      </c>
      <c r="AW54" s="1" t="s">
        <v>77</v>
      </c>
      <c r="AX54" s="1" t="s">
        <v>76</v>
      </c>
      <c r="AY54" s="1" t="s">
        <v>77</v>
      </c>
      <c r="AZ54" s="1" t="s">
        <v>76</v>
      </c>
      <c r="BA54" s="15" t="s">
        <v>76</v>
      </c>
      <c r="BC54" s="24" t="s">
        <v>499</v>
      </c>
      <c r="BD54" s="24" t="s">
        <v>500</v>
      </c>
      <c r="BE54" s="24" t="s">
        <v>762</v>
      </c>
      <c r="BF54" s="1" t="s">
        <v>763</v>
      </c>
    </row>
    <row r="55" ht="24" hidden="1" customHeight="1" spans="1:58">
      <c r="A55" s="1" t="str">
        <f>_xlfn.DISPIMG("ID_E96B52E679A54BD585D6F6D3588A1BE2",1)</f>
        <v>=DISPIMG("ID_E96B52E679A54BD585D6F6D3588A1BE2",1)</v>
      </c>
      <c r="B55" s="15" t="s">
        <v>764</v>
      </c>
      <c r="C55" s="15" t="s">
        <v>765</v>
      </c>
      <c r="D55" s="15" t="s">
        <v>766</v>
      </c>
      <c r="E55" s="15" t="s">
        <v>767</v>
      </c>
      <c r="F55" s="15" t="s">
        <v>768</v>
      </c>
      <c r="G55" s="15" t="s">
        <v>769</v>
      </c>
      <c r="H55" s="15" t="s">
        <v>770</v>
      </c>
      <c r="I55" s="15" t="s">
        <v>771</v>
      </c>
      <c r="J55" s="15" t="s">
        <v>772</v>
      </c>
      <c r="K55" s="15" t="s">
        <v>65</v>
      </c>
      <c r="L55" s="15" t="s">
        <v>66</v>
      </c>
      <c r="M55" s="18">
        <v>401844</v>
      </c>
      <c r="N55" s="18">
        <v>69549</v>
      </c>
      <c r="O55" s="19">
        <v>0.2732</v>
      </c>
      <c r="P55" s="20" t="s">
        <v>67</v>
      </c>
      <c r="Q55" s="23" t="s">
        <v>773</v>
      </c>
      <c r="R55" s="18">
        <v>130</v>
      </c>
      <c r="S55" s="19">
        <v>0.825</v>
      </c>
      <c r="T55" s="18">
        <v>5829.2</v>
      </c>
      <c r="U55" s="24" t="s">
        <v>76</v>
      </c>
      <c r="V55" s="18" t="s">
        <v>76</v>
      </c>
      <c r="W55" s="25">
        <v>10</v>
      </c>
      <c r="X55" s="26">
        <v>44.84</v>
      </c>
      <c r="Z55" s="8"/>
      <c r="AA55" s="18">
        <v>5</v>
      </c>
      <c r="AB55" s="25">
        <v>256</v>
      </c>
      <c r="AC55" s="18">
        <v>0</v>
      </c>
      <c r="AD55" s="29">
        <v>4.5</v>
      </c>
      <c r="AE55" s="30">
        <v>0</v>
      </c>
      <c r="AF55" s="26">
        <v>6.27</v>
      </c>
      <c r="AG55" s="19">
        <v>0.682</v>
      </c>
      <c r="AI55" s="1" t="s">
        <v>774</v>
      </c>
      <c r="AJ55" s="25">
        <v>163</v>
      </c>
      <c r="AK55" s="1" t="s">
        <v>606</v>
      </c>
      <c r="AL55" s="25">
        <v>9.1</v>
      </c>
      <c r="AM55" s="25">
        <v>1</v>
      </c>
      <c r="AN55" s="15" t="s">
        <v>607</v>
      </c>
      <c r="AO55" s="1" t="s">
        <v>606</v>
      </c>
      <c r="AP55" s="1" t="s">
        <v>76</v>
      </c>
      <c r="AQ55" s="15" t="s">
        <v>76</v>
      </c>
      <c r="AR55" s="1" t="s">
        <v>76</v>
      </c>
      <c r="AS55" s="1" t="s">
        <v>76</v>
      </c>
      <c r="AT55" s="1" t="s">
        <v>76</v>
      </c>
      <c r="AU55" s="1" t="s">
        <v>76</v>
      </c>
      <c r="AV55" s="1" t="s">
        <v>77</v>
      </c>
      <c r="AW55" s="1" t="s">
        <v>77</v>
      </c>
      <c r="AX55" s="1" t="s">
        <v>76</v>
      </c>
      <c r="AY55" s="1" t="s">
        <v>77</v>
      </c>
      <c r="AZ55" s="1" t="s">
        <v>76</v>
      </c>
      <c r="BA55" s="15" t="s">
        <v>76</v>
      </c>
      <c r="BC55" s="24" t="s">
        <v>775</v>
      </c>
      <c r="BD55" s="24" t="s">
        <v>776</v>
      </c>
      <c r="BE55" s="24" t="s">
        <v>777</v>
      </c>
      <c r="BF55" s="1" t="s">
        <v>778</v>
      </c>
    </row>
    <row r="56" ht="24" hidden="1" customHeight="1" spans="1:58">
      <c r="A56" s="1" t="str">
        <f>_xlfn.DISPIMG("ID_198C9B6AAAB348EEA016AC8EF9061031",1)</f>
        <v>=DISPIMG("ID_198C9B6AAAB348EEA016AC8EF9061031",1)</v>
      </c>
      <c r="B56" s="15" t="s">
        <v>779</v>
      </c>
      <c r="C56" s="15" t="s">
        <v>154</v>
      </c>
      <c r="D56" s="15" t="s">
        <v>155</v>
      </c>
      <c r="E56" s="15" t="s">
        <v>156</v>
      </c>
      <c r="F56" s="15" t="s">
        <v>157</v>
      </c>
      <c r="G56" s="15" t="s">
        <v>780</v>
      </c>
      <c r="H56" s="15" t="s">
        <v>781</v>
      </c>
      <c r="I56" s="15" t="s">
        <v>782</v>
      </c>
      <c r="J56" s="15" t="s">
        <v>783</v>
      </c>
      <c r="K56" s="15" t="s">
        <v>65</v>
      </c>
      <c r="L56" s="15" t="s">
        <v>66</v>
      </c>
      <c r="M56" s="18">
        <v>64903</v>
      </c>
      <c r="N56" s="18">
        <v>186076</v>
      </c>
      <c r="O56" s="19">
        <v>0.6574</v>
      </c>
      <c r="P56" s="20" t="s">
        <v>67</v>
      </c>
      <c r="Q56" s="23" t="s">
        <v>784</v>
      </c>
      <c r="R56" s="18">
        <v>141</v>
      </c>
      <c r="S56" s="19">
        <v>-0.3423</v>
      </c>
      <c r="T56" s="18">
        <v>2113.59</v>
      </c>
      <c r="U56" s="24" t="s">
        <v>76</v>
      </c>
      <c r="V56" s="18" t="s">
        <v>76</v>
      </c>
      <c r="W56" s="25">
        <v>21</v>
      </c>
      <c r="X56" s="26">
        <v>16.99</v>
      </c>
      <c r="Z56" s="8"/>
      <c r="AB56" s="25">
        <v>77</v>
      </c>
      <c r="AC56" s="18">
        <v>4</v>
      </c>
      <c r="AD56" s="29">
        <v>4.7</v>
      </c>
      <c r="AE56" s="30">
        <v>0.0284</v>
      </c>
      <c r="AF56" s="26">
        <v>3.65</v>
      </c>
      <c r="AG56" s="19">
        <v>0.6174</v>
      </c>
      <c r="AI56" s="1" t="s">
        <v>785</v>
      </c>
      <c r="AJ56" s="25">
        <v>235</v>
      </c>
      <c r="AK56" s="1" t="s">
        <v>71</v>
      </c>
      <c r="AL56" s="25">
        <v>9.8</v>
      </c>
      <c r="AM56" s="25">
        <v>1</v>
      </c>
      <c r="AN56" s="15" t="s">
        <v>165</v>
      </c>
      <c r="AO56" s="1" t="s">
        <v>71</v>
      </c>
      <c r="AP56" s="1" t="s">
        <v>73</v>
      </c>
      <c r="AQ56" s="15" t="s">
        <v>166</v>
      </c>
      <c r="AR56" s="1" t="s">
        <v>167</v>
      </c>
      <c r="AS56" s="1" t="s">
        <v>76</v>
      </c>
      <c r="AT56" s="1" t="s">
        <v>76</v>
      </c>
      <c r="AU56" s="1" t="s">
        <v>76</v>
      </c>
      <c r="AV56" s="1" t="s">
        <v>77</v>
      </c>
      <c r="AW56" s="1" t="s">
        <v>76</v>
      </c>
      <c r="AX56" s="1" t="s">
        <v>76</v>
      </c>
      <c r="AY56" s="1" t="s">
        <v>76</v>
      </c>
      <c r="AZ56" s="1" t="s">
        <v>76</v>
      </c>
      <c r="BA56" s="15" t="s">
        <v>76</v>
      </c>
      <c r="BC56" s="24" t="s">
        <v>96</v>
      </c>
      <c r="BD56" s="24" t="s">
        <v>97</v>
      </c>
      <c r="BE56" s="24" t="s">
        <v>786</v>
      </c>
      <c r="BF56" s="1" t="s">
        <v>787</v>
      </c>
    </row>
    <row r="57" ht="24" hidden="1" customHeight="1" spans="1:58">
      <c r="A57" s="1" t="str">
        <f>_xlfn.DISPIMG("ID_C2293EB643D94089B6DE0B696467DEBB",1)</f>
        <v>=DISPIMG("ID_C2293EB643D94089B6DE0B696467DEBB",1)</v>
      </c>
      <c r="B57" s="15" t="s">
        <v>788</v>
      </c>
      <c r="C57" s="15" t="s">
        <v>789</v>
      </c>
      <c r="D57" s="15" t="s">
        <v>766</v>
      </c>
      <c r="E57" s="15" t="s">
        <v>767</v>
      </c>
      <c r="F57" s="15" t="s">
        <v>768</v>
      </c>
      <c r="G57" s="15" t="s">
        <v>790</v>
      </c>
      <c r="H57" s="15" t="s">
        <v>791</v>
      </c>
      <c r="I57" s="15" t="s">
        <v>792</v>
      </c>
      <c r="J57" s="15" t="s">
        <v>793</v>
      </c>
      <c r="K57" s="15" t="s">
        <v>65</v>
      </c>
      <c r="L57" s="15" t="s">
        <v>66</v>
      </c>
      <c r="M57" s="18">
        <v>268061</v>
      </c>
      <c r="N57" s="18">
        <v>22441</v>
      </c>
      <c r="O57" s="19">
        <v>0.1057</v>
      </c>
      <c r="P57" s="20" t="s">
        <v>67</v>
      </c>
      <c r="Q57" s="23" t="s">
        <v>794</v>
      </c>
      <c r="R57" s="18">
        <v>113</v>
      </c>
      <c r="S57" s="19">
        <v>-0.1667</v>
      </c>
      <c r="T57" s="18">
        <v>4609.27</v>
      </c>
      <c r="U57" s="24" t="s">
        <v>76</v>
      </c>
      <c r="V57" s="18" t="s">
        <v>76</v>
      </c>
      <c r="W57" s="25">
        <v>21</v>
      </c>
      <c r="X57" s="26">
        <v>40.79</v>
      </c>
      <c r="Z57" s="8"/>
      <c r="AA57" s="18">
        <v>9</v>
      </c>
      <c r="AB57" s="25">
        <v>525</v>
      </c>
      <c r="AC57" s="18">
        <v>1</v>
      </c>
      <c r="AD57" s="29">
        <v>4.3</v>
      </c>
      <c r="AE57" s="30">
        <v>0.0088</v>
      </c>
      <c r="AF57" s="26">
        <v>6.6</v>
      </c>
      <c r="AG57" s="19">
        <v>0.6525</v>
      </c>
      <c r="AI57" s="1" t="s">
        <v>795</v>
      </c>
      <c r="AJ57" s="25">
        <v>3414</v>
      </c>
      <c r="AK57" s="1" t="s">
        <v>606</v>
      </c>
      <c r="AL57" s="25">
        <v>9.5</v>
      </c>
      <c r="AM57" s="25">
        <v>1</v>
      </c>
      <c r="AN57" s="15" t="s">
        <v>607</v>
      </c>
      <c r="AO57" s="1" t="s">
        <v>606</v>
      </c>
      <c r="AP57" s="1" t="s">
        <v>76</v>
      </c>
      <c r="AQ57" s="15" t="s">
        <v>76</v>
      </c>
      <c r="AR57" s="1" t="s">
        <v>76</v>
      </c>
      <c r="AS57" s="1" t="s">
        <v>76</v>
      </c>
      <c r="AT57" s="1" t="s">
        <v>77</v>
      </c>
      <c r="AU57" s="1" t="s">
        <v>76</v>
      </c>
      <c r="AV57" s="1" t="s">
        <v>77</v>
      </c>
      <c r="AW57" s="1" t="s">
        <v>77</v>
      </c>
      <c r="AX57" s="1" t="s">
        <v>76</v>
      </c>
      <c r="AY57" s="1" t="s">
        <v>77</v>
      </c>
      <c r="AZ57" s="1" t="s">
        <v>76</v>
      </c>
      <c r="BA57" s="15" t="s">
        <v>76</v>
      </c>
      <c r="BB57" s="24" t="s">
        <v>796</v>
      </c>
      <c r="BC57" s="24" t="s">
        <v>797</v>
      </c>
      <c r="BD57" s="24" t="s">
        <v>798</v>
      </c>
      <c r="BE57" s="24" t="s">
        <v>799</v>
      </c>
      <c r="BF57" s="1" t="s">
        <v>800</v>
      </c>
    </row>
    <row r="58" ht="24" customHeight="1" spans="1:58">
      <c r="A58" s="1" t="str">
        <f>_xlfn.DISPIMG("ID_F2F696181AAC490C90A85E6C6FD0C91F",1)</f>
        <v>=DISPIMG("ID_F2F696181AAC490C90A85E6C6FD0C91F",1)</v>
      </c>
      <c r="B58" s="15" t="s">
        <v>801</v>
      </c>
      <c r="C58" s="15" t="s">
        <v>802</v>
      </c>
      <c r="D58" s="15" t="s">
        <v>803</v>
      </c>
      <c r="E58" s="15" t="s">
        <v>103</v>
      </c>
      <c r="F58" s="15" t="s">
        <v>104</v>
      </c>
      <c r="G58" s="15" t="s">
        <v>804</v>
      </c>
      <c r="H58" s="15" t="s">
        <v>805</v>
      </c>
      <c r="I58" s="15" t="s">
        <v>806</v>
      </c>
      <c r="J58" s="15" t="s">
        <v>807</v>
      </c>
      <c r="K58" s="15" t="s">
        <v>65</v>
      </c>
      <c r="L58" s="15" t="s">
        <v>66</v>
      </c>
      <c r="M58" s="18">
        <v>68501</v>
      </c>
      <c r="N58" s="18">
        <v>-39923</v>
      </c>
      <c r="O58" s="19">
        <v>-1.6566</v>
      </c>
      <c r="P58" s="20" t="s">
        <v>67</v>
      </c>
      <c r="Q58" s="23" t="s">
        <v>808</v>
      </c>
      <c r="R58" s="18">
        <v>713</v>
      </c>
      <c r="S58" s="19">
        <v>-0.1636</v>
      </c>
      <c r="T58" s="18">
        <v>20669.87</v>
      </c>
      <c r="U58" s="24" t="s">
        <v>76</v>
      </c>
      <c r="V58" s="18" t="s">
        <v>76</v>
      </c>
      <c r="W58" s="25">
        <v>102</v>
      </c>
      <c r="X58" s="26">
        <v>28.99</v>
      </c>
      <c r="Z58" s="8"/>
      <c r="AB58" s="25">
        <v>292</v>
      </c>
      <c r="AC58" s="18">
        <v>11</v>
      </c>
      <c r="AD58" s="29">
        <v>4.1</v>
      </c>
      <c r="AE58" s="30">
        <v>0.0154</v>
      </c>
      <c r="AF58" s="26">
        <v>5.05</v>
      </c>
      <c r="AG58" s="19">
        <v>0.5474</v>
      </c>
      <c r="AI58" s="1" t="s">
        <v>809</v>
      </c>
      <c r="AJ58" s="25">
        <v>158</v>
      </c>
      <c r="AK58" s="1" t="s">
        <v>71</v>
      </c>
      <c r="AL58" s="25">
        <v>10</v>
      </c>
      <c r="AM58" s="25">
        <v>1</v>
      </c>
      <c r="AN58" s="15" t="s">
        <v>103</v>
      </c>
      <c r="AO58" s="1" t="s">
        <v>71</v>
      </c>
      <c r="AP58" s="1" t="s">
        <v>73</v>
      </c>
      <c r="AQ58" s="15" t="s">
        <v>146</v>
      </c>
      <c r="AR58" s="1" t="s">
        <v>147</v>
      </c>
      <c r="AS58" s="1" t="s">
        <v>76</v>
      </c>
      <c r="AT58" s="1" t="s">
        <v>76</v>
      </c>
      <c r="AU58" s="1" t="s">
        <v>76</v>
      </c>
      <c r="AV58" s="1" t="s">
        <v>77</v>
      </c>
      <c r="AW58" s="1" t="s">
        <v>77</v>
      </c>
      <c r="AX58" s="1" t="s">
        <v>76</v>
      </c>
      <c r="AY58" s="1" t="s">
        <v>77</v>
      </c>
      <c r="AZ58" s="1" t="s">
        <v>76</v>
      </c>
      <c r="BA58" s="15" t="s">
        <v>76</v>
      </c>
      <c r="BC58" s="24" t="s">
        <v>116</v>
      </c>
      <c r="BD58" s="24" t="s">
        <v>117</v>
      </c>
      <c r="BE58" s="24" t="s">
        <v>810</v>
      </c>
      <c r="BF58" s="1" t="s">
        <v>811</v>
      </c>
    </row>
    <row r="59" ht="24" customHeight="1" spans="1:58">
      <c r="A59" s="1" t="str">
        <f>_xlfn.DISPIMG("ID_52C6B805E8D446C3896C5795DD0D6EF4",1)</f>
        <v>=DISPIMG("ID_52C6B805E8D446C3896C5795DD0D6EF4",1)</v>
      </c>
      <c r="B59" s="15" t="s">
        <v>812</v>
      </c>
      <c r="C59" s="15" t="s">
        <v>813</v>
      </c>
      <c r="D59" s="15" t="s">
        <v>814</v>
      </c>
      <c r="E59" s="15" t="s">
        <v>103</v>
      </c>
      <c r="F59" s="15" t="s">
        <v>104</v>
      </c>
      <c r="G59" s="15" t="s">
        <v>815</v>
      </c>
      <c r="H59" s="15" t="s">
        <v>816</v>
      </c>
      <c r="I59" s="15" t="s">
        <v>817</v>
      </c>
      <c r="J59" s="15" t="s">
        <v>818</v>
      </c>
      <c r="K59" s="15" t="s">
        <v>65</v>
      </c>
      <c r="L59" s="15" t="s">
        <v>66</v>
      </c>
      <c r="M59" s="18">
        <v>32538</v>
      </c>
      <c r="N59" s="18">
        <v>-9851</v>
      </c>
      <c r="O59" s="19">
        <v>-0.3172</v>
      </c>
      <c r="P59" s="20" t="s">
        <v>67</v>
      </c>
      <c r="Q59" s="23" t="s">
        <v>819</v>
      </c>
      <c r="R59" s="18">
        <v>912</v>
      </c>
      <c r="S59" s="19">
        <v>-0.3235</v>
      </c>
      <c r="T59" s="18">
        <v>27350.879</v>
      </c>
      <c r="U59" s="24" t="s">
        <v>76</v>
      </c>
      <c r="V59" s="18" t="s">
        <v>76</v>
      </c>
      <c r="W59" s="25">
        <v>213</v>
      </c>
      <c r="X59" s="26">
        <v>29.99</v>
      </c>
      <c r="Z59" s="24" t="s">
        <v>274</v>
      </c>
      <c r="AA59" s="18">
        <v>4</v>
      </c>
      <c r="AB59" s="25">
        <v>1238</v>
      </c>
      <c r="AC59" s="18">
        <v>0</v>
      </c>
      <c r="AD59" s="29">
        <v>4.1</v>
      </c>
      <c r="AE59" s="30">
        <v>0</v>
      </c>
      <c r="AF59" s="26">
        <v>6.1</v>
      </c>
      <c r="AG59" s="19">
        <v>0.5896</v>
      </c>
      <c r="AI59" s="1" t="s">
        <v>820</v>
      </c>
      <c r="AJ59" s="25">
        <v>661</v>
      </c>
      <c r="AK59" s="1" t="s">
        <v>71</v>
      </c>
      <c r="AL59" s="25">
        <v>9.8</v>
      </c>
      <c r="AM59" s="25">
        <v>1</v>
      </c>
      <c r="AN59" s="15" t="s">
        <v>103</v>
      </c>
      <c r="AO59" s="1" t="s">
        <v>71</v>
      </c>
      <c r="AP59" s="1" t="s">
        <v>73</v>
      </c>
      <c r="AQ59" s="15" t="s">
        <v>146</v>
      </c>
      <c r="AR59" s="1" t="s">
        <v>147</v>
      </c>
      <c r="AS59" s="1" t="s">
        <v>76</v>
      </c>
      <c r="AT59" s="1" t="s">
        <v>76</v>
      </c>
      <c r="AU59" s="1" t="s">
        <v>77</v>
      </c>
      <c r="AV59" s="1" t="s">
        <v>77</v>
      </c>
      <c r="AW59" s="1" t="s">
        <v>77</v>
      </c>
      <c r="AX59" s="1" t="s">
        <v>76</v>
      </c>
      <c r="AY59" s="1" t="s">
        <v>77</v>
      </c>
      <c r="AZ59" s="1" t="s">
        <v>76</v>
      </c>
      <c r="BA59" s="15" t="s">
        <v>76</v>
      </c>
      <c r="BC59" s="24" t="s">
        <v>96</v>
      </c>
      <c r="BD59" s="24" t="s">
        <v>97</v>
      </c>
      <c r="BE59" s="24" t="s">
        <v>821</v>
      </c>
      <c r="BF59" s="1" t="s">
        <v>822</v>
      </c>
    </row>
    <row r="60" ht="24" customHeight="1" spans="1:58">
      <c r="A60" s="1" t="str">
        <f>_xlfn.DISPIMG("ID_043F857DD10E4EF2AEE0445F9B277E79",1)</f>
        <v>=DISPIMG("ID_043F857DD10E4EF2AEE0445F9B277E79",1)</v>
      </c>
      <c r="B60" s="15" t="s">
        <v>823</v>
      </c>
      <c r="C60" s="15" t="s">
        <v>824</v>
      </c>
      <c r="D60" s="15" t="s">
        <v>825</v>
      </c>
      <c r="E60" s="15" t="s">
        <v>103</v>
      </c>
      <c r="F60" s="15" t="s">
        <v>104</v>
      </c>
      <c r="G60" s="15" t="s">
        <v>826</v>
      </c>
      <c r="H60" s="15" t="s">
        <v>827</v>
      </c>
      <c r="I60" s="15" t="s">
        <v>828</v>
      </c>
      <c r="J60" s="15" t="s">
        <v>829</v>
      </c>
      <c r="K60" s="15" t="s">
        <v>65</v>
      </c>
      <c r="L60" s="15" t="s">
        <v>66</v>
      </c>
      <c r="M60" s="18">
        <v>61744</v>
      </c>
      <c r="N60" s="18">
        <v>42235</v>
      </c>
      <c r="O60" s="19">
        <v>0.4333</v>
      </c>
      <c r="P60" s="20" t="s">
        <v>67</v>
      </c>
      <c r="Q60" s="23" t="s">
        <v>830</v>
      </c>
      <c r="R60" s="18">
        <v>987</v>
      </c>
      <c r="S60" s="19">
        <v>1.814</v>
      </c>
      <c r="T60" s="18">
        <v>24665.129</v>
      </c>
      <c r="U60" s="24" t="s">
        <v>76</v>
      </c>
      <c r="V60" s="18" t="s">
        <v>76</v>
      </c>
      <c r="W60" s="25">
        <v>39</v>
      </c>
      <c r="X60" s="26">
        <v>24.99</v>
      </c>
      <c r="Y60" s="26">
        <v>12.49</v>
      </c>
      <c r="Z60" s="24" t="s">
        <v>831</v>
      </c>
      <c r="AB60" s="25">
        <v>190</v>
      </c>
      <c r="AC60" s="18">
        <v>10</v>
      </c>
      <c r="AD60" s="29">
        <v>4.4</v>
      </c>
      <c r="AE60" s="30">
        <v>0.0101</v>
      </c>
      <c r="AF60" s="26">
        <v>6.19</v>
      </c>
      <c r="AG60" s="19">
        <v>0.5523</v>
      </c>
      <c r="AI60" s="1" t="s">
        <v>832</v>
      </c>
      <c r="AJ60" s="25">
        <v>343</v>
      </c>
      <c r="AK60" s="1" t="s">
        <v>71</v>
      </c>
      <c r="AL60" s="25">
        <v>8.8</v>
      </c>
      <c r="AM60" s="25">
        <v>1</v>
      </c>
      <c r="AN60" s="15" t="s">
        <v>103</v>
      </c>
      <c r="AO60" s="1" t="s">
        <v>71</v>
      </c>
      <c r="AP60" s="1" t="s">
        <v>73</v>
      </c>
      <c r="AQ60" s="15" t="s">
        <v>146</v>
      </c>
      <c r="AR60" s="1" t="s">
        <v>147</v>
      </c>
      <c r="AS60" s="1" t="s">
        <v>76</v>
      </c>
      <c r="AT60" s="1" t="s">
        <v>76</v>
      </c>
      <c r="AU60" s="1" t="s">
        <v>76</v>
      </c>
      <c r="AV60" s="1" t="s">
        <v>77</v>
      </c>
      <c r="AW60" s="1" t="s">
        <v>77</v>
      </c>
      <c r="AX60" s="1" t="s">
        <v>76</v>
      </c>
      <c r="AY60" s="1" t="s">
        <v>77</v>
      </c>
      <c r="AZ60" s="1" t="s">
        <v>76</v>
      </c>
      <c r="BA60" s="15" t="s">
        <v>76</v>
      </c>
      <c r="BC60" s="24" t="s">
        <v>499</v>
      </c>
      <c r="BD60" s="24" t="s">
        <v>500</v>
      </c>
      <c r="BE60" s="24" t="s">
        <v>833</v>
      </c>
      <c r="BF60" s="1" t="s">
        <v>834</v>
      </c>
    </row>
    <row r="61" ht="24" hidden="1" customHeight="1" spans="1:58">
      <c r="A61" s="1" t="str">
        <f>_xlfn.DISPIMG("ID_A727D35926674875B9795BD8E75257C1",1)</f>
        <v>=DISPIMG("ID_A727D35926674875B9795BD8E75257C1",1)</v>
      </c>
      <c r="B61" s="15" t="s">
        <v>835</v>
      </c>
      <c r="C61" s="15" t="s">
        <v>836</v>
      </c>
      <c r="D61" s="15" t="s">
        <v>837</v>
      </c>
      <c r="E61" s="15" t="s">
        <v>297</v>
      </c>
      <c r="F61" s="15" t="s">
        <v>298</v>
      </c>
      <c r="G61" s="15" t="s">
        <v>838</v>
      </c>
      <c r="H61" s="15" t="s">
        <v>839</v>
      </c>
      <c r="I61" s="15" t="s">
        <v>840</v>
      </c>
      <c r="J61" s="15" t="s">
        <v>841</v>
      </c>
      <c r="K61" s="15" t="s">
        <v>65</v>
      </c>
      <c r="L61" s="15" t="s">
        <v>66</v>
      </c>
      <c r="M61" s="18">
        <v>57004</v>
      </c>
      <c r="N61" s="18">
        <v>-13716</v>
      </c>
      <c r="O61" s="19">
        <v>-0.4</v>
      </c>
      <c r="P61" s="20" t="s">
        <v>67</v>
      </c>
      <c r="Q61" s="23" t="s">
        <v>842</v>
      </c>
      <c r="R61" s="18">
        <v>686</v>
      </c>
      <c r="S61" s="19">
        <v>-0.2965</v>
      </c>
      <c r="T61" s="18">
        <v>24003.14</v>
      </c>
      <c r="U61" s="24" t="s">
        <v>76</v>
      </c>
      <c r="V61" s="18" t="s">
        <v>76</v>
      </c>
      <c r="W61" s="25">
        <v>134</v>
      </c>
      <c r="X61" s="26">
        <v>34.99</v>
      </c>
      <c r="Z61" s="8"/>
      <c r="AA61" s="18">
        <v>79</v>
      </c>
      <c r="AB61" s="25">
        <v>2113</v>
      </c>
      <c r="AC61" s="18">
        <v>17</v>
      </c>
      <c r="AD61" s="29">
        <v>4.2</v>
      </c>
      <c r="AE61" s="30">
        <v>0.0248</v>
      </c>
      <c r="AF61" s="26">
        <v>5.12</v>
      </c>
      <c r="AG61" s="19">
        <v>0.6174</v>
      </c>
      <c r="AI61" s="1" t="s">
        <v>664</v>
      </c>
      <c r="AJ61" s="25">
        <v>178</v>
      </c>
      <c r="AK61" s="1" t="s">
        <v>71</v>
      </c>
      <c r="AL61" s="25">
        <v>8.4</v>
      </c>
      <c r="AM61" s="25">
        <v>1</v>
      </c>
      <c r="AN61" s="15" t="s">
        <v>297</v>
      </c>
      <c r="AO61" s="1" t="s">
        <v>71</v>
      </c>
      <c r="AP61" s="1" t="s">
        <v>73</v>
      </c>
      <c r="AQ61" s="15" t="s">
        <v>305</v>
      </c>
      <c r="AR61" s="1" t="s">
        <v>306</v>
      </c>
      <c r="AS61" s="1" t="s">
        <v>76</v>
      </c>
      <c r="AT61" s="1" t="s">
        <v>76</v>
      </c>
      <c r="AU61" s="1" t="s">
        <v>76</v>
      </c>
      <c r="AV61" s="1" t="s">
        <v>77</v>
      </c>
      <c r="AW61" s="1" t="s">
        <v>77</v>
      </c>
      <c r="AX61" s="1" t="s">
        <v>77</v>
      </c>
      <c r="AY61" s="1" t="s">
        <v>77</v>
      </c>
      <c r="AZ61" s="1" t="s">
        <v>76</v>
      </c>
      <c r="BA61" s="15" t="s">
        <v>76</v>
      </c>
      <c r="BC61" s="24" t="s">
        <v>290</v>
      </c>
      <c r="BD61" s="24" t="s">
        <v>291</v>
      </c>
      <c r="BE61" s="24" t="s">
        <v>309</v>
      </c>
      <c r="BF61" s="1" t="s">
        <v>310</v>
      </c>
    </row>
    <row r="62" ht="24" hidden="1" customHeight="1" spans="1:58">
      <c r="A62" s="1" t="str">
        <f>_xlfn.DISPIMG("ID_C978B0A961E24C65AF560AB662BA3365",1)</f>
        <v>=DISPIMG("ID_C978B0A961E24C65AF560AB662BA3365",1)</v>
      </c>
      <c r="B62" s="15" t="s">
        <v>843</v>
      </c>
      <c r="C62" s="15" t="s">
        <v>282</v>
      </c>
      <c r="D62" s="15" t="s">
        <v>58</v>
      </c>
      <c r="E62" s="15" t="s">
        <v>84</v>
      </c>
      <c r="F62" s="15" t="s">
        <v>85</v>
      </c>
      <c r="G62" s="15" t="s">
        <v>86</v>
      </c>
      <c r="H62" s="15" t="s">
        <v>844</v>
      </c>
      <c r="I62" s="15" t="s">
        <v>845</v>
      </c>
      <c r="J62" s="15" t="s">
        <v>89</v>
      </c>
      <c r="K62" s="15" t="s">
        <v>65</v>
      </c>
      <c r="L62" s="15" t="s">
        <v>66</v>
      </c>
      <c r="M62" s="18">
        <v>13254</v>
      </c>
      <c r="N62" s="18">
        <v>2619</v>
      </c>
      <c r="O62" s="19">
        <v>0.165</v>
      </c>
      <c r="P62" s="20" t="s">
        <v>67</v>
      </c>
      <c r="Q62" s="23" t="s">
        <v>90</v>
      </c>
      <c r="R62" s="18">
        <v>2397</v>
      </c>
      <c r="S62" s="19">
        <v>-0.2817</v>
      </c>
      <c r="T62" s="18">
        <v>69489.03</v>
      </c>
      <c r="U62" s="24" t="s">
        <v>76</v>
      </c>
      <c r="V62" s="18" t="s">
        <v>76</v>
      </c>
      <c r="W62" s="25">
        <v>156</v>
      </c>
      <c r="X62" s="26">
        <v>28.99</v>
      </c>
      <c r="Y62" s="26">
        <v>23.19</v>
      </c>
      <c r="Z62" s="8"/>
      <c r="AB62" s="25">
        <v>257</v>
      </c>
      <c r="AC62" s="18">
        <v>30</v>
      </c>
      <c r="AD62" s="29">
        <v>4.3</v>
      </c>
      <c r="AE62" s="30">
        <v>0.0125</v>
      </c>
      <c r="AF62" s="26">
        <v>5.05</v>
      </c>
      <c r="AG62" s="19">
        <v>0.6258</v>
      </c>
      <c r="AI62" s="1" t="s">
        <v>92</v>
      </c>
      <c r="AJ62" s="25">
        <v>222</v>
      </c>
      <c r="AK62" s="1" t="s">
        <v>71</v>
      </c>
      <c r="AL62" s="25">
        <v>10</v>
      </c>
      <c r="AM62" s="25">
        <v>1</v>
      </c>
      <c r="AN62" s="15" t="s">
        <v>93</v>
      </c>
      <c r="AO62" s="1" t="s">
        <v>71</v>
      </c>
      <c r="AP62" s="1" t="s">
        <v>73</v>
      </c>
      <c r="AQ62" s="15" t="s">
        <v>94</v>
      </c>
      <c r="AR62" s="1" t="s">
        <v>95</v>
      </c>
      <c r="AS62" s="1" t="s">
        <v>76</v>
      </c>
      <c r="AT62" s="1" t="s">
        <v>76</v>
      </c>
      <c r="AU62" s="1" t="s">
        <v>77</v>
      </c>
      <c r="AV62" s="1" t="s">
        <v>77</v>
      </c>
      <c r="AW62" s="1" t="s">
        <v>77</v>
      </c>
      <c r="AX62" s="1" t="s">
        <v>77</v>
      </c>
      <c r="AY62" s="1" t="s">
        <v>77</v>
      </c>
      <c r="AZ62" s="1" t="s">
        <v>76</v>
      </c>
      <c r="BA62" s="15" t="s">
        <v>76</v>
      </c>
      <c r="BC62" s="24" t="s">
        <v>846</v>
      </c>
      <c r="BD62" s="24" t="s">
        <v>847</v>
      </c>
      <c r="BE62" s="24" t="s">
        <v>848</v>
      </c>
      <c r="BF62" s="1" t="s">
        <v>849</v>
      </c>
    </row>
    <row r="63" ht="24" hidden="1" customHeight="1" spans="1:58">
      <c r="A63" s="1" t="str">
        <f>_xlfn.DISPIMG("ID_2C51691ADDE5466984D939C7795D4DC4",1)</f>
        <v>=DISPIMG("ID_2C51691ADDE5466984D939C7795D4DC4",1)</v>
      </c>
      <c r="B63" s="15" t="s">
        <v>850</v>
      </c>
      <c r="C63" s="15" t="s">
        <v>154</v>
      </c>
      <c r="D63" s="15" t="s">
        <v>547</v>
      </c>
      <c r="E63" s="15" t="s">
        <v>156</v>
      </c>
      <c r="F63" s="15" t="s">
        <v>157</v>
      </c>
      <c r="G63" s="15" t="s">
        <v>851</v>
      </c>
      <c r="H63" s="15" t="s">
        <v>852</v>
      </c>
      <c r="I63" s="15" t="s">
        <v>853</v>
      </c>
      <c r="J63" s="15" t="s">
        <v>854</v>
      </c>
      <c r="K63" s="15" t="s">
        <v>65</v>
      </c>
      <c r="L63" s="15" t="s">
        <v>66</v>
      </c>
      <c r="M63" s="18">
        <v>12229</v>
      </c>
      <c r="N63" s="18">
        <v>-5606</v>
      </c>
      <c r="O63" s="19">
        <v>-0.9523</v>
      </c>
      <c r="P63" s="20" t="s">
        <v>67</v>
      </c>
      <c r="Q63" s="23" t="s">
        <v>855</v>
      </c>
      <c r="R63" s="18">
        <v>3082</v>
      </c>
      <c r="S63" s="19">
        <v>-0.2086</v>
      </c>
      <c r="T63" s="18">
        <v>76988.36</v>
      </c>
      <c r="U63" s="24" t="s">
        <v>144</v>
      </c>
      <c r="V63" s="18">
        <v>7494</v>
      </c>
      <c r="W63" s="25">
        <v>88</v>
      </c>
      <c r="X63" s="26">
        <v>24.98</v>
      </c>
      <c r="Z63" s="24" t="s">
        <v>663</v>
      </c>
      <c r="AA63" s="18">
        <v>9</v>
      </c>
      <c r="AB63" s="25">
        <v>1810</v>
      </c>
      <c r="AC63" s="18">
        <v>43</v>
      </c>
      <c r="AD63" s="29">
        <v>4.3</v>
      </c>
      <c r="AE63" s="30">
        <v>0.014</v>
      </c>
      <c r="AF63" s="26">
        <v>5.39</v>
      </c>
      <c r="AG63" s="19">
        <v>0.5842</v>
      </c>
      <c r="AI63" s="1" t="s">
        <v>856</v>
      </c>
      <c r="AJ63" s="25">
        <v>794</v>
      </c>
      <c r="AK63" s="1" t="s">
        <v>71</v>
      </c>
      <c r="AL63" s="25">
        <v>9.8</v>
      </c>
      <c r="AM63" s="25">
        <v>1</v>
      </c>
      <c r="AN63" s="15" t="s">
        <v>156</v>
      </c>
      <c r="AO63" s="1" t="s">
        <v>71</v>
      </c>
      <c r="AP63" s="1" t="s">
        <v>73</v>
      </c>
      <c r="AQ63" s="15" t="s">
        <v>588</v>
      </c>
      <c r="AR63" s="1" t="s">
        <v>589</v>
      </c>
      <c r="AS63" s="1" t="s">
        <v>76</v>
      </c>
      <c r="AT63" s="1" t="s">
        <v>77</v>
      </c>
      <c r="AU63" s="1" t="s">
        <v>76</v>
      </c>
      <c r="AV63" s="1" t="s">
        <v>77</v>
      </c>
      <c r="AW63" s="1" t="s">
        <v>77</v>
      </c>
      <c r="AX63" s="1" t="s">
        <v>77</v>
      </c>
      <c r="AY63" s="1" t="s">
        <v>77</v>
      </c>
      <c r="AZ63" s="1" t="s">
        <v>76</v>
      </c>
      <c r="BA63" s="15" t="s">
        <v>76</v>
      </c>
      <c r="BB63" s="24" t="s">
        <v>857</v>
      </c>
      <c r="BC63" s="24" t="s">
        <v>591</v>
      </c>
      <c r="BD63" s="24" t="s">
        <v>592</v>
      </c>
      <c r="BE63" s="24" t="s">
        <v>858</v>
      </c>
      <c r="BF63" s="1" t="s">
        <v>859</v>
      </c>
    </row>
    <row r="64" ht="24" hidden="1" customHeight="1" spans="1:58">
      <c r="A64" s="1" t="str">
        <f>_xlfn.DISPIMG("ID_8EEAA1B86A9341C79892AF272985BC0C",1)</f>
        <v>=DISPIMG("ID_8EEAA1B86A9341C79892AF272985BC0C",1)</v>
      </c>
      <c r="B64" s="15" t="s">
        <v>860</v>
      </c>
      <c r="C64" s="15" t="s">
        <v>154</v>
      </c>
      <c r="D64" s="15" t="s">
        <v>861</v>
      </c>
      <c r="E64" s="15" t="s">
        <v>862</v>
      </c>
      <c r="F64" s="15" t="s">
        <v>863</v>
      </c>
      <c r="G64" s="15" t="s">
        <v>864</v>
      </c>
      <c r="H64" s="15" t="s">
        <v>865</v>
      </c>
      <c r="I64" s="15" t="s">
        <v>866</v>
      </c>
      <c r="J64" s="15" t="s">
        <v>867</v>
      </c>
      <c r="K64" s="15" t="s">
        <v>65</v>
      </c>
      <c r="L64" s="15" t="s">
        <v>66</v>
      </c>
      <c r="M64" s="18">
        <v>33127</v>
      </c>
      <c r="N64" s="18">
        <v>-24367</v>
      </c>
      <c r="O64" s="19">
        <v>-1.6618</v>
      </c>
      <c r="P64" s="20" t="s">
        <v>67</v>
      </c>
      <c r="Q64" s="23" t="s">
        <v>868</v>
      </c>
      <c r="R64" s="18">
        <v>1481</v>
      </c>
      <c r="S64" s="19">
        <v>-0.1298</v>
      </c>
      <c r="T64" s="18">
        <v>37010.19</v>
      </c>
      <c r="U64" s="24" t="s">
        <v>91</v>
      </c>
      <c r="V64" s="18">
        <v>1249.5</v>
      </c>
      <c r="W64" s="25">
        <v>115</v>
      </c>
      <c r="X64" s="26">
        <v>24.99</v>
      </c>
      <c r="Y64" s="26">
        <v>19.99</v>
      </c>
      <c r="Z64" s="8"/>
      <c r="AA64" s="18">
        <v>2</v>
      </c>
      <c r="AB64" s="25">
        <v>747</v>
      </c>
      <c r="AC64" s="18">
        <v>15</v>
      </c>
      <c r="AD64" s="29">
        <v>4.3</v>
      </c>
      <c r="AE64" s="30">
        <v>0.0101</v>
      </c>
      <c r="AF64" s="26">
        <v>5.14</v>
      </c>
      <c r="AG64" s="19">
        <v>0.6019</v>
      </c>
      <c r="AI64" s="1" t="s">
        <v>869</v>
      </c>
      <c r="AJ64" s="25">
        <v>973</v>
      </c>
      <c r="AK64" s="1" t="s">
        <v>71</v>
      </c>
      <c r="AL64" s="25">
        <v>9.7</v>
      </c>
      <c r="AM64" s="25">
        <v>1</v>
      </c>
      <c r="AN64" s="15" t="s">
        <v>862</v>
      </c>
      <c r="AO64" s="1" t="s">
        <v>71</v>
      </c>
      <c r="AP64" s="1" t="s">
        <v>73</v>
      </c>
      <c r="AQ64" s="15" t="s">
        <v>870</v>
      </c>
      <c r="AR64" s="1" t="s">
        <v>871</v>
      </c>
      <c r="AS64" s="1" t="s">
        <v>76</v>
      </c>
      <c r="AT64" s="1" t="s">
        <v>77</v>
      </c>
      <c r="AU64" s="1" t="s">
        <v>76</v>
      </c>
      <c r="AV64" s="1" t="s">
        <v>77</v>
      </c>
      <c r="AW64" s="1" t="s">
        <v>76</v>
      </c>
      <c r="AX64" s="1" t="s">
        <v>76</v>
      </c>
      <c r="AY64" s="1" t="s">
        <v>77</v>
      </c>
      <c r="AZ64" s="1" t="s">
        <v>76</v>
      </c>
      <c r="BA64" s="15" t="s">
        <v>76</v>
      </c>
      <c r="BB64" s="24" t="s">
        <v>872</v>
      </c>
      <c r="BC64" s="24" t="s">
        <v>219</v>
      </c>
      <c r="BD64" s="24" t="s">
        <v>220</v>
      </c>
      <c r="BE64" s="24" t="s">
        <v>873</v>
      </c>
      <c r="BF64" s="1" t="s">
        <v>874</v>
      </c>
    </row>
    <row r="65" ht="24" customHeight="1" spans="1:58">
      <c r="A65" s="1" t="str">
        <f>_xlfn.DISPIMG("ID_624974D6CD65472A911CDC8C5F7C9E9C",1)</f>
        <v>=DISPIMG("ID_624974D6CD65472A911CDC8C5F7C9E9C",1)</v>
      </c>
      <c r="B65" s="15" t="s">
        <v>875</v>
      </c>
      <c r="C65" s="15" t="s">
        <v>876</v>
      </c>
      <c r="D65" s="15" t="s">
        <v>877</v>
      </c>
      <c r="E65" s="15" t="s">
        <v>103</v>
      </c>
      <c r="F65" s="15" t="s">
        <v>104</v>
      </c>
      <c r="G65" s="15" t="s">
        <v>878</v>
      </c>
      <c r="H65" s="15" t="s">
        <v>879</v>
      </c>
      <c r="I65" s="15" t="s">
        <v>880</v>
      </c>
      <c r="J65" s="15" t="s">
        <v>881</v>
      </c>
      <c r="K65" s="15" t="s">
        <v>65</v>
      </c>
      <c r="L65" s="15" t="s">
        <v>66</v>
      </c>
      <c r="M65" s="18">
        <v>41435</v>
      </c>
      <c r="N65" s="18">
        <v>-6929</v>
      </c>
      <c r="O65" s="19">
        <v>-0.2149</v>
      </c>
      <c r="P65" s="20" t="s">
        <v>67</v>
      </c>
      <c r="Q65" s="23" t="s">
        <v>882</v>
      </c>
      <c r="R65" s="18">
        <v>719</v>
      </c>
      <c r="S65" s="19">
        <v>-0.3975</v>
      </c>
      <c r="T65" s="18">
        <v>10777.81</v>
      </c>
      <c r="U65" s="24" t="s">
        <v>76</v>
      </c>
      <c r="V65" s="18" t="s">
        <v>76</v>
      </c>
      <c r="W65" s="25">
        <v>110</v>
      </c>
      <c r="X65" s="26">
        <v>14.99</v>
      </c>
      <c r="Z65" s="24" t="s">
        <v>230</v>
      </c>
      <c r="AA65" s="18">
        <v>19</v>
      </c>
      <c r="AB65" s="25">
        <v>2291</v>
      </c>
      <c r="AC65" s="18">
        <v>38</v>
      </c>
      <c r="AD65" s="29">
        <v>4.2</v>
      </c>
      <c r="AE65" s="30">
        <v>0.0529</v>
      </c>
      <c r="AF65" s="26">
        <v>6.27</v>
      </c>
      <c r="AG65" s="19">
        <v>0.3817</v>
      </c>
      <c r="AI65" s="1" t="s">
        <v>883</v>
      </c>
      <c r="AJ65" s="25">
        <v>914</v>
      </c>
      <c r="AK65" s="1" t="s">
        <v>71</v>
      </c>
      <c r="AL65" s="25">
        <v>9.8</v>
      </c>
      <c r="AM65" s="25">
        <v>1</v>
      </c>
      <c r="AN65" s="15" t="s">
        <v>111</v>
      </c>
      <c r="AO65" s="1" t="s">
        <v>71</v>
      </c>
      <c r="AP65" s="1" t="s">
        <v>112</v>
      </c>
      <c r="AQ65" s="15" t="s">
        <v>113</v>
      </c>
      <c r="AR65" s="1" t="s">
        <v>114</v>
      </c>
      <c r="AS65" s="1" t="s">
        <v>76</v>
      </c>
      <c r="AT65" s="1" t="s">
        <v>76</v>
      </c>
      <c r="AU65" s="1" t="s">
        <v>76</v>
      </c>
      <c r="AV65" s="1" t="s">
        <v>77</v>
      </c>
      <c r="AW65" s="1" t="s">
        <v>77</v>
      </c>
      <c r="AX65" s="1" t="s">
        <v>76</v>
      </c>
      <c r="AY65" s="1" t="s">
        <v>77</v>
      </c>
      <c r="AZ65" s="1" t="s">
        <v>76</v>
      </c>
      <c r="BA65" s="15" t="s">
        <v>76</v>
      </c>
      <c r="BC65" s="24" t="s">
        <v>499</v>
      </c>
      <c r="BD65" s="24" t="s">
        <v>500</v>
      </c>
      <c r="BE65" s="24" t="s">
        <v>884</v>
      </c>
      <c r="BF65" s="1" t="s">
        <v>885</v>
      </c>
    </row>
    <row r="66" ht="24" customHeight="1" spans="1:58">
      <c r="A66" s="1" t="str">
        <f>_xlfn.DISPIMG("ID_16C98E2DF9174CB193A55879DA7B3F61",1)</f>
        <v>=DISPIMG("ID_16C98E2DF9174CB193A55879DA7B3F61",1)</v>
      </c>
      <c r="B66" s="15" t="s">
        <v>886</v>
      </c>
      <c r="C66" s="15" t="s">
        <v>504</v>
      </c>
      <c r="D66" s="15" t="s">
        <v>324</v>
      </c>
      <c r="E66" s="15" t="s">
        <v>103</v>
      </c>
      <c r="F66" s="15" t="s">
        <v>104</v>
      </c>
      <c r="G66" s="15" t="s">
        <v>325</v>
      </c>
      <c r="H66" s="15" t="s">
        <v>887</v>
      </c>
      <c r="I66" s="15" t="s">
        <v>888</v>
      </c>
      <c r="J66" s="15" t="s">
        <v>328</v>
      </c>
      <c r="K66" s="15" t="s">
        <v>65</v>
      </c>
      <c r="L66" s="15" t="s">
        <v>66</v>
      </c>
      <c r="M66" s="18">
        <v>73540</v>
      </c>
      <c r="N66" s="18">
        <v>-2098</v>
      </c>
      <c r="O66" s="19">
        <v>-0.0469</v>
      </c>
      <c r="P66" s="20" t="s">
        <v>67</v>
      </c>
      <c r="Q66" s="23" t="s">
        <v>329</v>
      </c>
      <c r="R66" s="18">
        <v>695</v>
      </c>
      <c r="S66" s="19">
        <v>-0.3687</v>
      </c>
      <c r="T66" s="18">
        <v>20843.05</v>
      </c>
      <c r="U66" s="24" t="s">
        <v>76</v>
      </c>
      <c r="V66" s="18" t="s">
        <v>76</v>
      </c>
      <c r="W66" s="25">
        <v>183</v>
      </c>
      <c r="X66" s="26">
        <v>29.99</v>
      </c>
      <c r="Z66" s="8"/>
      <c r="AA66" s="18">
        <v>9</v>
      </c>
      <c r="AB66" s="25">
        <v>2176</v>
      </c>
      <c r="AC66" s="18">
        <v>38</v>
      </c>
      <c r="AD66" s="29">
        <v>4.2</v>
      </c>
      <c r="AE66" s="30">
        <v>0.0547</v>
      </c>
      <c r="AF66" s="26">
        <v>6.37</v>
      </c>
      <c r="AG66" s="19">
        <v>0.5876</v>
      </c>
      <c r="AI66" s="1" t="s">
        <v>330</v>
      </c>
      <c r="AJ66" s="25">
        <v>1697</v>
      </c>
      <c r="AK66" s="1" t="s">
        <v>71</v>
      </c>
      <c r="AL66" s="25">
        <v>10</v>
      </c>
      <c r="AM66" s="25">
        <v>1</v>
      </c>
      <c r="AN66" s="15" t="s">
        <v>111</v>
      </c>
      <c r="AO66" s="1" t="s">
        <v>71</v>
      </c>
      <c r="AP66" s="1" t="s">
        <v>112</v>
      </c>
      <c r="AQ66" s="15" t="s">
        <v>113</v>
      </c>
      <c r="AR66" s="1" t="s">
        <v>114</v>
      </c>
      <c r="AS66" s="1" t="s">
        <v>76</v>
      </c>
      <c r="AT66" s="1" t="s">
        <v>76</v>
      </c>
      <c r="AU66" s="1" t="s">
        <v>76</v>
      </c>
      <c r="AV66" s="1" t="s">
        <v>77</v>
      </c>
      <c r="AW66" s="1" t="s">
        <v>77</v>
      </c>
      <c r="AX66" s="1" t="s">
        <v>76</v>
      </c>
      <c r="AY66" s="1" t="s">
        <v>77</v>
      </c>
      <c r="AZ66" s="1" t="s">
        <v>76</v>
      </c>
      <c r="BA66" s="15" t="s">
        <v>76</v>
      </c>
      <c r="BC66" s="24" t="s">
        <v>332</v>
      </c>
      <c r="BD66" s="24" t="s">
        <v>333</v>
      </c>
      <c r="BE66" s="24" t="s">
        <v>334</v>
      </c>
      <c r="BF66" s="1" t="s">
        <v>335</v>
      </c>
    </row>
    <row r="67" ht="24" customHeight="1" spans="1:58">
      <c r="A67" s="1" t="str">
        <f>_xlfn.DISPIMG("ID_9705F7345F4546758C5DF54CD00DEF66",1)</f>
        <v>=DISPIMG("ID_9705F7345F4546758C5DF54CD00DEF66",1)</v>
      </c>
      <c r="B67" s="15" t="s">
        <v>889</v>
      </c>
      <c r="C67" s="15" t="s">
        <v>890</v>
      </c>
      <c r="D67" s="15" t="s">
        <v>891</v>
      </c>
      <c r="E67" s="15" t="s">
        <v>103</v>
      </c>
      <c r="F67" s="15" t="s">
        <v>104</v>
      </c>
      <c r="G67" s="15" t="s">
        <v>892</v>
      </c>
      <c r="H67" s="15" t="s">
        <v>893</v>
      </c>
      <c r="I67" s="15" t="s">
        <v>894</v>
      </c>
      <c r="J67" s="15" t="s">
        <v>895</v>
      </c>
      <c r="K67" s="15" t="s">
        <v>271</v>
      </c>
      <c r="L67" s="15" t="s">
        <v>66</v>
      </c>
      <c r="M67" s="18">
        <v>13378</v>
      </c>
      <c r="N67" s="18">
        <v>12641</v>
      </c>
      <c r="O67" s="19">
        <v>0.5556</v>
      </c>
      <c r="P67" s="20" t="s">
        <v>272</v>
      </c>
      <c r="Q67" s="23" t="s">
        <v>896</v>
      </c>
      <c r="R67" s="18">
        <v>1746</v>
      </c>
      <c r="S67" s="19">
        <v>-0.0507</v>
      </c>
      <c r="T67" s="18">
        <v>39267.54</v>
      </c>
      <c r="U67" s="24" t="s">
        <v>76</v>
      </c>
      <c r="V67" s="18" t="s">
        <v>76</v>
      </c>
      <c r="W67" s="25">
        <v>94</v>
      </c>
      <c r="X67" s="26">
        <v>22.49</v>
      </c>
      <c r="Z67" s="8"/>
      <c r="AA67" s="18">
        <v>17</v>
      </c>
      <c r="AB67" s="25">
        <v>766</v>
      </c>
      <c r="AC67" s="18">
        <v>22</v>
      </c>
      <c r="AD67" s="29">
        <v>4.3</v>
      </c>
      <c r="AE67" s="30">
        <v>0.0126</v>
      </c>
      <c r="AF67" s="26">
        <v>6.05</v>
      </c>
      <c r="AG67" s="19">
        <v>0.5983</v>
      </c>
      <c r="AI67" s="1" t="s">
        <v>897</v>
      </c>
      <c r="AJ67" s="25">
        <v>697</v>
      </c>
      <c r="AK67" s="1" t="s">
        <v>71</v>
      </c>
      <c r="AL67" s="25">
        <v>9.8</v>
      </c>
      <c r="AM67" s="25">
        <v>1</v>
      </c>
      <c r="AN67" s="15" t="s">
        <v>103</v>
      </c>
      <c r="AO67" s="1" t="s">
        <v>71</v>
      </c>
      <c r="AP67" s="1" t="s">
        <v>73</v>
      </c>
      <c r="AQ67" s="15" t="s">
        <v>146</v>
      </c>
      <c r="AR67" s="1" t="s">
        <v>147</v>
      </c>
      <c r="AS67" s="1" t="s">
        <v>77</v>
      </c>
      <c r="AT67" s="1" t="s">
        <v>77</v>
      </c>
      <c r="AU67" s="1" t="s">
        <v>76</v>
      </c>
      <c r="AV67" s="1" t="s">
        <v>77</v>
      </c>
      <c r="AW67" s="1" t="s">
        <v>77</v>
      </c>
      <c r="AX67" s="1" t="s">
        <v>76</v>
      </c>
      <c r="AY67" s="1" t="s">
        <v>77</v>
      </c>
      <c r="AZ67" s="1" t="s">
        <v>76</v>
      </c>
      <c r="BA67" s="15" t="s">
        <v>77</v>
      </c>
      <c r="BB67" s="24" t="s">
        <v>898</v>
      </c>
      <c r="BC67" s="24" t="s">
        <v>512</v>
      </c>
      <c r="BD67" s="24" t="s">
        <v>513</v>
      </c>
      <c r="BE67" s="24" t="s">
        <v>899</v>
      </c>
      <c r="BF67" s="1" t="s">
        <v>900</v>
      </c>
    </row>
    <row r="68" ht="24" customHeight="1" spans="1:58">
      <c r="A68" s="1" t="str">
        <f>_xlfn.DISPIMG("ID_707185AC1769403189C5063E8C18E30F",1)</f>
        <v>=DISPIMG("ID_707185AC1769403189C5063E8C18E30F",1)</v>
      </c>
      <c r="B68" s="15" t="s">
        <v>901</v>
      </c>
      <c r="C68" s="15" t="s">
        <v>312</v>
      </c>
      <c r="D68" s="15" t="s">
        <v>193</v>
      </c>
      <c r="E68" s="15" t="s">
        <v>103</v>
      </c>
      <c r="F68" s="15" t="s">
        <v>104</v>
      </c>
      <c r="G68" s="15" t="s">
        <v>194</v>
      </c>
      <c r="H68" s="15" t="s">
        <v>902</v>
      </c>
      <c r="I68" s="15" t="s">
        <v>903</v>
      </c>
      <c r="J68" s="15" t="s">
        <v>197</v>
      </c>
      <c r="K68" s="15" t="s">
        <v>65</v>
      </c>
      <c r="L68" s="15" t="s">
        <v>66</v>
      </c>
      <c r="M68" s="18">
        <v>63199</v>
      </c>
      <c r="N68" s="18">
        <v>-3990</v>
      </c>
      <c r="O68" s="19">
        <v>-0.0898</v>
      </c>
      <c r="P68" s="20" t="s">
        <v>67</v>
      </c>
      <c r="Q68" s="23" t="s">
        <v>198</v>
      </c>
      <c r="R68" s="18">
        <v>776</v>
      </c>
      <c r="S68" s="19">
        <v>-0.2533</v>
      </c>
      <c r="T68" s="18">
        <v>23272.24</v>
      </c>
      <c r="U68" s="24" t="s">
        <v>76</v>
      </c>
      <c r="V68" s="18" t="s">
        <v>76</v>
      </c>
      <c r="W68" s="25">
        <v>122</v>
      </c>
      <c r="X68" s="26">
        <v>29.99</v>
      </c>
      <c r="Z68" s="8"/>
      <c r="AB68" s="25">
        <v>404</v>
      </c>
      <c r="AC68" s="18">
        <v>13</v>
      </c>
      <c r="AD68" s="29">
        <v>4.4</v>
      </c>
      <c r="AE68" s="30">
        <v>0.0168</v>
      </c>
      <c r="AF68" s="26">
        <v>6.19</v>
      </c>
      <c r="AG68" s="19">
        <v>0.5936</v>
      </c>
      <c r="AI68" s="1" t="s">
        <v>904</v>
      </c>
      <c r="AJ68" s="25">
        <v>362</v>
      </c>
      <c r="AK68" s="1" t="s">
        <v>71</v>
      </c>
      <c r="AL68" s="25">
        <v>9.6</v>
      </c>
      <c r="AM68" s="25">
        <v>1</v>
      </c>
      <c r="AN68" s="15" t="s">
        <v>103</v>
      </c>
      <c r="AO68" s="1" t="s">
        <v>71</v>
      </c>
      <c r="AP68" s="1" t="s">
        <v>73</v>
      </c>
      <c r="AQ68" s="15" t="s">
        <v>146</v>
      </c>
      <c r="AR68" s="1" t="s">
        <v>147</v>
      </c>
      <c r="AS68" s="1" t="s">
        <v>76</v>
      </c>
      <c r="AT68" s="1" t="s">
        <v>76</v>
      </c>
      <c r="AU68" s="1" t="s">
        <v>76</v>
      </c>
      <c r="AV68" s="1" t="s">
        <v>77</v>
      </c>
      <c r="AW68" s="1" t="s">
        <v>77</v>
      </c>
      <c r="AX68" s="1" t="s">
        <v>76</v>
      </c>
      <c r="AY68" s="1" t="s">
        <v>77</v>
      </c>
      <c r="AZ68" s="1" t="s">
        <v>76</v>
      </c>
      <c r="BA68" s="15" t="s">
        <v>76</v>
      </c>
      <c r="BC68" s="24" t="s">
        <v>200</v>
      </c>
      <c r="BD68" s="24" t="s">
        <v>201</v>
      </c>
      <c r="BE68" s="24" t="s">
        <v>202</v>
      </c>
      <c r="BF68" s="1" t="s">
        <v>203</v>
      </c>
    </row>
    <row r="69" ht="24" customHeight="1" spans="1:58">
      <c r="A69" s="1" t="str">
        <f>_xlfn.DISPIMG("ID_FE64A76F59EA44D1B92264F6CA0DB10D",1)</f>
        <v>=DISPIMG("ID_FE64A76F59EA44D1B92264F6CA0DB10D",1)</v>
      </c>
      <c r="B69" s="15" t="s">
        <v>905</v>
      </c>
      <c r="C69" s="15" t="s">
        <v>906</v>
      </c>
      <c r="D69" s="15" t="s">
        <v>701</v>
      </c>
      <c r="E69" s="15" t="s">
        <v>103</v>
      </c>
      <c r="F69" s="15" t="s">
        <v>104</v>
      </c>
      <c r="G69" s="15" t="s">
        <v>907</v>
      </c>
      <c r="H69" s="15" t="s">
        <v>908</v>
      </c>
      <c r="I69" s="15" t="s">
        <v>909</v>
      </c>
      <c r="J69" s="15" t="s">
        <v>910</v>
      </c>
      <c r="K69" s="15" t="s">
        <v>65</v>
      </c>
      <c r="L69" s="15" t="s">
        <v>66</v>
      </c>
      <c r="M69" s="18">
        <v>42623</v>
      </c>
      <c r="N69" s="18">
        <v>3381</v>
      </c>
      <c r="O69" s="19">
        <v>0.0991</v>
      </c>
      <c r="P69" s="20" t="s">
        <v>67</v>
      </c>
      <c r="Q69" s="23" t="s">
        <v>911</v>
      </c>
      <c r="R69" s="18">
        <v>886</v>
      </c>
      <c r="S69" s="19">
        <v>-0.1482</v>
      </c>
      <c r="T69" s="18">
        <v>23735.941</v>
      </c>
      <c r="U69" s="24" t="s">
        <v>76</v>
      </c>
      <c r="V69" s="18" t="s">
        <v>76</v>
      </c>
      <c r="W69" s="25">
        <v>68</v>
      </c>
      <c r="X69" s="26">
        <v>26.79</v>
      </c>
      <c r="Z69" s="24" t="s">
        <v>274</v>
      </c>
      <c r="AB69" s="25">
        <v>268</v>
      </c>
      <c r="AC69" s="18">
        <v>10</v>
      </c>
      <c r="AD69" s="29">
        <v>4.4</v>
      </c>
      <c r="AE69" s="30">
        <v>0.0113</v>
      </c>
      <c r="AF69" s="26">
        <v>6.19</v>
      </c>
      <c r="AG69" s="19">
        <v>0.5689</v>
      </c>
      <c r="AI69" s="1" t="s">
        <v>832</v>
      </c>
      <c r="AJ69" s="25">
        <v>343</v>
      </c>
      <c r="AK69" s="1" t="s">
        <v>71</v>
      </c>
      <c r="AL69" s="25">
        <v>9.6</v>
      </c>
      <c r="AM69" s="25">
        <v>1</v>
      </c>
      <c r="AN69" s="15" t="s">
        <v>103</v>
      </c>
      <c r="AO69" s="1" t="s">
        <v>71</v>
      </c>
      <c r="AP69" s="1" t="s">
        <v>73</v>
      </c>
      <c r="AQ69" s="15" t="s">
        <v>146</v>
      </c>
      <c r="AR69" s="1" t="s">
        <v>147</v>
      </c>
      <c r="AS69" s="1" t="s">
        <v>76</v>
      </c>
      <c r="AT69" s="1" t="s">
        <v>76</v>
      </c>
      <c r="AU69" s="1" t="s">
        <v>76</v>
      </c>
      <c r="AV69" s="1" t="s">
        <v>77</v>
      </c>
      <c r="AW69" s="1" t="s">
        <v>77</v>
      </c>
      <c r="AX69" s="1" t="s">
        <v>76</v>
      </c>
      <c r="AY69" s="1" t="s">
        <v>76</v>
      </c>
      <c r="AZ69" s="1" t="s">
        <v>76</v>
      </c>
      <c r="BA69" s="15" t="s">
        <v>76</v>
      </c>
      <c r="BC69" s="24" t="s">
        <v>912</v>
      </c>
      <c r="BD69" s="24" t="s">
        <v>913</v>
      </c>
      <c r="BE69" s="24" t="s">
        <v>914</v>
      </c>
      <c r="BF69" s="1" t="s">
        <v>915</v>
      </c>
    </row>
    <row r="70" ht="24" hidden="1" customHeight="1" spans="1:58">
      <c r="A70" s="1" t="str">
        <f>_xlfn.DISPIMG("ID_8D82A3019FF84ACEA93C744F4B13FDC7",1)</f>
        <v>=DISPIMG("ID_8D82A3019FF84ACEA93C744F4B13FDC7",1)</v>
      </c>
      <c r="B70" s="15" t="s">
        <v>916</v>
      </c>
      <c r="C70" s="15" t="s">
        <v>917</v>
      </c>
      <c r="D70" s="15" t="s">
        <v>918</v>
      </c>
      <c r="E70" s="15" t="s">
        <v>919</v>
      </c>
      <c r="F70" s="15" t="s">
        <v>920</v>
      </c>
      <c r="G70" s="15" t="s">
        <v>921</v>
      </c>
      <c r="H70" s="15" t="s">
        <v>922</v>
      </c>
      <c r="I70" s="15" t="s">
        <v>923</v>
      </c>
      <c r="J70" s="15" t="s">
        <v>924</v>
      </c>
      <c r="K70" s="15" t="s">
        <v>65</v>
      </c>
      <c r="L70" s="15" t="s">
        <v>66</v>
      </c>
      <c r="M70" s="18">
        <v>77728</v>
      </c>
      <c r="N70" s="18">
        <v>-3103</v>
      </c>
      <c r="O70" s="19">
        <v>-0.0481</v>
      </c>
      <c r="P70" s="20" t="s">
        <v>67</v>
      </c>
      <c r="Q70" s="23" t="s">
        <v>925</v>
      </c>
      <c r="R70" s="18">
        <v>532</v>
      </c>
      <c r="S70" s="19">
        <v>0.3214</v>
      </c>
      <c r="T70" s="18">
        <v>10634.68</v>
      </c>
      <c r="U70" s="24" t="s">
        <v>76</v>
      </c>
      <c r="V70" s="18" t="s">
        <v>76</v>
      </c>
      <c r="W70" s="25">
        <v>75</v>
      </c>
      <c r="X70" s="26">
        <v>19.99</v>
      </c>
      <c r="Z70" s="8"/>
      <c r="AB70" s="25">
        <v>62</v>
      </c>
      <c r="AC70" s="18">
        <v>8</v>
      </c>
      <c r="AD70" s="29">
        <v>4.4</v>
      </c>
      <c r="AE70" s="30">
        <v>0.015</v>
      </c>
      <c r="AF70" s="26">
        <v>5</v>
      </c>
      <c r="AG70" s="19">
        <v>0.5499</v>
      </c>
      <c r="AI70" s="1" t="s">
        <v>926</v>
      </c>
      <c r="AJ70" s="25">
        <v>176</v>
      </c>
      <c r="AK70" s="1" t="s">
        <v>71</v>
      </c>
      <c r="AL70" s="25">
        <v>10</v>
      </c>
      <c r="AM70" s="25">
        <v>1</v>
      </c>
      <c r="AN70" s="15" t="s">
        <v>919</v>
      </c>
      <c r="AO70" s="1" t="s">
        <v>71</v>
      </c>
      <c r="AP70" s="1" t="s">
        <v>73</v>
      </c>
      <c r="AQ70" s="15" t="s">
        <v>927</v>
      </c>
      <c r="AR70" s="1" t="s">
        <v>928</v>
      </c>
      <c r="AS70" s="1" t="s">
        <v>76</v>
      </c>
      <c r="AT70" s="1" t="s">
        <v>76</v>
      </c>
      <c r="AU70" s="1" t="s">
        <v>76</v>
      </c>
      <c r="AV70" s="1" t="s">
        <v>77</v>
      </c>
      <c r="AW70" s="1" t="s">
        <v>77</v>
      </c>
      <c r="AX70" s="1" t="s">
        <v>77</v>
      </c>
      <c r="AY70" s="1" t="s">
        <v>76</v>
      </c>
      <c r="AZ70" s="1" t="s">
        <v>76</v>
      </c>
      <c r="BA70" s="15" t="s">
        <v>76</v>
      </c>
      <c r="BC70" s="24" t="s">
        <v>128</v>
      </c>
      <c r="BD70" s="24" t="s">
        <v>129</v>
      </c>
      <c r="BE70" s="24" t="s">
        <v>929</v>
      </c>
      <c r="BF70" s="1" t="s">
        <v>930</v>
      </c>
    </row>
    <row r="71" ht="24" customHeight="1" spans="1:58">
      <c r="A71" s="1" t="str">
        <f>_xlfn.DISPIMG("ID_0101DFA0E0C945B0BA79450D1A70C6C7",1)</f>
        <v>=DISPIMG("ID_0101DFA0E0C945B0BA79450D1A70C6C7",1)</v>
      </c>
      <c r="B71" s="15" t="s">
        <v>931</v>
      </c>
      <c r="C71" s="15" t="s">
        <v>932</v>
      </c>
      <c r="D71" s="15" t="s">
        <v>102</v>
      </c>
      <c r="E71" s="15" t="s">
        <v>103</v>
      </c>
      <c r="F71" s="15" t="s">
        <v>104</v>
      </c>
      <c r="G71" s="15" t="s">
        <v>105</v>
      </c>
      <c r="H71" s="15" t="s">
        <v>933</v>
      </c>
      <c r="I71" s="15" t="s">
        <v>934</v>
      </c>
      <c r="J71" s="15" t="s">
        <v>108</v>
      </c>
      <c r="K71" s="15" t="s">
        <v>65</v>
      </c>
      <c r="L71" s="15" t="s">
        <v>66</v>
      </c>
      <c r="M71" s="18">
        <v>629</v>
      </c>
      <c r="N71" s="18">
        <v>-190</v>
      </c>
      <c r="O71" s="19">
        <v>-0.475</v>
      </c>
      <c r="P71" s="20" t="s">
        <v>67</v>
      </c>
      <c r="Q71" s="23" t="s">
        <v>109</v>
      </c>
      <c r="R71" s="18">
        <v>19622</v>
      </c>
      <c r="S71" s="19">
        <v>-0.3317</v>
      </c>
      <c r="T71" s="18">
        <v>588463.75</v>
      </c>
      <c r="U71" s="24" t="s">
        <v>173</v>
      </c>
      <c r="V71" s="18">
        <v>5998</v>
      </c>
      <c r="W71" s="25">
        <v>174</v>
      </c>
      <c r="X71" s="26">
        <v>29.99</v>
      </c>
      <c r="Z71" s="8"/>
      <c r="AA71" s="18">
        <v>25</v>
      </c>
      <c r="AB71" s="25">
        <v>4589</v>
      </c>
      <c r="AC71" s="18">
        <v>0</v>
      </c>
      <c r="AD71" s="29">
        <v>4.2</v>
      </c>
      <c r="AE71" s="30">
        <v>0</v>
      </c>
      <c r="AF71" s="26">
        <v>6.4</v>
      </c>
      <c r="AG71" s="19">
        <v>0.5489</v>
      </c>
      <c r="AI71" s="1" t="s">
        <v>110</v>
      </c>
      <c r="AJ71" s="25">
        <v>736</v>
      </c>
      <c r="AK71" s="1" t="s">
        <v>71</v>
      </c>
      <c r="AL71" s="25">
        <v>10</v>
      </c>
      <c r="AM71" s="25">
        <v>1</v>
      </c>
      <c r="AN71" s="15" t="s">
        <v>111</v>
      </c>
      <c r="AO71" s="1" t="s">
        <v>71</v>
      </c>
      <c r="AP71" s="1" t="s">
        <v>112</v>
      </c>
      <c r="AQ71" s="15" t="s">
        <v>113</v>
      </c>
      <c r="AR71" s="1" t="s">
        <v>114</v>
      </c>
      <c r="AS71" s="1" t="s">
        <v>77</v>
      </c>
      <c r="AT71" s="1" t="s">
        <v>77</v>
      </c>
      <c r="AU71" s="1" t="s">
        <v>76</v>
      </c>
      <c r="AV71" s="1" t="s">
        <v>77</v>
      </c>
      <c r="AW71" s="1" t="s">
        <v>77</v>
      </c>
      <c r="AX71" s="1" t="s">
        <v>77</v>
      </c>
      <c r="AY71" s="1" t="s">
        <v>77</v>
      </c>
      <c r="AZ71" s="1" t="s">
        <v>76</v>
      </c>
      <c r="BA71" s="15" t="s">
        <v>76</v>
      </c>
      <c r="BB71" s="24" t="s">
        <v>935</v>
      </c>
      <c r="BC71" s="24" t="s">
        <v>116</v>
      </c>
      <c r="BD71" s="24" t="s">
        <v>117</v>
      </c>
      <c r="BE71" s="24" t="s">
        <v>118</v>
      </c>
      <c r="BF71" s="1" t="s">
        <v>119</v>
      </c>
    </row>
    <row r="72" ht="24" hidden="1" customHeight="1" spans="1:58">
      <c r="A72" s="1" t="str">
        <f>_xlfn.DISPIMG("ID_46631B977F454E73B4B541017BB48C0C",1)</f>
        <v>=DISPIMG("ID_46631B977F454E73B4B541017BB48C0C",1)</v>
      </c>
      <c r="B72" s="15" t="s">
        <v>936</v>
      </c>
      <c r="C72" s="15" t="s">
        <v>154</v>
      </c>
      <c r="D72" s="15" t="s">
        <v>206</v>
      </c>
      <c r="E72" s="15" t="s">
        <v>207</v>
      </c>
      <c r="F72" s="15" t="s">
        <v>208</v>
      </c>
      <c r="G72" s="15" t="s">
        <v>209</v>
      </c>
      <c r="H72" s="15" t="s">
        <v>937</v>
      </c>
      <c r="I72" s="15" t="s">
        <v>938</v>
      </c>
      <c r="J72" s="15" t="s">
        <v>212</v>
      </c>
      <c r="K72" s="15" t="s">
        <v>65</v>
      </c>
      <c r="L72" s="15" t="s">
        <v>66</v>
      </c>
      <c r="M72" s="18">
        <v>24588</v>
      </c>
      <c r="N72" s="18">
        <v>-12532</v>
      </c>
      <c r="O72" s="19">
        <v>-0.9058</v>
      </c>
      <c r="P72" s="20" t="s">
        <v>67</v>
      </c>
      <c r="Q72" s="23" t="s">
        <v>213</v>
      </c>
      <c r="R72" s="18">
        <v>2042</v>
      </c>
      <c r="S72" s="19">
        <v>-0.2736</v>
      </c>
      <c r="T72" s="18">
        <v>53071.58</v>
      </c>
      <c r="U72" s="24" t="s">
        <v>91</v>
      </c>
      <c r="V72" s="18">
        <v>1299.5</v>
      </c>
      <c r="W72" s="25">
        <v>174</v>
      </c>
      <c r="X72" s="26">
        <v>25.99</v>
      </c>
      <c r="Z72" s="24" t="s">
        <v>214</v>
      </c>
      <c r="AA72" s="18">
        <v>34</v>
      </c>
      <c r="AB72" s="25">
        <v>723</v>
      </c>
      <c r="AC72" s="18">
        <v>15</v>
      </c>
      <c r="AD72" s="29">
        <v>4.2</v>
      </c>
      <c r="AE72" s="30">
        <v>0.0073</v>
      </c>
      <c r="AF72" s="26">
        <v>4.84</v>
      </c>
      <c r="AG72" s="19">
        <v>0.5721</v>
      </c>
      <c r="AI72" s="1" t="s">
        <v>215</v>
      </c>
      <c r="AJ72" s="25">
        <v>674</v>
      </c>
      <c r="AK72" s="1" t="s">
        <v>71</v>
      </c>
      <c r="AL72" s="25">
        <v>9.9</v>
      </c>
      <c r="AM72" s="25">
        <v>1</v>
      </c>
      <c r="AN72" s="15" t="s">
        <v>216</v>
      </c>
      <c r="AO72" s="1" t="s">
        <v>71</v>
      </c>
      <c r="AP72" s="1" t="s">
        <v>73</v>
      </c>
      <c r="AQ72" s="15" t="s">
        <v>217</v>
      </c>
      <c r="AR72" s="1" t="s">
        <v>218</v>
      </c>
      <c r="AS72" s="1" t="s">
        <v>76</v>
      </c>
      <c r="AT72" s="1" t="s">
        <v>76</v>
      </c>
      <c r="AU72" s="1" t="s">
        <v>76</v>
      </c>
      <c r="AV72" s="1" t="s">
        <v>77</v>
      </c>
      <c r="AW72" s="1" t="s">
        <v>76</v>
      </c>
      <c r="AX72" s="1" t="s">
        <v>77</v>
      </c>
      <c r="AY72" s="1" t="s">
        <v>77</v>
      </c>
      <c r="AZ72" s="1" t="s">
        <v>76</v>
      </c>
      <c r="BA72" s="15" t="s">
        <v>76</v>
      </c>
      <c r="BC72" s="24" t="s">
        <v>219</v>
      </c>
      <c r="BD72" s="24" t="s">
        <v>220</v>
      </c>
      <c r="BE72" s="24" t="s">
        <v>221</v>
      </c>
      <c r="BF72" s="1" t="s">
        <v>222</v>
      </c>
    </row>
    <row r="73" ht="24" hidden="1" customHeight="1" spans="1:58">
      <c r="A73" s="1" t="str">
        <f>_xlfn.DISPIMG("ID_F1D8C43A691D4C66AD580F07ED2A423F",1)</f>
        <v>=DISPIMG("ID_F1D8C43A691D4C66AD580F07ED2A423F",1)</v>
      </c>
      <c r="B73" s="15" t="s">
        <v>939</v>
      </c>
      <c r="C73" s="15" t="s">
        <v>940</v>
      </c>
      <c r="D73" s="15" t="s">
        <v>422</v>
      </c>
      <c r="E73" s="15" t="s">
        <v>423</v>
      </c>
      <c r="F73" s="15" t="s">
        <v>424</v>
      </c>
      <c r="G73" s="15" t="s">
        <v>425</v>
      </c>
      <c r="H73" s="15" t="s">
        <v>941</v>
      </c>
      <c r="I73" s="15" t="s">
        <v>942</v>
      </c>
      <c r="J73" s="15" t="s">
        <v>428</v>
      </c>
      <c r="K73" s="15" t="s">
        <v>65</v>
      </c>
      <c r="L73" s="15" t="s">
        <v>66</v>
      </c>
      <c r="M73" s="18">
        <v>7997</v>
      </c>
      <c r="N73" s="18">
        <v>2833</v>
      </c>
      <c r="O73" s="19">
        <v>0.3005</v>
      </c>
      <c r="P73" s="20" t="s">
        <v>67</v>
      </c>
      <c r="Q73" s="23" t="s">
        <v>69</v>
      </c>
      <c r="R73" s="18">
        <v>3144</v>
      </c>
      <c r="S73" s="19">
        <v>-0.4068</v>
      </c>
      <c r="T73" s="18">
        <v>78568.56</v>
      </c>
      <c r="U73" s="24" t="s">
        <v>69</v>
      </c>
      <c r="V73" s="18">
        <v>2499</v>
      </c>
      <c r="W73" s="25">
        <v>173</v>
      </c>
      <c r="X73" s="26">
        <v>24.99</v>
      </c>
      <c r="Y73" s="26">
        <v>21.24</v>
      </c>
      <c r="Z73" s="8"/>
      <c r="AA73" s="18">
        <v>3</v>
      </c>
      <c r="AB73" s="25">
        <v>1904</v>
      </c>
      <c r="AC73" s="18">
        <v>86</v>
      </c>
      <c r="AD73" s="29">
        <v>4.2</v>
      </c>
      <c r="AE73" s="30">
        <v>0.0274</v>
      </c>
      <c r="AF73" s="26">
        <v>5</v>
      </c>
      <c r="AG73" s="19">
        <v>0.5999</v>
      </c>
      <c r="AI73" s="1" t="s">
        <v>943</v>
      </c>
      <c r="AJ73" s="25">
        <v>522</v>
      </c>
      <c r="AK73" s="1" t="s">
        <v>71</v>
      </c>
      <c r="AL73" s="25">
        <v>9.8</v>
      </c>
      <c r="AM73" s="25">
        <v>1</v>
      </c>
      <c r="AN73" s="15" t="s">
        <v>423</v>
      </c>
      <c r="AO73" s="1" t="s">
        <v>71</v>
      </c>
      <c r="AP73" s="1" t="s">
        <v>73</v>
      </c>
      <c r="AQ73" s="15" t="s">
        <v>430</v>
      </c>
      <c r="AR73" s="1" t="s">
        <v>431</v>
      </c>
      <c r="AS73" s="1" t="s">
        <v>76</v>
      </c>
      <c r="AT73" s="1" t="s">
        <v>77</v>
      </c>
      <c r="AU73" s="1" t="s">
        <v>77</v>
      </c>
      <c r="AV73" s="1" t="s">
        <v>77</v>
      </c>
      <c r="AW73" s="1" t="s">
        <v>76</v>
      </c>
      <c r="AX73" s="1" t="s">
        <v>77</v>
      </c>
      <c r="AY73" s="1" t="s">
        <v>77</v>
      </c>
      <c r="AZ73" s="1" t="s">
        <v>76</v>
      </c>
      <c r="BA73" s="15" t="s">
        <v>76</v>
      </c>
      <c r="BB73" s="24" t="s">
        <v>944</v>
      </c>
      <c r="BC73" s="24" t="s">
        <v>945</v>
      </c>
      <c r="BD73" s="24" t="s">
        <v>946</v>
      </c>
      <c r="BE73" s="24" t="s">
        <v>947</v>
      </c>
      <c r="BF73" s="1" t="s">
        <v>948</v>
      </c>
    </row>
    <row r="74" ht="24" hidden="1" customHeight="1" spans="1:58">
      <c r="A74" s="1" t="str">
        <f>_xlfn.DISPIMG("ID_3F175BE10DDC46E9AB3ABED2C824E2F0",1)</f>
        <v>=DISPIMG("ID_3F175BE10DDC46E9AB3ABED2C824E2F0",1)</v>
      </c>
      <c r="B74" s="15" t="s">
        <v>949</v>
      </c>
      <c r="C74" s="15" t="s">
        <v>950</v>
      </c>
      <c r="D74" s="15" t="s">
        <v>951</v>
      </c>
      <c r="E74" s="15" t="s">
        <v>297</v>
      </c>
      <c r="F74" s="15" t="s">
        <v>298</v>
      </c>
      <c r="G74" s="15" t="s">
        <v>952</v>
      </c>
      <c r="H74" s="15" t="s">
        <v>953</v>
      </c>
      <c r="I74" s="15" t="s">
        <v>954</v>
      </c>
      <c r="J74" s="15" t="s">
        <v>955</v>
      </c>
      <c r="K74" s="15" t="s">
        <v>65</v>
      </c>
      <c r="L74" s="15" t="s">
        <v>66</v>
      </c>
      <c r="M74" s="18">
        <v>36174</v>
      </c>
      <c r="N74" s="18">
        <v>-9633</v>
      </c>
      <c r="O74" s="19">
        <v>-0.3629</v>
      </c>
      <c r="P74" s="20" t="s">
        <v>67</v>
      </c>
      <c r="Q74" s="23" t="s">
        <v>956</v>
      </c>
      <c r="R74" s="18">
        <v>829</v>
      </c>
      <c r="S74" s="19">
        <v>-0.4835</v>
      </c>
      <c r="T74" s="18">
        <v>21877.309</v>
      </c>
      <c r="U74" s="24" t="s">
        <v>76</v>
      </c>
      <c r="V74" s="18" t="s">
        <v>76</v>
      </c>
      <c r="W74" s="25">
        <v>167</v>
      </c>
      <c r="X74" s="26">
        <v>33.99</v>
      </c>
      <c r="Z74" s="8"/>
      <c r="AA74" s="18">
        <v>44</v>
      </c>
      <c r="AB74" s="25">
        <v>736</v>
      </c>
      <c r="AC74" s="18">
        <v>11</v>
      </c>
      <c r="AD74" s="29">
        <v>4.2</v>
      </c>
      <c r="AE74" s="30">
        <v>0.0133</v>
      </c>
      <c r="AF74" s="26">
        <v>5.46</v>
      </c>
      <c r="AG74" s="19">
        <v>0.5931</v>
      </c>
      <c r="AI74" s="1" t="s">
        <v>957</v>
      </c>
      <c r="AJ74" s="25">
        <v>497</v>
      </c>
      <c r="AK74" s="1" t="s">
        <v>71</v>
      </c>
      <c r="AL74" s="25">
        <v>10</v>
      </c>
      <c r="AM74" s="25">
        <v>1</v>
      </c>
      <c r="AN74" s="15" t="s">
        <v>297</v>
      </c>
      <c r="AO74" s="1" t="s">
        <v>71</v>
      </c>
      <c r="AP74" s="1" t="s">
        <v>73</v>
      </c>
      <c r="AQ74" s="15" t="s">
        <v>305</v>
      </c>
      <c r="AR74" s="1" t="s">
        <v>306</v>
      </c>
      <c r="AS74" s="1" t="s">
        <v>76</v>
      </c>
      <c r="AT74" s="1" t="s">
        <v>76</v>
      </c>
      <c r="AU74" s="1" t="s">
        <v>76</v>
      </c>
      <c r="AV74" s="1" t="s">
        <v>77</v>
      </c>
      <c r="AW74" s="1" t="s">
        <v>77</v>
      </c>
      <c r="AX74" s="1" t="s">
        <v>76</v>
      </c>
      <c r="AY74" s="1" t="s">
        <v>77</v>
      </c>
      <c r="AZ74" s="1" t="s">
        <v>76</v>
      </c>
      <c r="BA74" s="15" t="s">
        <v>76</v>
      </c>
      <c r="BC74" s="24" t="s">
        <v>499</v>
      </c>
      <c r="BD74" s="24" t="s">
        <v>500</v>
      </c>
      <c r="BE74" s="24" t="s">
        <v>958</v>
      </c>
      <c r="BF74" s="1" t="s">
        <v>959</v>
      </c>
    </row>
    <row r="75" ht="24" customHeight="1" spans="1:58">
      <c r="A75" s="1" t="str">
        <f>_xlfn.DISPIMG("ID_0A0904F2627349CA808EC6B23764ABD2",1)</f>
        <v>=DISPIMG("ID_0A0904F2627349CA808EC6B23764ABD2",1)</v>
      </c>
      <c r="B75" s="15" t="s">
        <v>960</v>
      </c>
      <c r="C75" s="15" t="s">
        <v>961</v>
      </c>
      <c r="D75" s="15" t="s">
        <v>962</v>
      </c>
      <c r="E75" s="15" t="s">
        <v>103</v>
      </c>
      <c r="F75" s="15" t="s">
        <v>104</v>
      </c>
      <c r="G75" s="15" t="s">
        <v>963</v>
      </c>
      <c r="H75" s="15" t="s">
        <v>964</v>
      </c>
      <c r="I75" s="15" t="s">
        <v>965</v>
      </c>
      <c r="J75" s="15" t="s">
        <v>966</v>
      </c>
      <c r="K75" s="15" t="s">
        <v>271</v>
      </c>
      <c r="L75" s="15" t="s">
        <v>66</v>
      </c>
      <c r="M75" s="18">
        <v>252069</v>
      </c>
      <c r="N75" s="18">
        <v>3368</v>
      </c>
      <c r="O75" s="19">
        <v>0.0199</v>
      </c>
      <c r="P75" s="20" t="s">
        <v>272</v>
      </c>
      <c r="Q75" s="23" t="s">
        <v>967</v>
      </c>
      <c r="R75" s="18">
        <v>130</v>
      </c>
      <c r="S75" s="19">
        <v>-0.1449</v>
      </c>
      <c r="T75" s="18">
        <v>1103.7</v>
      </c>
      <c r="U75" s="24" t="s">
        <v>76</v>
      </c>
      <c r="V75" s="18" t="s">
        <v>76</v>
      </c>
      <c r="W75" s="25">
        <v>21</v>
      </c>
      <c r="X75" s="26">
        <v>8.49</v>
      </c>
      <c r="Z75" s="8"/>
      <c r="AA75" s="18">
        <v>9</v>
      </c>
      <c r="AB75" s="25">
        <v>2200</v>
      </c>
      <c r="AC75" s="18">
        <v>9</v>
      </c>
      <c r="AD75" s="29">
        <v>4.3</v>
      </c>
      <c r="AE75" s="30">
        <v>0.0692</v>
      </c>
      <c r="AF75" s="26">
        <v>6.15</v>
      </c>
      <c r="AG75" s="19">
        <v>0.0756</v>
      </c>
      <c r="AI75" s="1" t="s">
        <v>968</v>
      </c>
      <c r="AJ75" s="25">
        <v>1799</v>
      </c>
      <c r="AK75" s="1" t="s">
        <v>71</v>
      </c>
      <c r="AL75" s="25">
        <v>10</v>
      </c>
      <c r="AM75" s="25">
        <v>1</v>
      </c>
      <c r="AN75" s="15" t="s">
        <v>103</v>
      </c>
      <c r="AO75" s="1" t="s">
        <v>71</v>
      </c>
      <c r="AP75" s="1" t="s">
        <v>73</v>
      </c>
      <c r="AQ75" s="15" t="s">
        <v>146</v>
      </c>
      <c r="AR75" s="1" t="s">
        <v>147</v>
      </c>
      <c r="AS75" s="1" t="s">
        <v>76</v>
      </c>
      <c r="AT75" s="1" t="s">
        <v>76</v>
      </c>
      <c r="AU75" s="1" t="s">
        <v>76</v>
      </c>
      <c r="AV75" s="1" t="s">
        <v>77</v>
      </c>
      <c r="AW75" s="1" t="s">
        <v>77</v>
      </c>
      <c r="AX75" s="1" t="s">
        <v>76</v>
      </c>
      <c r="AY75" s="1" t="s">
        <v>77</v>
      </c>
      <c r="AZ75" s="1" t="s">
        <v>76</v>
      </c>
      <c r="BA75" s="15" t="s">
        <v>77</v>
      </c>
      <c r="BC75" s="24" t="s">
        <v>969</v>
      </c>
      <c r="BD75" s="24" t="s">
        <v>970</v>
      </c>
      <c r="BE75" s="24" t="s">
        <v>746</v>
      </c>
      <c r="BF75" s="1" t="s">
        <v>747</v>
      </c>
    </row>
    <row r="76" ht="24" hidden="1" customHeight="1" spans="1:58">
      <c r="A76" s="1" t="str">
        <f>_xlfn.DISPIMG("ID_4F8FCD512A174CB4B7690A5054E31FD5",1)</f>
        <v>=DISPIMG("ID_4F8FCD512A174CB4B7690A5054E31FD5",1)</v>
      </c>
      <c r="B76" s="15" t="s">
        <v>971</v>
      </c>
      <c r="C76" s="15" t="s">
        <v>972</v>
      </c>
      <c r="D76" s="15" t="s">
        <v>973</v>
      </c>
      <c r="E76" s="15" t="s">
        <v>974</v>
      </c>
      <c r="F76" s="15" t="s">
        <v>975</v>
      </c>
      <c r="G76" s="15" t="s">
        <v>976</v>
      </c>
      <c r="H76" s="15" t="s">
        <v>977</v>
      </c>
      <c r="I76" s="15" t="s">
        <v>978</v>
      </c>
      <c r="J76" s="15" t="s">
        <v>979</v>
      </c>
      <c r="K76" s="15" t="s">
        <v>65</v>
      </c>
      <c r="L76" s="15" t="s">
        <v>66</v>
      </c>
      <c r="M76" s="18">
        <v>1343011</v>
      </c>
      <c r="N76" s="18">
        <v>-66184</v>
      </c>
      <c r="O76" s="19">
        <v>-0.0787</v>
      </c>
      <c r="P76" s="20" t="s">
        <v>67</v>
      </c>
      <c r="Q76" s="23" t="s">
        <v>980</v>
      </c>
      <c r="R76" s="18">
        <v>29</v>
      </c>
      <c r="S76" s="19">
        <v>-0.3261</v>
      </c>
      <c r="T76" s="18">
        <v>934.96</v>
      </c>
      <c r="U76" s="24" t="s">
        <v>76</v>
      </c>
      <c r="V76" s="18" t="s">
        <v>76</v>
      </c>
      <c r="W76" s="25">
        <v>27</v>
      </c>
      <c r="X76" s="26">
        <v>28.33</v>
      </c>
      <c r="Z76" s="8"/>
      <c r="AB76" s="25">
        <v>9</v>
      </c>
      <c r="AC76" s="18">
        <v>1</v>
      </c>
      <c r="AD76" s="29">
        <v>4.5</v>
      </c>
      <c r="AE76" s="30">
        <v>0.0345</v>
      </c>
      <c r="AF76" s="26">
        <v>6.27</v>
      </c>
      <c r="AG76" s="19">
        <v>0.6055</v>
      </c>
      <c r="AI76" s="1" t="s">
        <v>981</v>
      </c>
      <c r="AJ76" s="25">
        <v>485</v>
      </c>
      <c r="AK76" s="1" t="s">
        <v>606</v>
      </c>
      <c r="AL76" s="25" t="s">
        <v>76</v>
      </c>
      <c r="AM76" s="25">
        <v>1</v>
      </c>
      <c r="AN76" s="15" t="s">
        <v>607</v>
      </c>
      <c r="AO76" s="1" t="s">
        <v>606</v>
      </c>
      <c r="AP76" s="1" t="s">
        <v>76</v>
      </c>
      <c r="AQ76" s="15" t="s">
        <v>76</v>
      </c>
      <c r="AR76" s="1" t="s">
        <v>76</v>
      </c>
      <c r="AS76" s="1" t="s">
        <v>76</v>
      </c>
      <c r="AT76" s="1" t="s">
        <v>76</v>
      </c>
      <c r="AU76" s="1" t="s">
        <v>76</v>
      </c>
      <c r="AV76" s="1" t="s">
        <v>77</v>
      </c>
      <c r="AW76" s="1" t="s">
        <v>76</v>
      </c>
      <c r="AX76" s="1" t="s">
        <v>76</v>
      </c>
      <c r="AY76" s="1" t="s">
        <v>77</v>
      </c>
      <c r="AZ76" s="1" t="s">
        <v>76</v>
      </c>
      <c r="BA76" s="15" t="s">
        <v>76</v>
      </c>
      <c r="BD76" s="24" t="s">
        <v>76</v>
      </c>
      <c r="BF76" s="1" t="s">
        <v>76</v>
      </c>
    </row>
    <row r="77" ht="24" customHeight="1" spans="1:58">
      <c r="A77" s="1" t="str">
        <f>_xlfn.DISPIMG("ID_E2FFB49708A34DBC8F7BC3AEBCC2481C",1)</f>
        <v>=DISPIMG("ID_E2FFB49708A34DBC8F7BC3AEBCC2481C",1)</v>
      </c>
      <c r="B77" s="15" t="s">
        <v>982</v>
      </c>
      <c r="C77" s="15" t="s">
        <v>983</v>
      </c>
      <c r="D77" s="15" t="s">
        <v>984</v>
      </c>
      <c r="E77" s="15" t="s">
        <v>103</v>
      </c>
      <c r="F77" s="15" t="s">
        <v>104</v>
      </c>
      <c r="G77" s="15" t="s">
        <v>985</v>
      </c>
      <c r="H77" s="15" t="s">
        <v>986</v>
      </c>
      <c r="I77" s="15" t="s">
        <v>987</v>
      </c>
      <c r="J77" s="15" t="s">
        <v>988</v>
      </c>
      <c r="K77" s="15" t="s">
        <v>65</v>
      </c>
      <c r="L77" s="15" t="s">
        <v>66</v>
      </c>
      <c r="M77" s="18">
        <v>27487</v>
      </c>
      <c r="N77" s="18">
        <v>-4165</v>
      </c>
      <c r="O77" s="19">
        <v>-0.178</v>
      </c>
      <c r="P77" s="20" t="s">
        <v>67</v>
      </c>
      <c r="Q77" s="23" t="s">
        <v>989</v>
      </c>
      <c r="R77" s="18">
        <v>1315</v>
      </c>
      <c r="S77" s="19">
        <v>-0.1808</v>
      </c>
      <c r="T77" s="18">
        <v>39436.85</v>
      </c>
      <c r="U77" s="24" t="s">
        <v>76</v>
      </c>
      <c r="V77" s="18" t="s">
        <v>76</v>
      </c>
      <c r="W77" s="25">
        <v>78</v>
      </c>
      <c r="X77" s="26">
        <v>29.99</v>
      </c>
      <c r="Z77" s="24" t="s">
        <v>214</v>
      </c>
      <c r="AB77" s="25">
        <v>85</v>
      </c>
      <c r="AC77" s="18">
        <v>19</v>
      </c>
      <c r="AD77" s="29">
        <v>4.6</v>
      </c>
      <c r="AE77" s="30">
        <v>0.0144</v>
      </c>
      <c r="AF77" s="26">
        <v>4.27</v>
      </c>
      <c r="AG77" s="19">
        <v>0.6576</v>
      </c>
      <c r="AI77" s="1" t="s">
        <v>990</v>
      </c>
      <c r="AJ77" s="25">
        <v>138</v>
      </c>
      <c r="AK77" s="1" t="s">
        <v>71</v>
      </c>
      <c r="AL77" s="25">
        <v>9.8</v>
      </c>
      <c r="AM77" s="25">
        <v>1</v>
      </c>
      <c r="AN77" s="15" t="s">
        <v>103</v>
      </c>
      <c r="AO77" s="1" t="s">
        <v>71</v>
      </c>
      <c r="AP77" s="1" t="s">
        <v>73</v>
      </c>
      <c r="AQ77" s="15" t="s">
        <v>146</v>
      </c>
      <c r="AR77" s="1" t="s">
        <v>147</v>
      </c>
      <c r="AS77" s="1" t="s">
        <v>76</v>
      </c>
      <c r="AT77" s="1" t="s">
        <v>76</v>
      </c>
      <c r="AU77" s="1" t="s">
        <v>77</v>
      </c>
      <c r="AV77" s="1" t="s">
        <v>77</v>
      </c>
      <c r="AW77" s="1" t="s">
        <v>76</v>
      </c>
      <c r="AX77" s="1" t="s">
        <v>76</v>
      </c>
      <c r="AY77" s="1" t="s">
        <v>77</v>
      </c>
      <c r="AZ77" s="1" t="s">
        <v>76</v>
      </c>
      <c r="BA77" s="15" t="s">
        <v>76</v>
      </c>
      <c r="BC77" s="24" t="s">
        <v>991</v>
      </c>
      <c r="BD77" s="24" t="s">
        <v>992</v>
      </c>
      <c r="BE77" s="24" t="s">
        <v>993</v>
      </c>
      <c r="BF77" s="1" t="s">
        <v>994</v>
      </c>
    </row>
    <row r="78" ht="24" customHeight="1" spans="1:58">
      <c r="A78" s="1" t="str">
        <f>_xlfn.DISPIMG("ID_62455B759D79453294D55DB7F5710711",1)</f>
        <v>=DISPIMG("ID_62455B759D79453294D55DB7F5710711",1)</v>
      </c>
      <c r="B78" s="15" t="s">
        <v>995</v>
      </c>
      <c r="C78" s="15" t="s">
        <v>996</v>
      </c>
      <c r="D78" s="15" t="s">
        <v>997</v>
      </c>
      <c r="E78" s="15" t="s">
        <v>103</v>
      </c>
      <c r="F78" s="15" t="s">
        <v>104</v>
      </c>
      <c r="G78" s="15" t="s">
        <v>998</v>
      </c>
      <c r="H78" s="15" t="s">
        <v>999</v>
      </c>
      <c r="I78" s="15" t="s">
        <v>1000</v>
      </c>
      <c r="J78" s="15" t="s">
        <v>1001</v>
      </c>
      <c r="K78" s="15" t="s">
        <v>65</v>
      </c>
      <c r="L78" s="15" t="s">
        <v>66</v>
      </c>
      <c r="M78" s="18">
        <v>63216</v>
      </c>
      <c r="N78" s="18">
        <v>-16119</v>
      </c>
      <c r="O78" s="19">
        <v>-0.3369</v>
      </c>
      <c r="P78" s="20" t="s">
        <v>67</v>
      </c>
      <c r="Q78" s="23" t="s">
        <v>1002</v>
      </c>
      <c r="R78" s="18">
        <v>588</v>
      </c>
      <c r="S78" s="19">
        <v>0.0471</v>
      </c>
      <c r="T78" s="18">
        <v>17622.36</v>
      </c>
      <c r="U78" s="24" t="s">
        <v>76</v>
      </c>
      <c r="V78" s="18" t="s">
        <v>76</v>
      </c>
      <c r="W78" s="25">
        <v>76</v>
      </c>
      <c r="X78" s="26">
        <v>29.97</v>
      </c>
      <c r="Z78" s="24" t="s">
        <v>274</v>
      </c>
      <c r="AB78" s="25">
        <v>73</v>
      </c>
      <c r="AC78" s="18">
        <v>14</v>
      </c>
      <c r="AD78" s="29">
        <v>4.1</v>
      </c>
      <c r="AE78" s="30">
        <v>0.0238</v>
      </c>
      <c r="AF78" s="26">
        <v>5.46</v>
      </c>
      <c r="AG78" s="19">
        <v>0.6178</v>
      </c>
      <c r="AI78" s="1" t="s">
        <v>1003</v>
      </c>
      <c r="AJ78" s="25">
        <v>122</v>
      </c>
      <c r="AK78" s="1" t="s">
        <v>71</v>
      </c>
      <c r="AL78" s="25">
        <v>9.8</v>
      </c>
      <c r="AM78" s="25">
        <v>1</v>
      </c>
      <c r="AN78" s="15" t="s">
        <v>103</v>
      </c>
      <c r="AO78" s="1" t="s">
        <v>71</v>
      </c>
      <c r="AP78" s="1" t="s">
        <v>73</v>
      </c>
      <c r="AQ78" s="15" t="s">
        <v>146</v>
      </c>
      <c r="AR78" s="1" t="s">
        <v>147</v>
      </c>
      <c r="AS78" s="1" t="s">
        <v>76</v>
      </c>
      <c r="AT78" s="1" t="s">
        <v>76</v>
      </c>
      <c r="AU78" s="1" t="s">
        <v>77</v>
      </c>
      <c r="AV78" s="1" t="s">
        <v>77</v>
      </c>
      <c r="AW78" s="1" t="s">
        <v>77</v>
      </c>
      <c r="AX78" s="1" t="s">
        <v>77</v>
      </c>
      <c r="AY78" s="1" t="s">
        <v>77</v>
      </c>
      <c r="AZ78" s="1" t="s">
        <v>76</v>
      </c>
      <c r="BA78" s="15" t="s">
        <v>76</v>
      </c>
      <c r="BC78" s="24" t="s">
        <v>1004</v>
      </c>
      <c r="BD78" s="24" t="s">
        <v>1005</v>
      </c>
      <c r="BE78" s="24" t="s">
        <v>1006</v>
      </c>
      <c r="BF78" s="1" t="s">
        <v>1007</v>
      </c>
    </row>
    <row r="79" ht="24" hidden="1" customHeight="1" spans="1:58">
      <c r="A79" s="1" t="str">
        <f>_xlfn.DISPIMG("ID_2F12D14F0EE94C2CA55D9E4E5BEA9928",1)</f>
        <v>=DISPIMG("ID_2F12D14F0EE94C2CA55D9E4E5BEA9928",1)</v>
      </c>
      <c r="B79" s="15" t="s">
        <v>1008</v>
      </c>
      <c r="C79" s="15" t="s">
        <v>996</v>
      </c>
      <c r="D79" s="15" t="s">
        <v>175</v>
      </c>
      <c r="E79" s="15" t="s">
        <v>176</v>
      </c>
      <c r="F79" s="15" t="s">
        <v>177</v>
      </c>
      <c r="G79" s="15" t="s">
        <v>256</v>
      </c>
      <c r="H79" s="15" t="s">
        <v>1009</v>
      </c>
      <c r="I79" s="15" t="s">
        <v>258</v>
      </c>
      <c r="J79" s="15" t="s">
        <v>259</v>
      </c>
      <c r="K79" s="15" t="s">
        <v>65</v>
      </c>
      <c r="L79" s="15" t="s">
        <v>66</v>
      </c>
      <c r="M79" s="18">
        <v>13467</v>
      </c>
      <c r="N79" s="18">
        <v>-4957</v>
      </c>
      <c r="O79" s="19">
        <v>-0.5037</v>
      </c>
      <c r="P79" s="20" t="s">
        <v>67</v>
      </c>
      <c r="Q79" s="23" t="s">
        <v>260</v>
      </c>
      <c r="R79" s="18">
        <v>3015</v>
      </c>
      <c r="S79" s="19">
        <v>-0.031</v>
      </c>
      <c r="T79" s="18">
        <v>69314.85</v>
      </c>
      <c r="U79" s="24" t="s">
        <v>144</v>
      </c>
      <c r="V79" s="18">
        <v>6897</v>
      </c>
      <c r="W79" s="25">
        <v>128</v>
      </c>
      <c r="X79" s="26">
        <v>22.99</v>
      </c>
      <c r="Y79" s="26">
        <v>19.54</v>
      </c>
      <c r="Z79" s="8"/>
      <c r="AA79" s="18">
        <v>21</v>
      </c>
      <c r="AB79" s="25">
        <v>628</v>
      </c>
      <c r="AC79" s="18">
        <v>41</v>
      </c>
      <c r="AD79" s="29">
        <v>4.3</v>
      </c>
      <c r="AE79" s="30">
        <v>0.0136</v>
      </c>
      <c r="AF79" s="26">
        <v>5.12</v>
      </c>
      <c r="AG79" s="19">
        <v>0.5154</v>
      </c>
      <c r="AI79" s="1" t="s">
        <v>261</v>
      </c>
      <c r="AJ79" s="25">
        <v>461</v>
      </c>
      <c r="AK79" s="1" t="s">
        <v>71</v>
      </c>
      <c r="AL79" s="25">
        <v>10</v>
      </c>
      <c r="AM79" s="25">
        <v>1</v>
      </c>
      <c r="AN79" s="15" t="s">
        <v>184</v>
      </c>
      <c r="AO79" s="1" t="s">
        <v>71</v>
      </c>
      <c r="AP79" s="1" t="s">
        <v>73</v>
      </c>
      <c r="AQ79" s="15" t="s">
        <v>185</v>
      </c>
      <c r="AR79" s="1" t="s">
        <v>186</v>
      </c>
      <c r="AS79" s="1" t="s">
        <v>76</v>
      </c>
      <c r="AT79" s="1" t="s">
        <v>77</v>
      </c>
      <c r="AU79" s="1" t="s">
        <v>76</v>
      </c>
      <c r="AV79" s="1" t="s">
        <v>77</v>
      </c>
      <c r="AW79" s="1" t="s">
        <v>77</v>
      </c>
      <c r="AX79" s="1" t="s">
        <v>77</v>
      </c>
      <c r="AY79" s="1" t="s">
        <v>77</v>
      </c>
      <c r="AZ79" s="1" t="s">
        <v>76</v>
      </c>
      <c r="BA79" s="15" t="s">
        <v>76</v>
      </c>
      <c r="BB79" s="24" t="s">
        <v>1010</v>
      </c>
      <c r="BC79" s="24" t="s">
        <v>128</v>
      </c>
      <c r="BD79" s="24" t="s">
        <v>129</v>
      </c>
      <c r="BE79" s="24" t="s">
        <v>262</v>
      </c>
      <c r="BF79" s="1" t="s">
        <v>263</v>
      </c>
    </row>
    <row r="80" ht="24" hidden="1" customHeight="1" spans="1:58">
      <c r="A80" s="1" t="str">
        <f>_xlfn.DISPIMG("ID_8C5E730FAC7B4A6C8C8AD5974678E128",1)</f>
        <v>=DISPIMG("ID_8C5E730FAC7B4A6C8C8AD5974678E128",1)</v>
      </c>
      <c r="B80" s="15" t="s">
        <v>1011</v>
      </c>
      <c r="C80" s="15" t="s">
        <v>1012</v>
      </c>
      <c r="D80" s="15" t="s">
        <v>1013</v>
      </c>
      <c r="E80" s="15" t="s">
        <v>207</v>
      </c>
      <c r="F80" s="15" t="s">
        <v>208</v>
      </c>
      <c r="G80" s="15" t="s">
        <v>1014</v>
      </c>
      <c r="H80" s="15" t="s">
        <v>1015</v>
      </c>
      <c r="I80" s="15" t="s">
        <v>1016</v>
      </c>
      <c r="J80" s="15" t="s">
        <v>1017</v>
      </c>
      <c r="K80" s="15" t="s">
        <v>65</v>
      </c>
      <c r="L80" s="15" t="s">
        <v>66</v>
      </c>
      <c r="M80" s="18">
        <v>130599</v>
      </c>
      <c r="N80" s="18">
        <v>-30991</v>
      </c>
      <c r="O80" s="19">
        <v>-0.2896</v>
      </c>
      <c r="P80" s="20" t="s">
        <v>67</v>
      </c>
      <c r="Q80" s="23" t="s">
        <v>1018</v>
      </c>
      <c r="R80" s="18">
        <v>224</v>
      </c>
      <c r="S80" s="19">
        <v>-0.1485</v>
      </c>
      <c r="T80" s="18">
        <v>5821.76</v>
      </c>
      <c r="U80" s="24" t="s">
        <v>76</v>
      </c>
      <c r="V80" s="18" t="s">
        <v>76</v>
      </c>
      <c r="W80" s="25">
        <v>144</v>
      </c>
      <c r="X80" s="26">
        <v>25.99</v>
      </c>
      <c r="Z80" s="8"/>
      <c r="AA80" s="18">
        <v>14</v>
      </c>
      <c r="AB80" s="25">
        <v>209</v>
      </c>
      <c r="AC80" s="18">
        <v>6</v>
      </c>
      <c r="AD80" s="29">
        <v>4.3</v>
      </c>
      <c r="AE80" s="30">
        <v>0.0268</v>
      </c>
      <c r="AF80" s="26">
        <v>4.61</v>
      </c>
      <c r="AG80" s="19">
        <v>0.6226</v>
      </c>
      <c r="AI80" s="1" t="s">
        <v>1019</v>
      </c>
      <c r="AJ80" s="25">
        <v>569</v>
      </c>
      <c r="AK80" s="1" t="s">
        <v>71</v>
      </c>
      <c r="AL80" s="25">
        <v>10</v>
      </c>
      <c r="AM80" s="25">
        <v>1</v>
      </c>
      <c r="AN80" s="15" t="s">
        <v>216</v>
      </c>
      <c r="AO80" s="1" t="s">
        <v>71</v>
      </c>
      <c r="AP80" s="1" t="s">
        <v>73</v>
      </c>
      <c r="AQ80" s="15" t="s">
        <v>217</v>
      </c>
      <c r="AR80" s="1" t="s">
        <v>218</v>
      </c>
      <c r="AS80" s="1" t="s">
        <v>76</v>
      </c>
      <c r="AT80" s="1" t="s">
        <v>77</v>
      </c>
      <c r="AU80" s="1" t="s">
        <v>76</v>
      </c>
      <c r="AV80" s="1" t="s">
        <v>77</v>
      </c>
      <c r="AW80" s="1" t="s">
        <v>76</v>
      </c>
      <c r="AX80" s="1" t="s">
        <v>77</v>
      </c>
      <c r="AY80" s="1" t="s">
        <v>77</v>
      </c>
      <c r="AZ80" s="1" t="s">
        <v>76</v>
      </c>
      <c r="BA80" s="15" t="s">
        <v>76</v>
      </c>
      <c r="BB80" s="24" t="s">
        <v>1020</v>
      </c>
      <c r="BD80" s="24" t="s">
        <v>76</v>
      </c>
      <c r="BE80" s="24" t="s">
        <v>1021</v>
      </c>
      <c r="BF80" s="1" t="s">
        <v>1022</v>
      </c>
    </row>
    <row r="81" ht="24" hidden="1" customHeight="1" spans="1:58">
      <c r="A81" s="1" t="str">
        <f>_xlfn.DISPIMG("ID_2B1B7166868741E985F041F8EEB24459",1)</f>
        <v>=DISPIMG("ID_2B1B7166868741E985F041F8EEB24459",1)</v>
      </c>
      <c r="B81" s="15" t="s">
        <v>1023</v>
      </c>
      <c r="C81" s="15" t="s">
        <v>154</v>
      </c>
      <c r="D81" s="15" t="s">
        <v>505</v>
      </c>
      <c r="E81" s="15" t="s">
        <v>1024</v>
      </c>
      <c r="F81" s="15" t="s">
        <v>1025</v>
      </c>
      <c r="G81" s="15" t="s">
        <v>1026</v>
      </c>
      <c r="H81" s="15" t="s">
        <v>1027</v>
      </c>
      <c r="I81" s="15" t="s">
        <v>1028</v>
      </c>
      <c r="J81" s="15" t="s">
        <v>1029</v>
      </c>
      <c r="K81" s="15" t="s">
        <v>65</v>
      </c>
      <c r="L81" s="15" t="s">
        <v>66</v>
      </c>
      <c r="M81" s="18">
        <v>417519</v>
      </c>
      <c r="N81" s="18">
        <v>171007</v>
      </c>
      <c r="O81" s="19">
        <v>0.401</v>
      </c>
      <c r="P81" s="20" t="s">
        <v>67</v>
      </c>
      <c r="Q81" s="23" t="s">
        <v>1030</v>
      </c>
      <c r="R81" s="18">
        <v>126</v>
      </c>
      <c r="S81" s="19">
        <v>0.3158</v>
      </c>
      <c r="T81" s="18">
        <v>1699.74</v>
      </c>
      <c r="U81" s="24" t="s">
        <v>76</v>
      </c>
      <c r="V81" s="18" t="s">
        <v>76</v>
      </c>
      <c r="W81" s="25">
        <v>36</v>
      </c>
      <c r="X81" s="26">
        <v>29.98</v>
      </c>
      <c r="Z81" s="24" t="s">
        <v>1031</v>
      </c>
      <c r="AB81" s="25">
        <v>35</v>
      </c>
      <c r="AC81" s="18">
        <v>1</v>
      </c>
      <c r="AD81" s="29">
        <v>4.4</v>
      </c>
      <c r="AE81" s="30">
        <v>0.0079</v>
      </c>
      <c r="AG81" s="19">
        <v>0</v>
      </c>
      <c r="AI81" s="1" t="s">
        <v>1032</v>
      </c>
      <c r="AJ81" s="25">
        <v>194</v>
      </c>
      <c r="AK81" s="1" t="s">
        <v>71</v>
      </c>
      <c r="AL81" s="25">
        <v>9.6</v>
      </c>
      <c r="AM81" s="25">
        <v>1</v>
      </c>
      <c r="AN81" s="15" t="s">
        <v>1033</v>
      </c>
      <c r="AO81" s="1" t="s">
        <v>71</v>
      </c>
      <c r="AP81" s="1" t="s">
        <v>73</v>
      </c>
      <c r="AQ81" s="15" t="s">
        <v>1034</v>
      </c>
      <c r="AR81" s="1" t="s">
        <v>1035</v>
      </c>
      <c r="AS81" s="1" t="s">
        <v>76</v>
      </c>
      <c r="AT81" s="1" t="s">
        <v>76</v>
      </c>
      <c r="AU81" s="1" t="s">
        <v>76</v>
      </c>
      <c r="AV81" s="1" t="s">
        <v>77</v>
      </c>
      <c r="AW81" s="1" t="s">
        <v>77</v>
      </c>
      <c r="AX81" s="1" t="s">
        <v>77</v>
      </c>
      <c r="AY81" s="1" t="s">
        <v>77</v>
      </c>
      <c r="AZ81" s="1" t="s">
        <v>76</v>
      </c>
      <c r="BA81" s="15" t="s">
        <v>76</v>
      </c>
      <c r="BC81" s="24" t="s">
        <v>512</v>
      </c>
      <c r="BD81" s="24" t="s">
        <v>513</v>
      </c>
      <c r="BE81" s="24" t="s">
        <v>1036</v>
      </c>
      <c r="BF81" s="1" t="s">
        <v>1037</v>
      </c>
    </row>
    <row r="82" ht="24" hidden="1" customHeight="1" spans="1:58">
      <c r="A82" s="1" t="str">
        <f>_xlfn.DISPIMG("ID_BD93ACE6EC2F4825AE24F372D29E5C4F",1)</f>
        <v>=DISPIMG("ID_BD93ACE6EC2F4825AE24F372D29E5C4F",1)</v>
      </c>
      <c r="B82" s="15" t="s">
        <v>1038</v>
      </c>
      <c r="C82" s="15" t="s">
        <v>569</v>
      </c>
      <c r="D82" s="15" t="s">
        <v>1039</v>
      </c>
      <c r="E82" s="15" t="s">
        <v>1040</v>
      </c>
      <c r="F82" s="15" t="s">
        <v>1041</v>
      </c>
      <c r="G82" s="15" t="s">
        <v>1042</v>
      </c>
      <c r="H82" s="15" t="s">
        <v>1043</v>
      </c>
      <c r="I82" s="15" t="s">
        <v>1044</v>
      </c>
      <c r="J82" s="15" t="s">
        <v>1045</v>
      </c>
      <c r="K82" s="15" t="s">
        <v>65</v>
      </c>
      <c r="L82" s="15" t="s">
        <v>66</v>
      </c>
      <c r="M82" s="18">
        <v>110450</v>
      </c>
      <c r="N82" s="18">
        <v>-23394</v>
      </c>
      <c r="O82" s="19">
        <v>-0.2337</v>
      </c>
      <c r="P82" s="20" t="s">
        <v>67</v>
      </c>
      <c r="Q82" s="23" t="s">
        <v>1046</v>
      </c>
      <c r="R82" s="18">
        <v>242</v>
      </c>
      <c r="S82" s="19">
        <v>0.7914</v>
      </c>
      <c r="T82" s="18">
        <v>2417.5798</v>
      </c>
      <c r="U82" s="24" t="s">
        <v>76</v>
      </c>
      <c r="V82" s="18" t="s">
        <v>76</v>
      </c>
      <c r="W82" s="25">
        <v>31</v>
      </c>
      <c r="X82" s="26">
        <v>9.99</v>
      </c>
      <c r="Z82" s="8"/>
      <c r="AB82" s="25">
        <v>34</v>
      </c>
      <c r="AC82" s="18">
        <v>5</v>
      </c>
      <c r="AD82" s="29">
        <v>3.3</v>
      </c>
      <c r="AE82" s="30">
        <v>0.0207</v>
      </c>
      <c r="AF82" s="26">
        <v>4.23</v>
      </c>
      <c r="AG82" s="19">
        <v>0.3766</v>
      </c>
      <c r="AI82" s="1" t="s">
        <v>1047</v>
      </c>
      <c r="AJ82" s="25">
        <v>311</v>
      </c>
      <c r="AK82" s="1" t="s">
        <v>71</v>
      </c>
      <c r="AL82" s="25">
        <v>9.5</v>
      </c>
      <c r="AM82" s="25">
        <v>1</v>
      </c>
      <c r="AN82" s="15" t="s">
        <v>1040</v>
      </c>
      <c r="AO82" s="1" t="s">
        <v>71</v>
      </c>
      <c r="AP82" s="1" t="s">
        <v>73</v>
      </c>
      <c r="AQ82" s="15" t="s">
        <v>1048</v>
      </c>
      <c r="AR82" s="1" t="s">
        <v>1049</v>
      </c>
      <c r="AS82" s="1" t="s">
        <v>76</v>
      </c>
      <c r="AT82" s="1" t="s">
        <v>76</v>
      </c>
      <c r="AU82" s="1" t="s">
        <v>76</v>
      </c>
      <c r="AV82" s="1" t="s">
        <v>77</v>
      </c>
      <c r="AW82" s="1" t="s">
        <v>77</v>
      </c>
      <c r="AX82" s="1" t="s">
        <v>76</v>
      </c>
      <c r="AY82" s="1" t="s">
        <v>77</v>
      </c>
      <c r="AZ82" s="1" t="s">
        <v>76</v>
      </c>
      <c r="BA82" s="15" t="s">
        <v>76</v>
      </c>
      <c r="BC82" s="24" t="s">
        <v>187</v>
      </c>
      <c r="BD82" s="24" t="s">
        <v>188</v>
      </c>
      <c r="BE82" s="24" t="s">
        <v>1050</v>
      </c>
      <c r="BF82" s="1" t="s">
        <v>1051</v>
      </c>
    </row>
    <row r="83" ht="24" hidden="1" customHeight="1" spans="1:58">
      <c r="A83" s="1" t="str">
        <f>_xlfn.DISPIMG("ID_C5A0B5D16E0D4BCDA054D696A4D36FFB",1)</f>
        <v>=DISPIMG("ID_C5A0B5D16E0D4BCDA054D696A4D36FFB",1)</v>
      </c>
      <c r="B83" s="15" t="s">
        <v>1052</v>
      </c>
      <c r="C83" s="15" t="s">
        <v>224</v>
      </c>
      <c r="D83" s="15" t="s">
        <v>1053</v>
      </c>
      <c r="E83" s="15" t="s">
        <v>1054</v>
      </c>
      <c r="F83" s="15" t="s">
        <v>1055</v>
      </c>
      <c r="G83" s="15" t="s">
        <v>1056</v>
      </c>
      <c r="H83" s="15" t="s">
        <v>1057</v>
      </c>
      <c r="I83" s="15" t="s">
        <v>1058</v>
      </c>
      <c r="J83" s="15" t="s">
        <v>1059</v>
      </c>
      <c r="K83" s="15" t="s">
        <v>65</v>
      </c>
      <c r="L83" s="15" t="s">
        <v>66</v>
      </c>
      <c r="M83" s="18">
        <v>229016</v>
      </c>
      <c r="N83" s="18">
        <v>-72149</v>
      </c>
      <c r="O83" s="19">
        <v>-0.2678</v>
      </c>
      <c r="P83" s="20" t="s">
        <v>67</v>
      </c>
      <c r="Q83" s="23" t="s">
        <v>1060</v>
      </c>
      <c r="R83" s="18">
        <v>123</v>
      </c>
      <c r="S83" s="19">
        <v>-0.2919</v>
      </c>
      <c r="T83" s="18">
        <v>2950.77</v>
      </c>
      <c r="U83" s="24" t="s">
        <v>76</v>
      </c>
      <c r="V83" s="18" t="s">
        <v>76</v>
      </c>
      <c r="W83" s="25">
        <v>44</v>
      </c>
      <c r="X83" s="26">
        <v>23.99</v>
      </c>
      <c r="Z83" s="24" t="s">
        <v>274</v>
      </c>
      <c r="AA83" s="18">
        <v>9</v>
      </c>
      <c r="AB83" s="25">
        <v>58</v>
      </c>
      <c r="AC83" s="18">
        <v>2</v>
      </c>
      <c r="AD83" s="29">
        <v>4.1</v>
      </c>
      <c r="AE83" s="30">
        <v>0.0163</v>
      </c>
      <c r="AF83" s="26">
        <v>4.77</v>
      </c>
      <c r="AG83" s="19">
        <v>0.6012</v>
      </c>
      <c r="AI83" s="1" t="s">
        <v>1061</v>
      </c>
      <c r="AJ83" s="25">
        <v>295</v>
      </c>
      <c r="AK83" s="1" t="s">
        <v>71</v>
      </c>
      <c r="AL83" s="25">
        <v>9.7</v>
      </c>
      <c r="AM83" s="25">
        <v>2</v>
      </c>
      <c r="AN83" s="15" t="s">
        <v>1062</v>
      </c>
      <c r="AO83" s="1" t="s">
        <v>71</v>
      </c>
      <c r="AP83" s="1" t="s">
        <v>73</v>
      </c>
      <c r="AQ83" s="15" t="s">
        <v>1063</v>
      </c>
      <c r="AR83" s="1" t="s">
        <v>1064</v>
      </c>
      <c r="AS83" s="1" t="s">
        <v>76</v>
      </c>
      <c r="AT83" s="1" t="s">
        <v>76</v>
      </c>
      <c r="AU83" s="1" t="s">
        <v>76</v>
      </c>
      <c r="AV83" s="1" t="s">
        <v>77</v>
      </c>
      <c r="AW83" s="1" t="s">
        <v>77</v>
      </c>
      <c r="AX83" s="1" t="s">
        <v>76</v>
      </c>
      <c r="AY83" s="1" t="s">
        <v>76</v>
      </c>
      <c r="AZ83" s="1" t="s">
        <v>76</v>
      </c>
      <c r="BA83" s="15" t="s">
        <v>76</v>
      </c>
      <c r="BC83" s="24" t="s">
        <v>1065</v>
      </c>
      <c r="BD83" s="24" t="s">
        <v>1066</v>
      </c>
      <c r="BE83" s="24" t="s">
        <v>1067</v>
      </c>
      <c r="BF83" s="1" t="s">
        <v>1068</v>
      </c>
    </row>
    <row r="84" ht="24" hidden="1" customHeight="1" spans="1:58">
      <c r="A84" s="1" t="str">
        <f>_xlfn.DISPIMG("ID_E1D9CA01BC2B4CF9AEDC354D1297F25A",1)</f>
        <v>=DISPIMG("ID_E1D9CA01BC2B4CF9AEDC354D1297F25A",1)</v>
      </c>
      <c r="B84" s="15" t="s">
        <v>1069</v>
      </c>
      <c r="C84" s="15" t="s">
        <v>282</v>
      </c>
      <c r="D84" s="15" t="s">
        <v>1070</v>
      </c>
      <c r="E84" s="15" t="s">
        <v>176</v>
      </c>
      <c r="F84" s="15" t="s">
        <v>177</v>
      </c>
      <c r="G84" s="15" t="s">
        <v>1071</v>
      </c>
      <c r="H84" s="15" t="s">
        <v>1072</v>
      </c>
      <c r="I84" s="15" t="s">
        <v>1073</v>
      </c>
      <c r="J84" s="15" t="s">
        <v>1074</v>
      </c>
      <c r="K84" s="15" t="s">
        <v>271</v>
      </c>
      <c r="L84" s="15" t="s">
        <v>66</v>
      </c>
      <c r="M84" s="18">
        <v>52970</v>
      </c>
      <c r="N84" s="18">
        <v>246</v>
      </c>
      <c r="O84" s="19">
        <v>0.0051</v>
      </c>
      <c r="P84" s="20" t="s">
        <v>272</v>
      </c>
      <c r="Q84" s="23" t="s">
        <v>1075</v>
      </c>
      <c r="R84" s="18">
        <v>828</v>
      </c>
      <c r="S84" s="19">
        <v>-0.0469</v>
      </c>
      <c r="T84" s="18">
        <v>16551.72</v>
      </c>
      <c r="U84" s="24" t="s">
        <v>69</v>
      </c>
      <c r="V84" s="18">
        <v>1999</v>
      </c>
      <c r="W84" s="25">
        <v>98</v>
      </c>
      <c r="X84" s="26">
        <v>19.99</v>
      </c>
      <c r="Z84" s="8"/>
      <c r="AA84" s="18">
        <v>11</v>
      </c>
      <c r="AB84" s="25">
        <v>389</v>
      </c>
      <c r="AC84" s="18">
        <v>15</v>
      </c>
      <c r="AD84" s="29">
        <v>4.3</v>
      </c>
      <c r="AE84" s="30">
        <v>0.0181</v>
      </c>
      <c r="AF84" s="26">
        <v>4.94</v>
      </c>
      <c r="AG84" s="19">
        <v>0.5529</v>
      </c>
      <c r="AI84" s="1" t="s">
        <v>1076</v>
      </c>
      <c r="AJ84" s="25">
        <v>448</v>
      </c>
      <c r="AK84" s="1" t="s">
        <v>71</v>
      </c>
      <c r="AL84" s="25">
        <v>9.8</v>
      </c>
      <c r="AM84" s="25">
        <v>1</v>
      </c>
      <c r="AN84" s="15" t="s">
        <v>184</v>
      </c>
      <c r="AO84" s="1" t="s">
        <v>71</v>
      </c>
      <c r="AP84" s="1" t="s">
        <v>73</v>
      </c>
      <c r="AQ84" s="15" t="s">
        <v>185</v>
      </c>
      <c r="AR84" s="1" t="s">
        <v>186</v>
      </c>
      <c r="AS84" s="1" t="s">
        <v>76</v>
      </c>
      <c r="AT84" s="1" t="s">
        <v>76</v>
      </c>
      <c r="AU84" s="1" t="s">
        <v>76</v>
      </c>
      <c r="AV84" s="1" t="s">
        <v>77</v>
      </c>
      <c r="AW84" s="1" t="s">
        <v>77</v>
      </c>
      <c r="AX84" s="1" t="s">
        <v>76</v>
      </c>
      <c r="AY84" s="1" t="s">
        <v>77</v>
      </c>
      <c r="AZ84" s="1" t="s">
        <v>76</v>
      </c>
      <c r="BA84" s="15" t="s">
        <v>76</v>
      </c>
      <c r="BC84" s="24" t="s">
        <v>200</v>
      </c>
      <c r="BD84" s="24" t="s">
        <v>201</v>
      </c>
      <c r="BE84" s="24" t="s">
        <v>1077</v>
      </c>
      <c r="BF84" s="1" t="s">
        <v>1078</v>
      </c>
    </row>
    <row r="85" ht="24" hidden="1" customHeight="1" spans="1:58">
      <c r="A85" s="1" t="str">
        <f>_xlfn.DISPIMG("ID_30D42F93DFE24E1D9BAFC6A4C90A173F",1)</f>
        <v>=DISPIMG("ID_30D42F93DFE24E1D9BAFC6A4C90A173F",1)</v>
      </c>
      <c r="B85" s="15" t="s">
        <v>1079</v>
      </c>
      <c r="C85" s="15" t="s">
        <v>438</v>
      </c>
      <c r="D85" s="15" t="s">
        <v>206</v>
      </c>
      <c r="E85" s="15" t="s">
        <v>207</v>
      </c>
      <c r="F85" s="15" t="s">
        <v>208</v>
      </c>
      <c r="G85" s="15" t="s">
        <v>209</v>
      </c>
      <c r="H85" s="15" t="s">
        <v>1080</v>
      </c>
      <c r="I85" s="15" t="s">
        <v>1081</v>
      </c>
      <c r="J85" s="15" t="s">
        <v>212</v>
      </c>
      <c r="K85" s="15" t="s">
        <v>65</v>
      </c>
      <c r="L85" s="15" t="s">
        <v>66</v>
      </c>
      <c r="M85" s="18">
        <v>24588</v>
      </c>
      <c r="N85" s="18">
        <v>-12532</v>
      </c>
      <c r="O85" s="19">
        <v>-0.9058</v>
      </c>
      <c r="P85" s="20" t="s">
        <v>67</v>
      </c>
      <c r="Q85" s="23" t="s">
        <v>213</v>
      </c>
      <c r="R85" s="18">
        <v>2042</v>
      </c>
      <c r="S85" s="19">
        <v>-0.2736</v>
      </c>
      <c r="T85" s="18">
        <v>53071.58</v>
      </c>
      <c r="U85" s="24" t="s">
        <v>173</v>
      </c>
      <c r="V85" s="18">
        <v>5198</v>
      </c>
      <c r="W85" s="25">
        <v>174</v>
      </c>
      <c r="X85" s="26">
        <v>25.99</v>
      </c>
      <c r="Z85" s="24" t="s">
        <v>214</v>
      </c>
      <c r="AA85" s="18">
        <v>34</v>
      </c>
      <c r="AB85" s="25">
        <v>723</v>
      </c>
      <c r="AC85" s="18">
        <v>15</v>
      </c>
      <c r="AD85" s="29">
        <v>4.2</v>
      </c>
      <c r="AE85" s="30">
        <v>0.0073</v>
      </c>
      <c r="AF85" s="26">
        <v>5.39</v>
      </c>
      <c r="AG85" s="19">
        <v>0.5926</v>
      </c>
      <c r="AI85" s="1" t="s">
        <v>215</v>
      </c>
      <c r="AJ85" s="25">
        <v>674</v>
      </c>
      <c r="AK85" s="1" t="s">
        <v>71</v>
      </c>
      <c r="AL85" s="25">
        <v>9.9</v>
      </c>
      <c r="AM85" s="25">
        <v>1</v>
      </c>
      <c r="AN85" s="15" t="s">
        <v>216</v>
      </c>
      <c r="AO85" s="1" t="s">
        <v>71</v>
      </c>
      <c r="AP85" s="1" t="s">
        <v>73</v>
      </c>
      <c r="AQ85" s="15" t="s">
        <v>217</v>
      </c>
      <c r="AR85" s="1" t="s">
        <v>218</v>
      </c>
      <c r="AS85" s="1" t="s">
        <v>76</v>
      </c>
      <c r="AT85" s="1" t="s">
        <v>77</v>
      </c>
      <c r="AU85" s="1" t="s">
        <v>76</v>
      </c>
      <c r="AV85" s="1" t="s">
        <v>77</v>
      </c>
      <c r="AW85" s="1" t="s">
        <v>76</v>
      </c>
      <c r="AX85" s="1" t="s">
        <v>76</v>
      </c>
      <c r="AY85" s="1" t="s">
        <v>77</v>
      </c>
      <c r="AZ85" s="1" t="s">
        <v>76</v>
      </c>
      <c r="BA85" s="15" t="s">
        <v>76</v>
      </c>
      <c r="BB85" s="24" t="s">
        <v>1082</v>
      </c>
      <c r="BC85" s="24" t="s">
        <v>219</v>
      </c>
      <c r="BD85" s="24" t="s">
        <v>220</v>
      </c>
      <c r="BE85" s="24" t="s">
        <v>1021</v>
      </c>
      <c r="BF85" s="1" t="s">
        <v>1022</v>
      </c>
    </row>
    <row r="86" ht="24" customHeight="1" spans="1:58">
      <c r="A86" s="1" t="str">
        <f>_xlfn.DISPIMG("ID_0C8DEFC666C44787B08618FABD5B18E9",1)</f>
        <v>=DISPIMG("ID_0C8DEFC666C44787B08618FABD5B18E9",1)</v>
      </c>
      <c r="B86" s="15" t="s">
        <v>1083</v>
      </c>
      <c r="C86" s="15" t="s">
        <v>1084</v>
      </c>
      <c r="D86" s="15" t="s">
        <v>1085</v>
      </c>
      <c r="E86" s="15" t="s">
        <v>103</v>
      </c>
      <c r="F86" s="15" t="s">
        <v>104</v>
      </c>
      <c r="G86" s="15" t="s">
        <v>1086</v>
      </c>
      <c r="H86" s="15" t="s">
        <v>1087</v>
      </c>
      <c r="I86" s="15" t="s">
        <v>1088</v>
      </c>
      <c r="J86" s="15" t="s">
        <v>1089</v>
      </c>
      <c r="K86" s="15" t="s">
        <v>65</v>
      </c>
      <c r="L86" s="15" t="s">
        <v>66</v>
      </c>
      <c r="M86" s="18">
        <v>146481</v>
      </c>
      <c r="N86" s="18">
        <v>35625</v>
      </c>
      <c r="O86" s="19">
        <v>0.1887</v>
      </c>
      <c r="P86" s="20" t="s">
        <v>67</v>
      </c>
      <c r="Q86" s="23" t="s">
        <v>1090</v>
      </c>
      <c r="R86" s="18">
        <v>175</v>
      </c>
      <c r="S86" s="19">
        <v>-0.3519</v>
      </c>
      <c r="T86" s="18">
        <v>2973.25</v>
      </c>
      <c r="U86" s="24" t="s">
        <v>76</v>
      </c>
      <c r="V86" s="18" t="s">
        <v>76</v>
      </c>
      <c r="W86" s="25">
        <v>32</v>
      </c>
      <c r="X86" s="26">
        <v>16.99</v>
      </c>
      <c r="Z86" s="8"/>
      <c r="AB86" s="25">
        <v>209</v>
      </c>
      <c r="AC86" s="18">
        <v>6</v>
      </c>
      <c r="AD86" s="29">
        <v>4.2</v>
      </c>
      <c r="AE86" s="30">
        <v>0.0343</v>
      </c>
      <c r="AF86" s="26">
        <v>6.92</v>
      </c>
      <c r="AG86" s="19">
        <v>0.3927</v>
      </c>
      <c r="AI86" s="1" t="s">
        <v>1091</v>
      </c>
      <c r="AJ86" s="25">
        <v>426</v>
      </c>
      <c r="AK86" s="1" t="s">
        <v>71</v>
      </c>
      <c r="AL86" s="25">
        <v>10</v>
      </c>
      <c r="AM86" s="25">
        <v>1</v>
      </c>
      <c r="AN86" s="15" t="s">
        <v>103</v>
      </c>
      <c r="AO86" s="1" t="s">
        <v>71</v>
      </c>
      <c r="AP86" s="1" t="s">
        <v>73</v>
      </c>
      <c r="AQ86" s="15" t="s">
        <v>146</v>
      </c>
      <c r="AR86" s="1" t="s">
        <v>147</v>
      </c>
      <c r="AS86" s="1" t="s">
        <v>76</v>
      </c>
      <c r="AT86" s="1" t="s">
        <v>76</v>
      </c>
      <c r="AU86" s="1" t="s">
        <v>76</v>
      </c>
      <c r="AV86" s="1" t="s">
        <v>77</v>
      </c>
      <c r="AW86" s="1" t="s">
        <v>77</v>
      </c>
      <c r="AX86" s="1" t="s">
        <v>76</v>
      </c>
      <c r="AY86" s="1" t="s">
        <v>77</v>
      </c>
      <c r="AZ86" s="1" t="s">
        <v>76</v>
      </c>
      <c r="BA86" s="15" t="s">
        <v>76</v>
      </c>
      <c r="BC86" s="24" t="s">
        <v>499</v>
      </c>
      <c r="BD86" s="24" t="s">
        <v>500</v>
      </c>
      <c r="BE86" s="24" t="s">
        <v>1092</v>
      </c>
      <c r="BF86" s="1" t="s">
        <v>1093</v>
      </c>
    </row>
    <row r="87" ht="24" hidden="1" customHeight="1" spans="1:58">
      <c r="A87" s="1" t="str">
        <f>_xlfn.DISPIMG("ID_2CCB73B2F9384B3BB68EC1F8E7FC7769",1)</f>
        <v>=DISPIMG("ID_2CCB73B2F9384B3BB68EC1F8E7FC7769",1)</v>
      </c>
      <c r="B87" s="15" t="s">
        <v>1094</v>
      </c>
      <c r="C87" s="15" t="s">
        <v>1095</v>
      </c>
      <c r="D87" s="15" t="s">
        <v>452</v>
      </c>
      <c r="E87" s="15" t="s">
        <v>453</v>
      </c>
      <c r="F87" s="15" t="s">
        <v>454</v>
      </c>
      <c r="G87" s="15" t="s">
        <v>1096</v>
      </c>
      <c r="H87" s="15" t="s">
        <v>1097</v>
      </c>
      <c r="I87" s="15" t="s">
        <v>1098</v>
      </c>
      <c r="J87" s="15" t="s">
        <v>1099</v>
      </c>
      <c r="K87" s="15" t="s">
        <v>65</v>
      </c>
      <c r="L87" s="15" t="s">
        <v>66</v>
      </c>
      <c r="M87" s="18">
        <v>151456</v>
      </c>
      <c r="N87" s="18">
        <v>-45598</v>
      </c>
      <c r="O87" s="19">
        <v>-0.2014</v>
      </c>
      <c r="P87" s="20" t="s">
        <v>67</v>
      </c>
      <c r="Q87" s="23" t="s">
        <v>1100</v>
      </c>
      <c r="R87" s="18">
        <v>143</v>
      </c>
      <c r="S87" s="19">
        <v>-0.5349</v>
      </c>
      <c r="T87" s="18">
        <v>2858.57</v>
      </c>
      <c r="U87" s="24" t="s">
        <v>76</v>
      </c>
      <c r="V87" s="18" t="s">
        <v>76</v>
      </c>
      <c r="W87" s="25">
        <v>58</v>
      </c>
      <c r="X87" s="26">
        <v>19.99</v>
      </c>
      <c r="Z87" s="8"/>
      <c r="AB87" s="25">
        <v>138</v>
      </c>
      <c r="AC87" s="18">
        <v>4</v>
      </c>
      <c r="AD87" s="29">
        <v>4.6</v>
      </c>
      <c r="AE87" s="30">
        <v>0.028</v>
      </c>
      <c r="AF87" s="26">
        <v>5</v>
      </c>
      <c r="AG87" s="19">
        <v>0.5499</v>
      </c>
      <c r="AI87" s="1" t="s">
        <v>1101</v>
      </c>
      <c r="AJ87" s="25">
        <v>329</v>
      </c>
      <c r="AK87" s="1" t="s">
        <v>71</v>
      </c>
      <c r="AL87" s="25">
        <v>10</v>
      </c>
      <c r="AM87" s="25">
        <v>1</v>
      </c>
      <c r="AN87" s="15" t="s">
        <v>453</v>
      </c>
      <c r="AO87" s="1" t="s">
        <v>71</v>
      </c>
      <c r="AP87" s="1" t="s">
        <v>73</v>
      </c>
      <c r="AQ87" s="15" t="s">
        <v>461</v>
      </c>
      <c r="AR87" s="1" t="s">
        <v>462</v>
      </c>
      <c r="AS87" s="1" t="s">
        <v>76</v>
      </c>
      <c r="AT87" s="1" t="s">
        <v>76</v>
      </c>
      <c r="AU87" s="1" t="s">
        <v>76</v>
      </c>
      <c r="AV87" s="1" t="s">
        <v>77</v>
      </c>
      <c r="AW87" s="1" t="s">
        <v>77</v>
      </c>
      <c r="AX87" s="1" t="s">
        <v>76</v>
      </c>
      <c r="AY87" s="1" t="s">
        <v>77</v>
      </c>
      <c r="AZ87" s="1" t="s">
        <v>76</v>
      </c>
      <c r="BA87" s="15" t="s">
        <v>76</v>
      </c>
      <c r="BC87" s="24" t="s">
        <v>463</v>
      </c>
      <c r="BD87" s="24" t="s">
        <v>464</v>
      </c>
      <c r="BE87" s="24" t="s">
        <v>465</v>
      </c>
      <c r="BF87" s="1" t="s">
        <v>466</v>
      </c>
    </row>
    <row r="88" ht="24" hidden="1" customHeight="1" spans="1:58">
      <c r="A88" s="1" t="str">
        <f>_xlfn.DISPIMG("ID_2E1F94CC0B864DDA9DFB212D5FA1F478",1)</f>
        <v>=DISPIMG("ID_2E1F94CC0B864DDA9DFB212D5FA1F478",1)</v>
      </c>
      <c r="B88" s="15" t="s">
        <v>1102</v>
      </c>
      <c r="C88" s="15" t="s">
        <v>1103</v>
      </c>
      <c r="D88" s="15" t="s">
        <v>1104</v>
      </c>
      <c r="E88" s="15" t="s">
        <v>1105</v>
      </c>
      <c r="F88" s="15" t="s">
        <v>1106</v>
      </c>
      <c r="G88" s="15" t="s">
        <v>1107</v>
      </c>
      <c r="H88" s="15" t="s">
        <v>1108</v>
      </c>
      <c r="I88" s="15" t="s">
        <v>1109</v>
      </c>
      <c r="J88" s="15" t="s">
        <v>1110</v>
      </c>
      <c r="K88" s="15" t="s">
        <v>65</v>
      </c>
      <c r="L88" s="15" t="s">
        <v>66</v>
      </c>
      <c r="M88" s="18">
        <v>203688</v>
      </c>
      <c r="N88" s="18">
        <v>-79221</v>
      </c>
      <c r="O88" s="19">
        <v>-0.5113</v>
      </c>
      <c r="P88" s="20" t="s">
        <v>67</v>
      </c>
      <c r="Q88" s="23" t="s">
        <v>1111</v>
      </c>
      <c r="R88" s="18">
        <v>98</v>
      </c>
      <c r="S88" s="19">
        <v>-0.5177</v>
      </c>
      <c r="T88" s="18">
        <v>836.92</v>
      </c>
      <c r="U88" s="24" t="s">
        <v>76</v>
      </c>
      <c r="V88" s="18" t="s">
        <v>76</v>
      </c>
      <c r="W88" s="25">
        <v>15</v>
      </c>
      <c r="X88" s="26">
        <v>10.99</v>
      </c>
      <c r="Z88" s="24" t="s">
        <v>214</v>
      </c>
      <c r="AB88" s="25">
        <v>36</v>
      </c>
      <c r="AC88" s="18">
        <v>0</v>
      </c>
      <c r="AD88" s="29">
        <v>4.3</v>
      </c>
      <c r="AE88" s="30">
        <v>0</v>
      </c>
      <c r="AG88" s="19">
        <v>0</v>
      </c>
      <c r="AI88" s="1" t="s">
        <v>1112</v>
      </c>
      <c r="AJ88" s="25">
        <v>269</v>
      </c>
      <c r="AK88" s="1" t="s">
        <v>71</v>
      </c>
      <c r="AL88" s="25">
        <v>10</v>
      </c>
      <c r="AM88" s="25">
        <v>1</v>
      </c>
      <c r="AN88" s="15" t="s">
        <v>1113</v>
      </c>
      <c r="AO88" s="1" t="s">
        <v>71</v>
      </c>
      <c r="AP88" s="1" t="s">
        <v>73</v>
      </c>
      <c r="AQ88" s="15" t="s">
        <v>1114</v>
      </c>
      <c r="AR88" s="1" t="s">
        <v>1115</v>
      </c>
      <c r="AS88" s="1" t="s">
        <v>76</v>
      </c>
      <c r="AT88" s="1" t="s">
        <v>77</v>
      </c>
      <c r="AU88" s="1" t="s">
        <v>76</v>
      </c>
      <c r="AV88" s="1" t="s">
        <v>77</v>
      </c>
      <c r="AW88" s="1" t="s">
        <v>77</v>
      </c>
      <c r="AX88" s="1" t="s">
        <v>76</v>
      </c>
      <c r="AY88" s="1" t="s">
        <v>76</v>
      </c>
      <c r="AZ88" s="1" t="s">
        <v>76</v>
      </c>
      <c r="BA88" s="15" t="s">
        <v>76</v>
      </c>
      <c r="BB88" s="24" t="s">
        <v>76</v>
      </c>
      <c r="BC88" s="24" t="s">
        <v>307</v>
      </c>
      <c r="BD88" s="24" t="s">
        <v>308</v>
      </c>
      <c r="BE88" s="24" t="s">
        <v>1116</v>
      </c>
      <c r="BF88" s="1" t="s">
        <v>1117</v>
      </c>
    </row>
    <row r="89" ht="24" hidden="1" customHeight="1" spans="1:58">
      <c r="A89" s="1" t="str">
        <f>_xlfn.DISPIMG("ID_67726F3A757C4035981D016D61C7B570",1)</f>
        <v>=DISPIMG("ID_67726F3A757C4035981D016D61C7B570",1)</v>
      </c>
      <c r="B89" s="15" t="s">
        <v>1118</v>
      </c>
      <c r="C89" s="15" t="s">
        <v>1119</v>
      </c>
      <c r="D89" s="15" t="s">
        <v>1120</v>
      </c>
      <c r="E89" s="15" t="s">
        <v>751</v>
      </c>
      <c r="F89" s="15" t="s">
        <v>752</v>
      </c>
      <c r="G89" s="15" t="s">
        <v>1121</v>
      </c>
      <c r="H89" s="15" t="s">
        <v>1122</v>
      </c>
      <c r="I89" s="15" t="s">
        <v>1123</v>
      </c>
      <c r="J89" s="15" t="s">
        <v>1124</v>
      </c>
      <c r="K89" s="15" t="s">
        <v>65</v>
      </c>
      <c r="L89" s="15" t="s">
        <v>66</v>
      </c>
      <c r="M89" s="18">
        <v>56757</v>
      </c>
      <c r="N89" s="18">
        <v>-19098</v>
      </c>
      <c r="O89" s="19">
        <v>-0.3305</v>
      </c>
      <c r="P89" s="20" t="s">
        <v>67</v>
      </c>
      <c r="Q89" s="23" t="s">
        <v>1125</v>
      </c>
      <c r="R89" s="18">
        <v>509</v>
      </c>
      <c r="S89" s="19">
        <v>-0.2074</v>
      </c>
      <c r="T89" s="18">
        <v>8647.91</v>
      </c>
      <c r="U89" s="24" t="s">
        <v>76</v>
      </c>
      <c r="V89" s="18" t="s">
        <v>76</v>
      </c>
      <c r="W89" s="25">
        <v>97</v>
      </c>
      <c r="X89" s="26">
        <v>16.99</v>
      </c>
      <c r="Z89" s="24" t="s">
        <v>230</v>
      </c>
      <c r="AB89" s="25">
        <v>120</v>
      </c>
      <c r="AC89" s="18">
        <v>11</v>
      </c>
      <c r="AD89" s="29">
        <v>4.3</v>
      </c>
      <c r="AE89" s="30">
        <v>0.0216</v>
      </c>
      <c r="AF89" s="26">
        <v>6.19</v>
      </c>
      <c r="AG89" s="19">
        <v>0.4357</v>
      </c>
      <c r="AI89" s="1" t="s">
        <v>1126</v>
      </c>
      <c r="AJ89" s="25">
        <v>359</v>
      </c>
      <c r="AK89" s="1" t="s">
        <v>71</v>
      </c>
      <c r="AL89" s="25">
        <v>9.8</v>
      </c>
      <c r="AM89" s="25">
        <v>1</v>
      </c>
      <c r="AN89" s="15" t="s">
        <v>1127</v>
      </c>
      <c r="AO89" s="1" t="s">
        <v>71</v>
      </c>
      <c r="AP89" s="1" t="s">
        <v>73</v>
      </c>
      <c r="AQ89" s="15" t="s">
        <v>1128</v>
      </c>
      <c r="AR89" s="1" t="s">
        <v>1129</v>
      </c>
      <c r="AS89" s="1" t="s">
        <v>76</v>
      </c>
      <c r="AT89" s="1" t="s">
        <v>77</v>
      </c>
      <c r="AU89" s="1" t="s">
        <v>76</v>
      </c>
      <c r="AV89" s="1" t="s">
        <v>77</v>
      </c>
      <c r="AW89" s="1" t="s">
        <v>77</v>
      </c>
      <c r="AX89" s="1" t="s">
        <v>76</v>
      </c>
      <c r="AY89" s="1" t="s">
        <v>77</v>
      </c>
      <c r="AZ89" s="1" t="s">
        <v>76</v>
      </c>
      <c r="BA89" s="15" t="s">
        <v>76</v>
      </c>
      <c r="BB89" s="24" t="s">
        <v>76</v>
      </c>
      <c r="BC89" s="24" t="s">
        <v>1130</v>
      </c>
      <c r="BD89" s="24" t="s">
        <v>776</v>
      </c>
      <c r="BE89" s="24" t="s">
        <v>1131</v>
      </c>
      <c r="BF89" s="1" t="s">
        <v>1132</v>
      </c>
    </row>
    <row r="90" ht="24" customHeight="1" spans="1:58">
      <c r="A90" s="1" t="str">
        <f>_xlfn.DISPIMG("ID_580F164C78864B6483BF17402D8035D9",1)</f>
        <v>=DISPIMG("ID_580F164C78864B6483BF17402D8035D9",1)</v>
      </c>
      <c r="B90" s="15" t="s">
        <v>1133</v>
      </c>
      <c r="C90" s="15" t="s">
        <v>1134</v>
      </c>
      <c r="D90" s="15" t="s">
        <v>1135</v>
      </c>
      <c r="E90" s="15" t="s">
        <v>103</v>
      </c>
      <c r="F90" s="15" t="s">
        <v>104</v>
      </c>
      <c r="G90" s="15" t="s">
        <v>1136</v>
      </c>
      <c r="H90" s="15" t="s">
        <v>1137</v>
      </c>
      <c r="I90" s="15" t="s">
        <v>1138</v>
      </c>
      <c r="J90" s="15" t="s">
        <v>1139</v>
      </c>
      <c r="K90" s="15" t="s">
        <v>65</v>
      </c>
      <c r="L90" s="15" t="s">
        <v>66</v>
      </c>
      <c r="M90" s="18">
        <v>15460</v>
      </c>
      <c r="N90" s="18">
        <v>21235</v>
      </c>
      <c r="O90" s="19">
        <v>0.609</v>
      </c>
      <c r="P90" s="20" t="s">
        <v>67</v>
      </c>
      <c r="Q90" s="23" t="s">
        <v>1140</v>
      </c>
      <c r="R90" s="18">
        <v>1100</v>
      </c>
      <c r="S90" s="19">
        <v>-0.3494</v>
      </c>
      <c r="T90" s="18">
        <v>26169.002</v>
      </c>
      <c r="U90" s="24" t="s">
        <v>76</v>
      </c>
      <c r="V90" s="18" t="s">
        <v>76</v>
      </c>
      <c r="W90" s="25">
        <v>99</v>
      </c>
      <c r="X90" s="26">
        <v>23.79</v>
      </c>
      <c r="Z90" s="24" t="s">
        <v>230</v>
      </c>
      <c r="AB90" s="25">
        <v>378</v>
      </c>
      <c r="AC90" s="18">
        <v>24</v>
      </c>
      <c r="AD90" s="29">
        <v>4.3</v>
      </c>
      <c r="AE90" s="30">
        <v>0.0218</v>
      </c>
      <c r="AF90" s="26">
        <v>3.92</v>
      </c>
      <c r="AG90" s="19">
        <v>0.6352</v>
      </c>
      <c r="AI90" s="1" t="s">
        <v>1141</v>
      </c>
      <c r="AJ90" s="25">
        <v>368</v>
      </c>
      <c r="AK90" s="1" t="s">
        <v>71</v>
      </c>
      <c r="AL90" s="25">
        <v>10</v>
      </c>
      <c r="AM90" s="25">
        <v>1</v>
      </c>
      <c r="AN90" s="15" t="s">
        <v>103</v>
      </c>
      <c r="AO90" s="1" t="s">
        <v>71</v>
      </c>
      <c r="AP90" s="1" t="s">
        <v>73</v>
      </c>
      <c r="AQ90" s="15" t="s">
        <v>146</v>
      </c>
      <c r="AR90" s="1" t="s">
        <v>147</v>
      </c>
      <c r="AS90" s="1" t="s">
        <v>76</v>
      </c>
      <c r="AT90" s="1" t="s">
        <v>76</v>
      </c>
      <c r="AU90" s="1" t="s">
        <v>76</v>
      </c>
      <c r="AV90" s="1" t="s">
        <v>77</v>
      </c>
      <c r="AW90" s="1" t="s">
        <v>77</v>
      </c>
      <c r="AX90" s="1" t="s">
        <v>76</v>
      </c>
      <c r="AY90" s="1" t="s">
        <v>76</v>
      </c>
      <c r="AZ90" s="1" t="s">
        <v>76</v>
      </c>
      <c r="BA90" s="15" t="s">
        <v>77</v>
      </c>
      <c r="BC90" s="24" t="s">
        <v>1142</v>
      </c>
      <c r="BD90" s="24" t="s">
        <v>1143</v>
      </c>
      <c r="BE90" s="24" t="s">
        <v>1144</v>
      </c>
      <c r="BF90" s="1" t="s">
        <v>1145</v>
      </c>
    </row>
    <row r="91" ht="24" hidden="1" customHeight="1" spans="1:58">
      <c r="A91" s="1" t="str">
        <f>_xlfn.DISPIMG("ID_E80D41F5588E462FBBB6255076DA8971",1)</f>
        <v>=DISPIMG("ID_E80D41F5588E462FBBB6255076DA8971",1)</v>
      </c>
      <c r="B91" s="15" t="s">
        <v>1146</v>
      </c>
      <c r="C91" s="15" t="s">
        <v>1147</v>
      </c>
      <c r="D91" s="15" t="s">
        <v>1148</v>
      </c>
      <c r="E91" s="15" t="s">
        <v>423</v>
      </c>
      <c r="F91" s="15" t="s">
        <v>424</v>
      </c>
      <c r="G91" s="15" t="s">
        <v>1149</v>
      </c>
      <c r="H91" s="15" t="s">
        <v>1150</v>
      </c>
      <c r="I91" s="15" t="s">
        <v>1151</v>
      </c>
      <c r="J91" s="15" t="s">
        <v>1152</v>
      </c>
      <c r="K91" s="15" t="s">
        <v>65</v>
      </c>
      <c r="L91" s="15" t="s">
        <v>66</v>
      </c>
      <c r="M91" s="18">
        <v>28014</v>
      </c>
      <c r="N91" s="18">
        <v>3916</v>
      </c>
      <c r="O91" s="19">
        <v>0.121</v>
      </c>
      <c r="P91" s="20" t="s">
        <v>67</v>
      </c>
      <c r="Q91" s="23" t="s">
        <v>1153</v>
      </c>
      <c r="R91" s="18">
        <v>1199</v>
      </c>
      <c r="S91" s="19">
        <v>-0.1591</v>
      </c>
      <c r="T91" s="18">
        <v>23968.01</v>
      </c>
      <c r="U91" s="24" t="s">
        <v>69</v>
      </c>
      <c r="V91" s="18">
        <v>1999</v>
      </c>
      <c r="W91" s="25">
        <v>91</v>
      </c>
      <c r="X91" s="26">
        <v>19.99</v>
      </c>
      <c r="Z91" s="24" t="s">
        <v>214</v>
      </c>
      <c r="AB91" s="25">
        <v>384</v>
      </c>
      <c r="AC91" s="18">
        <v>25</v>
      </c>
      <c r="AD91" s="29">
        <v>4.4</v>
      </c>
      <c r="AE91" s="30">
        <v>0.0209</v>
      </c>
      <c r="AF91" s="26">
        <v>4.94</v>
      </c>
      <c r="AG91" s="19">
        <v>0.5529</v>
      </c>
      <c r="AI91" s="1" t="s">
        <v>1154</v>
      </c>
      <c r="AJ91" s="25">
        <v>453</v>
      </c>
      <c r="AK91" s="1" t="s">
        <v>71</v>
      </c>
      <c r="AL91" s="25">
        <v>9.8</v>
      </c>
      <c r="AM91" s="25">
        <v>1</v>
      </c>
      <c r="AN91" s="15" t="s">
        <v>423</v>
      </c>
      <c r="AO91" s="1" t="s">
        <v>71</v>
      </c>
      <c r="AP91" s="1" t="s">
        <v>73</v>
      </c>
      <c r="AQ91" s="15" t="s">
        <v>430</v>
      </c>
      <c r="AR91" s="1" t="s">
        <v>431</v>
      </c>
      <c r="AS91" s="1" t="s">
        <v>76</v>
      </c>
      <c r="AT91" s="1" t="s">
        <v>77</v>
      </c>
      <c r="AU91" s="1" t="s">
        <v>76</v>
      </c>
      <c r="AV91" s="1" t="s">
        <v>77</v>
      </c>
      <c r="AW91" s="1" t="s">
        <v>77</v>
      </c>
      <c r="AX91" s="1" t="s">
        <v>76</v>
      </c>
      <c r="AY91" s="1" t="s">
        <v>77</v>
      </c>
      <c r="AZ91" s="1" t="s">
        <v>76</v>
      </c>
      <c r="BA91" s="15" t="s">
        <v>76</v>
      </c>
      <c r="BB91" s="24" t="s">
        <v>76</v>
      </c>
      <c r="BC91" s="24" t="s">
        <v>945</v>
      </c>
      <c r="BD91" s="24" t="s">
        <v>946</v>
      </c>
      <c r="BE91" s="24" t="s">
        <v>1155</v>
      </c>
      <c r="BF91" s="1" t="s">
        <v>1156</v>
      </c>
    </row>
    <row r="92" ht="24" customHeight="1" spans="1:58">
      <c r="A92" s="1" t="str">
        <f>_xlfn.DISPIMG("ID_3069BA1AC2894FB689F784612CE2398E",1)</f>
        <v>=DISPIMG("ID_3069BA1AC2894FB689F784612CE2398E",1)</v>
      </c>
      <c r="B92" s="15" t="s">
        <v>1157</v>
      </c>
      <c r="C92" s="15" t="s">
        <v>1158</v>
      </c>
      <c r="D92" s="15" t="s">
        <v>1159</v>
      </c>
      <c r="E92" s="15" t="s">
        <v>103</v>
      </c>
      <c r="F92" s="15" t="s">
        <v>104</v>
      </c>
      <c r="G92" s="15" t="s">
        <v>1160</v>
      </c>
      <c r="H92" s="15" t="s">
        <v>1161</v>
      </c>
      <c r="I92" s="15" t="s">
        <v>1162</v>
      </c>
      <c r="J92" s="15" t="s">
        <v>1163</v>
      </c>
      <c r="K92" s="15" t="s">
        <v>65</v>
      </c>
      <c r="L92" s="15" t="s">
        <v>66</v>
      </c>
      <c r="M92" s="18">
        <v>34302</v>
      </c>
      <c r="N92" s="18">
        <v>-6383</v>
      </c>
      <c r="O92" s="19">
        <v>-0.2629</v>
      </c>
      <c r="P92" s="20" t="s">
        <v>67</v>
      </c>
      <c r="Q92" s="23" t="s">
        <v>1164</v>
      </c>
      <c r="R92" s="18">
        <v>1232</v>
      </c>
      <c r="S92" s="19">
        <v>90</v>
      </c>
      <c r="T92" s="18">
        <v>39399.36</v>
      </c>
      <c r="U92" s="24" t="s">
        <v>91</v>
      </c>
      <c r="V92" s="18">
        <v>1599</v>
      </c>
      <c r="W92" s="25">
        <v>66</v>
      </c>
      <c r="X92" s="26">
        <v>31.98</v>
      </c>
      <c r="Z92" s="8"/>
      <c r="AB92" s="25">
        <v>151</v>
      </c>
      <c r="AC92" s="18">
        <v>27</v>
      </c>
      <c r="AD92" s="29">
        <v>4.1</v>
      </c>
      <c r="AE92" s="30">
        <v>0.0219</v>
      </c>
      <c r="AF92" s="26">
        <v>5.46</v>
      </c>
      <c r="AG92" s="19">
        <v>0.6293</v>
      </c>
      <c r="AI92" s="1" t="s">
        <v>1165</v>
      </c>
      <c r="AJ92" s="25">
        <v>130</v>
      </c>
      <c r="AK92" s="1" t="s">
        <v>71</v>
      </c>
      <c r="AL92" s="25">
        <v>10</v>
      </c>
      <c r="AM92" s="25">
        <v>1</v>
      </c>
      <c r="AN92" s="15" t="s">
        <v>103</v>
      </c>
      <c r="AO92" s="1" t="s">
        <v>71</v>
      </c>
      <c r="AP92" s="1" t="s">
        <v>73</v>
      </c>
      <c r="AQ92" s="15" t="s">
        <v>146</v>
      </c>
      <c r="AR92" s="1" t="s">
        <v>147</v>
      </c>
      <c r="AS92" s="1" t="s">
        <v>76</v>
      </c>
      <c r="AT92" s="1" t="s">
        <v>76</v>
      </c>
      <c r="AU92" s="1" t="s">
        <v>77</v>
      </c>
      <c r="AV92" s="1" t="s">
        <v>77</v>
      </c>
      <c r="AW92" s="1" t="s">
        <v>77</v>
      </c>
      <c r="AX92" s="1" t="s">
        <v>76</v>
      </c>
      <c r="AY92" s="1" t="s">
        <v>77</v>
      </c>
      <c r="AZ92" s="1" t="s">
        <v>76</v>
      </c>
      <c r="BA92" s="15" t="s">
        <v>76</v>
      </c>
      <c r="BC92" s="24" t="s">
        <v>1166</v>
      </c>
      <c r="BD92" s="24" t="s">
        <v>1167</v>
      </c>
      <c r="BE92" s="24" t="s">
        <v>1168</v>
      </c>
      <c r="BF92" s="1" t="s">
        <v>1169</v>
      </c>
    </row>
    <row r="93" ht="24" customHeight="1" spans="1:58">
      <c r="A93" s="1" t="str">
        <f>_xlfn.DISPIMG("ID_FAD38166037842FD8CD5287E485C88B4",1)</f>
        <v>=DISPIMG("ID_FAD38166037842FD8CD5287E485C88B4",1)</v>
      </c>
      <c r="B93" s="15" t="s">
        <v>1170</v>
      </c>
      <c r="C93" s="15" t="s">
        <v>1171</v>
      </c>
      <c r="D93" s="15" t="s">
        <v>1172</v>
      </c>
      <c r="E93" s="15" t="s">
        <v>103</v>
      </c>
      <c r="F93" s="15" t="s">
        <v>104</v>
      </c>
      <c r="G93" s="15" t="s">
        <v>1173</v>
      </c>
      <c r="H93" s="15" t="s">
        <v>1174</v>
      </c>
      <c r="I93" s="15" t="s">
        <v>1175</v>
      </c>
      <c r="J93" s="15" t="s">
        <v>1176</v>
      </c>
      <c r="K93" s="15" t="s">
        <v>1177</v>
      </c>
      <c r="L93" s="15" t="s">
        <v>66</v>
      </c>
      <c r="M93" s="18">
        <v>42719</v>
      </c>
      <c r="N93" s="18">
        <v>13796</v>
      </c>
      <c r="O93" s="19">
        <v>0.2441</v>
      </c>
      <c r="P93" s="20" t="s">
        <v>1178</v>
      </c>
      <c r="Q93" s="23" t="s">
        <v>1179</v>
      </c>
      <c r="R93" s="18">
        <v>573</v>
      </c>
      <c r="S93" s="19">
        <v>0.6166</v>
      </c>
      <c r="T93" s="18">
        <v>26925.271</v>
      </c>
      <c r="U93" s="24" t="s">
        <v>91</v>
      </c>
      <c r="V93" s="18">
        <v>2349.5</v>
      </c>
      <c r="W93" s="25">
        <v>91</v>
      </c>
      <c r="X93" s="26">
        <v>46.99</v>
      </c>
      <c r="Z93" s="24" t="s">
        <v>230</v>
      </c>
      <c r="AA93" s="18">
        <v>11</v>
      </c>
      <c r="AB93" s="25">
        <v>1670</v>
      </c>
      <c r="AC93" s="18">
        <v>43</v>
      </c>
      <c r="AD93" s="29">
        <v>4.2</v>
      </c>
      <c r="AE93" s="30">
        <v>0.075</v>
      </c>
      <c r="AF93" s="26">
        <v>6.92</v>
      </c>
      <c r="AG93" s="19">
        <v>0.6527</v>
      </c>
      <c r="AI93" s="1" t="s">
        <v>1180</v>
      </c>
      <c r="AJ93" s="25">
        <v>740</v>
      </c>
      <c r="AK93" s="1" t="s">
        <v>71</v>
      </c>
      <c r="AL93" s="25">
        <v>10</v>
      </c>
      <c r="AM93" s="25">
        <v>1</v>
      </c>
      <c r="AN93" s="15" t="s">
        <v>103</v>
      </c>
      <c r="AO93" s="1" t="s">
        <v>71</v>
      </c>
      <c r="AP93" s="1" t="s">
        <v>73</v>
      </c>
      <c r="AQ93" s="15" t="s">
        <v>146</v>
      </c>
      <c r="AR93" s="1" t="s">
        <v>147</v>
      </c>
      <c r="AS93" s="1" t="s">
        <v>77</v>
      </c>
      <c r="AT93" s="1" t="s">
        <v>77</v>
      </c>
      <c r="AU93" s="1" t="s">
        <v>76</v>
      </c>
      <c r="AV93" s="1" t="s">
        <v>77</v>
      </c>
      <c r="AW93" s="1" t="s">
        <v>77</v>
      </c>
      <c r="AX93" s="1" t="s">
        <v>76</v>
      </c>
      <c r="AY93" s="1" t="s">
        <v>77</v>
      </c>
      <c r="AZ93" s="1" t="s">
        <v>76</v>
      </c>
      <c r="BA93" s="15" t="s">
        <v>76</v>
      </c>
      <c r="BB93" s="24" t="s">
        <v>1181</v>
      </c>
      <c r="BC93" s="24" t="s">
        <v>649</v>
      </c>
      <c r="BD93" s="24" t="s">
        <v>650</v>
      </c>
      <c r="BE93" s="24" t="s">
        <v>1182</v>
      </c>
      <c r="BF93" s="1" t="s">
        <v>1183</v>
      </c>
    </row>
    <row r="94" ht="24" hidden="1" customHeight="1" spans="1:58">
      <c r="A94" s="1" t="str">
        <f>_xlfn.DISPIMG("ID_191ADD9268AB4925AF65686B35E5565A",1)</f>
        <v>=DISPIMG("ID_191ADD9268AB4925AF65686B35E5565A",1)</v>
      </c>
      <c r="B94" s="15" t="s">
        <v>1184</v>
      </c>
      <c r="C94" s="15" t="s">
        <v>1185</v>
      </c>
      <c r="D94" s="15" t="s">
        <v>1186</v>
      </c>
      <c r="E94" s="15" t="s">
        <v>406</v>
      </c>
      <c r="F94" s="15" t="s">
        <v>407</v>
      </c>
      <c r="G94" s="15" t="s">
        <v>1187</v>
      </c>
      <c r="H94" s="15" t="s">
        <v>1188</v>
      </c>
      <c r="I94" s="15" t="s">
        <v>1189</v>
      </c>
      <c r="J94" s="15" t="s">
        <v>1190</v>
      </c>
      <c r="K94" s="15" t="s">
        <v>65</v>
      </c>
      <c r="L94" s="15" t="s">
        <v>66</v>
      </c>
      <c r="M94" s="18">
        <v>82172</v>
      </c>
      <c r="N94" s="18">
        <v>9275</v>
      </c>
      <c r="O94" s="19">
        <v>0.1349</v>
      </c>
      <c r="P94" s="20" t="s">
        <v>67</v>
      </c>
      <c r="Q94" s="23" t="s">
        <v>1191</v>
      </c>
      <c r="R94" s="18">
        <v>467</v>
      </c>
      <c r="S94" s="19">
        <v>-0.1376</v>
      </c>
      <c r="T94" s="18">
        <v>16345</v>
      </c>
      <c r="U94" s="24" t="s">
        <v>76</v>
      </c>
      <c r="V94" s="18" t="s">
        <v>76</v>
      </c>
      <c r="W94" s="25">
        <v>31</v>
      </c>
      <c r="X94" s="26">
        <v>35</v>
      </c>
      <c r="Z94" s="8"/>
      <c r="AA94" s="18">
        <v>16</v>
      </c>
      <c r="AB94" s="25">
        <v>1796</v>
      </c>
      <c r="AC94" s="18">
        <v>14</v>
      </c>
      <c r="AD94" s="29">
        <v>4.5</v>
      </c>
      <c r="AE94" s="30">
        <v>0.03</v>
      </c>
      <c r="AF94" s="26">
        <v>6.27</v>
      </c>
      <c r="AG94" s="19">
        <v>0.6209</v>
      </c>
      <c r="AI94" s="1" t="s">
        <v>1192</v>
      </c>
      <c r="AJ94" s="25">
        <v>1097</v>
      </c>
      <c r="AK94" s="1" t="s">
        <v>606</v>
      </c>
      <c r="AL94" s="25">
        <v>9.6</v>
      </c>
      <c r="AM94" s="25">
        <v>2</v>
      </c>
      <c r="AN94" s="15" t="s">
        <v>607</v>
      </c>
      <c r="AO94" s="1" t="s">
        <v>606</v>
      </c>
      <c r="AP94" s="1" t="s">
        <v>76</v>
      </c>
      <c r="AQ94" s="15" t="s">
        <v>76</v>
      </c>
      <c r="AR94" s="1" t="s">
        <v>76</v>
      </c>
      <c r="AS94" s="1" t="s">
        <v>76</v>
      </c>
      <c r="AT94" s="1" t="s">
        <v>77</v>
      </c>
      <c r="AU94" s="1" t="s">
        <v>76</v>
      </c>
      <c r="AV94" s="1" t="s">
        <v>77</v>
      </c>
      <c r="AW94" s="1" t="s">
        <v>77</v>
      </c>
      <c r="AX94" s="1" t="s">
        <v>76</v>
      </c>
      <c r="AY94" s="1" t="s">
        <v>77</v>
      </c>
      <c r="AZ94" s="1" t="s">
        <v>76</v>
      </c>
      <c r="BA94" s="15" t="s">
        <v>76</v>
      </c>
      <c r="BB94" s="24" t="s">
        <v>1193</v>
      </c>
      <c r="BC94" s="24" t="s">
        <v>1194</v>
      </c>
      <c r="BD94" s="24" t="s">
        <v>1195</v>
      </c>
      <c r="BE94" s="24" t="s">
        <v>1196</v>
      </c>
      <c r="BF94" s="1" t="s">
        <v>1197</v>
      </c>
    </row>
    <row r="95" ht="24" hidden="1" customHeight="1" spans="1:58">
      <c r="A95" s="1" t="str">
        <f>_xlfn.DISPIMG("ID_7AC2DD07D00743EE9D670BBA0E818FAA",1)</f>
        <v>=DISPIMG("ID_7AC2DD07D00743EE9D670BBA0E818FAA",1)</v>
      </c>
      <c r="B95" s="15" t="s">
        <v>1198</v>
      </c>
      <c r="C95" s="15" t="s">
        <v>1199</v>
      </c>
      <c r="D95" s="15" t="s">
        <v>1200</v>
      </c>
      <c r="E95" s="15" t="s">
        <v>156</v>
      </c>
      <c r="F95" s="15" t="s">
        <v>157</v>
      </c>
      <c r="G95" s="15" t="s">
        <v>1201</v>
      </c>
      <c r="H95" s="15" t="s">
        <v>1202</v>
      </c>
      <c r="I95" s="15" t="s">
        <v>1203</v>
      </c>
      <c r="J95" s="15" t="s">
        <v>1204</v>
      </c>
      <c r="K95" s="15" t="s">
        <v>65</v>
      </c>
      <c r="L95" s="15" t="s">
        <v>66</v>
      </c>
      <c r="M95" s="18">
        <v>144836</v>
      </c>
      <c r="N95" s="18">
        <v>-112406</v>
      </c>
      <c r="O95" s="19">
        <v>-2.44</v>
      </c>
      <c r="P95" s="20" t="s">
        <v>67</v>
      </c>
      <c r="Q95" s="23" t="s">
        <v>1205</v>
      </c>
      <c r="R95" s="18">
        <v>256</v>
      </c>
      <c r="S95" s="19">
        <v>0.0385</v>
      </c>
      <c r="T95" s="18">
        <v>2301.44</v>
      </c>
      <c r="U95" s="24" t="s">
        <v>76</v>
      </c>
      <c r="V95" s="18" t="s">
        <v>76</v>
      </c>
      <c r="W95" s="25">
        <v>12</v>
      </c>
      <c r="X95" s="26">
        <v>8.99</v>
      </c>
      <c r="Z95" s="8"/>
      <c r="AB95" s="25">
        <v>40</v>
      </c>
      <c r="AC95" s="18">
        <v>1</v>
      </c>
      <c r="AD95" s="29">
        <v>4.5</v>
      </c>
      <c r="AE95" s="30">
        <v>0.0039</v>
      </c>
      <c r="AF95" s="26">
        <v>4.69</v>
      </c>
      <c r="AG95" s="19">
        <v>0.2783</v>
      </c>
      <c r="AI95" s="1" t="s">
        <v>1206</v>
      </c>
      <c r="AJ95" s="25">
        <v>142</v>
      </c>
      <c r="AK95" s="1" t="s">
        <v>71</v>
      </c>
      <c r="AL95" s="25">
        <v>10</v>
      </c>
      <c r="AM95" s="25">
        <v>1</v>
      </c>
      <c r="AN95" s="15" t="s">
        <v>156</v>
      </c>
      <c r="AO95" s="1" t="s">
        <v>71</v>
      </c>
      <c r="AP95" s="1" t="s">
        <v>73</v>
      </c>
      <c r="AQ95" s="15" t="s">
        <v>588</v>
      </c>
      <c r="AR95" s="1" t="s">
        <v>589</v>
      </c>
      <c r="AS95" s="1" t="s">
        <v>76</v>
      </c>
      <c r="AT95" s="1" t="s">
        <v>76</v>
      </c>
      <c r="AU95" s="1" t="s">
        <v>76</v>
      </c>
      <c r="AV95" s="1" t="s">
        <v>77</v>
      </c>
      <c r="AW95" s="1" t="s">
        <v>76</v>
      </c>
      <c r="AX95" s="1" t="s">
        <v>76</v>
      </c>
      <c r="AY95" s="1" t="s">
        <v>77</v>
      </c>
      <c r="AZ95" s="1" t="s">
        <v>76</v>
      </c>
      <c r="BA95" s="15" t="s">
        <v>77</v>
      </c>
      <c r="BD95" s="24" t="s">
        <v>76</v>
      </c>
      <c r="BF95" s="1" t="s">
        <v>76</v>
      </c>
    </row>
    <row r="96" ht="24" hidden="1" customHeight="1" spans="1:58">
      <c r="A96" s="1" t="str">
        <f>_xlfn.DISPIMG("ID_A48888E009A0462FB5540A7CF42E615F",1)</f>
        <v>=DISPIMG("ID_A48888E009A0462FB5540A7CF42E615F",1)</v>
      </c>
      <c r="B96" s="15" t="s">
        <v>1207</v>
      </c>
      <c r="C96" s="15" t="s">
        <v>1208</v>
      </c>
      <c r="D96" s="15" t="s">
        <v>1209</v>
      </c>
      <c r="E96" s="15" t="s">
        <v>1210</v>
      </c>
      <c r="F96" s="15" t="s">
        <v>1211</v>
      </c>
      <c r="G96" s="15" t="s">
        <v>1212</v>
      </c>
      <c r="H96" s="15" t="s">
        <v>1213</v>
      </c>
      <c r="I96" s="15" t="s">
        <v>1214</v>
      </c>
      <c r="J96" s="15" t="s">
        <v>1215</v>
      </c>
      <c r="K96" s="15" t="s">
        <v>65</v>
      </c>
      <c r="L96" s="15" t="s">
        <v>66</v>
      </c>
      <c r="M96" s="18">
        <v>15696</v>
      </c>
      <c r="N96" s="18">
        <v>-875</v>
      </c>
      <c r="O96" s="19">
        <v>-0.0586</v>
      </c>
      <c r="P96" s="20" t="s">
        <v>67</v>
      </c>
      <c r="Q96" s="23" t="s">
        <v>1216</v>
      </c>
      <c r="R96" s="18">
        <v>2287</v>
      </c>
      <c r="S96" s="19">
        <v>0.099</v>
      </c>
      <c r="T96" s="18">
        <v>45717.13</v>
      </c>
      <c r="U96" s="24" t="s">
        <v>91</v>
      </c>
      <c r="V96" s="18">
        <v>999.5</v>
      </c>
      <c r="W96" s="25">
        <v>166</v>
      </c>
      <c r="X96" s="26">
        <v>19.99</v>
      </c>
      <c r="Z96" s="8"/>
      <c r="AB96" s="25">
        <v>306</v>
      </c>
      <c r="AC96" s="18">
        <v>43</v>
      </c>
      <c r="AD96" s="29">
        <v>4</v>
      </c>
      <c r="AE96" s="30">
        <v>0.0188</v>
      </c>
      <c r="AF96" s="26">
        <v>4.94</v>
      </c>
      <c r="AG96" s="19">
        <v>0.5529</v>
      </c>
      <c r="AI96" s="1" t="s">
        <v>832</v>
      </c>
      <c r="AJ96" s="25">
        <v>343</v>
      </c>
      <c r="AK96" s="1" t="s">
        <v>71</v>
      </c>
      <c r="AL96" s="25">
        <v>10</v>
      </c>
      <c r="AM96" s="25">
        <v>1</v>
      </c>
      <c r="AN96" s="15" t="s">
        <v>862</v>
      </c>
      <c r="AO96" s="1" t="s">
        <v>71</v>
      </c>
      <c r="AP96" s="1" t="s">
        <v>73</v>
      </c>
      <c r="AQ96" s="15" t="s">
        <v>870</v>
      </c>
      <c r="AR96" s="1" t="s">
        <v>871</v>
      </c>
      <c r="AS96" s="1" t="s">
        <v>76</v>
      </c>
      <c r="AT96" s="1" t="s">
        <v>76</v>
      </c>
      <c r="AU96" s="1" t="s">
        <v>76</v>
      </c>
      <c r="AV96" s="1" t="s">
        <v>77</v>
      </c>
      <c r="AW96" s="1" t="s">
        <v>76</v>
      </c>
      <c r="AX96" s="1" t="s">
        <v>76</v>
      </c>
      <c r="AY96" s="1" t="s">
        <v>77</v>
      </c>
      <c r="AZ96" s="1" t="s">
        <v>76</v>
      </c>
      <c r="BA96" s="15" t="s">
        <v>76</v>
      </c>
      <c r="BC96" s="24" t="s">
        <v>1065</v>
      </c>
      <c r="BD96" s="24" t="s">
        <v>1066</v>
      </c>
      <c r="BE96" s="24" t="s">
        <v>1217</v>
      </c>
      <c r="BF96" s="1" t="s">
        <v>1218</v>
      </c>
    </row>
    <row r="97" ht="24" customHeight="1" spans="1:58">
      <c r="A97" s="1" t="str">
        <f>_xlfn.DISPIMG("ID_13F90ACA85AC4E449AD4F839423465B3",1)</f>
        <v>=DISPIMG("ID_13F90ACA85AC4E449AD4F839423465B3",1)</v>
      </c>
      <c r="B97" s="15" t="s">
        <v>1219</v>
      </c>
      <c r="C97" s="15" t="s">
        <v>1220</v>
      </c>
      <c r="D97" s="15" t="s">
        <v>1221</v>
      </c>
      <c r="E97" s="15" t="s">
        <v>103</v>
      </c>
      <c r="F97" s="15" t="s">
        <v>104</v>
      </c>
      <c r="G97" s="15" t="s">
        <v>1222</v>
      </c>
      <c r="H97" s="15" t="s">
        <v>1223</v>
      </c>
      <c r="I97" s="15" t="s">
        <v>1224</v>
      </c>
      <c r="J97" s="15" t="s">
        <v>1225</v>
      </c>
      <c r="K97" s="15" t="s">
        <v>65</v>
      </c>
      <c r="L97" s="15" t="s">
        <v>66</v>
      </c>
      <c r="M97" s="18">
        <v>74603</v>
      </c>
      <c r="N97" s="18">
        <v>-12143</v>
      </c>
      <c r="O97" s="19">
        <v>-0.2373</v>
      </c>
      <c r="P97" s="20" t="s">
        <v>67</v>
      </c>
      <c r="Q97" s="23" t="s">
        <v>1226</v>
      </c>
      <c r="R97" s="18">
        <v>752</v>
      </c>
      <c r="S97" s="19">
        <v>-0.174</v>
      </c>
      <c r="T97" s="18">
        <v>18792.48</v>
      </c>
      <c r="U97" s="24" t="s">
        <v>76</v>
      </c>
      <c r="V97" s="18" t="s">
        <v>76</v>
      </c>
      <c r="W97" s="25">
        <v>88</v>
      </c>
      <c r="X97" s="26">
        <v>24.99</v>
      </c>
      <c r="Z97" s="24" t="s">
        <v>831</v>
      </c>
      <c r="AB97" s="25">
        <v>204</v>
      </c>
      <c r="AC97" s="18">
        <v>16</v>
      </c>
      <c r="AD97" s="29">
        <v>4.5</v>
      </c>
      <c r="AE97" s="30">
        <v>0.0213</v>
      </c>
      <c r="AF97" s="26">
        <v>5.39</v>
      </c>
      <c r="AG97" s="19">
        <v>0.5843</v>
      </c>
      <c r="AI97" s="1" t="s">
        <v>1227</v>
      </c>
      <c r="AJ97" s="25">
        <v>246</v>
      </c>
      <c r="AK97" s="1" t="s">
        <v>71</v>
      </c>
      <c r="AL97" s="25">
        <v>9.8</v>
      </c>
      <c r="AM97" s="25">
        <v>1</v>
      </c>
      <c r="AN97" s="15" t="s">
        <v>111</v>
      </c>
      <c r="AO97" s="1" t="s">
        <v>71</v>
      </c>
      <c r="AP97" s="1" t="s">
        <v>112</v>
      </c>
      <c r="AQ97" s="15" t="s">
        <v>113</v>
      </c>
      <c r="AR97" s="1" t="s">
        <v>114</v>
      </c>
      <c r="AS97" s="1" t="s">
        <v>76</v>
      </c>
      <c r="AT97" s="1" t="s">
        <v>77</v>
      </c>
      <c r="AU97" s="1" t="s">
        <v>76</v>
      </c>
      <c r="AV97" s="1" t="s">
        <v>77</v>
      </c>
      <c r="AW97" s="1" t="s">
        <v>77</v>
      </c>
      <c r="AX97" s="1" t="s">
        <v>76</v>
      </c>
      <c r="AY97" s="1" t="s">
        <v>76</v>
      </c>
      <c r="AZ97" s="1" t="s">
        <v>76</v>
      </c>
      <c r="BA97" s="15" t="s">
        <v>76</v>
      </c>
      <c r="BB97" s="24" t="s">
        <v>76</v>
      </c>
      <c r="BD97" s="24" t="s">
        <v>76</v>
      </c>
      <c r="BF97" s="1" t="s">
        <v>76</v>
      </c>
    </row>
    <row r="98" ht="24" customHeight="1" spans="1:58">
      <c r="A98" s="1" t="str">
        <f>_xlfn.DISPIMG("ID_DA021DE6A89746EB9A2BA13F0EE73915",1)</f>
        <v>=DISPIMG("ID_DA021DE6A89746EB9A2BA13F0EE73915",1)</v>
      </c>
      <c r="B98" s="15" t="s">
        <v>1228</v>
      </c>
      <c r="C98" s="15" t="s">
        <v>1229</v>
      </c>
      <c r="D98" s="15" t="s">
        <v>1230</v>
      </c>
      <c r="E98" s="15" t="s">
        <v>103</v>
      </c>
      <c r="F98" s="15" t="s">
        <v>104</v>
      </c>
      <c r="G98" s="15" t="s">
        <v>1231</v>
      </c>
      <c r="H98" s="15" t="s">
        <v>1232</v>
      </c>
      <c r="I98" s="15" t="s">
        <v>1233</v>
      </c>
      <c r="J98" s="15" t="s">
        <v>1234</v>
      </c>
      <c r="K98" s="15" t="s">
        <v>65</v>
      </c>
      <c r="L98" s="15" t="s">
        <v>66</v>
      </c>
      <c r="M98" s="18">
        <v>53161</v>
      </c>
      <c r="N98" s="18">
        <v>-27206</v>
      </c>
      <c r="O98" s="19">
        <v>-0.8211</v>
      </c>
      <c r="P98" s="20" t="s">
        <v>67</v>
      </c>
      <c r="Q98" s="23" t="s">
        <v>1235</v>
      </c>
      <c r="R98" s="18">
        <v>2151</v>
      </c>
      <c r="S98" s="19">
        <v>-0.0873</v>
      </c>
      <c r="T98" s="18">
        <v>42331.68</v>
      </c>
      <c r="U98" s="24" t="s">
        <v>91</v>
      </c>
      <c r="V98" s="18">
        <v>984</v>
      </c>
      <c r="W98" s="25">
        <v>165</v>
      </c>
      <c r="X98" s="26">
        <v>19.68</v>
      </c>
      <c r="Z98" s="24" t="s">
        <v>214</v>
      </c>
      <c r="AA98" s="18">
        <v>6</v>
      </c>
      <c r="AB98" s="25">
        <v>2213</v>
      </c>
      <c r="AC98" s="18">
        <v>0</v>
      </c>
      <c r="AD98" s="29">
        <v>4.4</v>
      </c>
      <c r="AE98" s="30">
        <v>0</v>
      </c>
      <c r="AG98" s="19">
        <v>0</v>
      </c>
      <c r="AI98" s="1" t="s">
        <v>1236</v>
      </c>
      <c r="AJ98" s="25">
        <v>344</v>
      </c>
      <c r="AK98" s="1" t="s">
        <v>1237</v>
      </c>
      <c r="AL98" s="25">
        <v>9</v>
      </c>
      <c r="AM98" s="25">
        <v>2</v>
      </c>
      <c r="AN98" s="15" t="s">
        <v>1238</v>
      </c>
      <c r="AO98" s="1" t="s">
        <v>1237</v>
      </c>
      <c r="AP98" s="1" t="s">
        <v>73</v>
      </c>
      <c r="AQ98" s="15" t="s">
        <v>1239</v>
      </c>
      <c r="AR98" s="1" t="s">
        <v>1240</v>
      </c>
      <c r="AS98" s="1" t="s">
        <v>76</v>
      </c>
      <c r="AT98" s="1" t="s">
        <v>76</v>
      </c>
      <c r="AU98" s="1" t="s">
        <v>76</v>
      </c>
      <c r="AV98" s="1" t="s">
        <v>77</v>
      </c>
      <c r="AW98" s="1" t="s">
        <v>77</v>
      </c>
      <c r="AX98" s="1" t="s">
        <v>76</v>
      </c>
      <c r="AY98" s="1" t="s">
        <v>77</v>
      </c>
      <c r="AZ98" s="1" t="s">
        <v>76</v>
      </c>
      <c r="BA98" s="15" t="s">
        <v>76</v>
      </c>
      <c r="BC98" s="24" t="s">
        <v>591</v>
      </c>
      <c r="BD98" s="24" t="s">
        <v>592</v>
      </c>
      <c r="BE98" s="24" t="s">
        <v>1241</v>
      </c>
      <c r="BF98" s="1" t="s">
        <v>1242</v>
      </c>
    </row>
    <row r="99" ht="24" hidden="1" customHeight="1" spans="1:58">
      <c r="A99" s="1" t="str">
        <f>_xlfn.DISPIMG("ID_675EC6B831394B25804D7DF20B9A2BC4",1)</f>
        <v>=DISPIMG("ID_675EC6B831394B25804D7DF20B9A2BC4",1)</v>
      </c>
      <c r="B99" s="15" t="s">
        <v>1243</v>
      </c>
      <c r="C99" s="15" t="s">
        <v>1244</v>
      </c>
      <c r="D99" s="15" t="s">
        <v>422</v>
      </c>
      <c r="E99" s="15" t="s">
        <v>656</v>
      </c>
      <c r="F99" s="15" t="s">
        <v>657</v>
      </c>
      <c r="G99" s="15" t="s">
        <v>1245</v>
      </c>
      <c r="H99" s="15" t="s">
        <v>1246</v>
      </c>
      <c r="I99" s="15" t="s">
        <v>1247</v>
      </c>
      <c r="J99" s="15" t="s">
        <v>1248</v>
      </c>
      <c r="K99" s="15" t="s">
        <v>65</v>
      </c>
      <c r="L99" s="15" t="s">
        <v>66</v>
      </c>
      <c r="M99" s="18">
        <v>358817</v>
      </c>
      <c r="N99" s="18">
        <v>-110860</v>
      </c>
      <c r="O99" s="19">
        <v>-0.5583</v>
      </c>
      <c r="P99" s="20" t="s">
        <v>67</v>
      </c>
      <c r="Q99" s="23" t="s">
        <v>1249</v>
      </c>
      <c r="R99" s="18">
        <v>132</v>
      </c>
      <c r="S99" s="19">
        <v>-0.6547</v>
      </c>
      <c r="T99" s="18">
        <v>3958.68</v>
      </c>
      <c r="U99" s="24" t="s">
        <v>76</v>
      </c>
      <c r="V99" s="18" t="s">
        <v>76</v>
      </c>
      <c r="W99" s="25">
        <v>12</v>
      </c>
      <c r="X99" s="26">
        <v>29.99</v>
      </c>
      <c r="Z99" s="8"/>
      <c r="AB99" s="25">
        <v>64</v>
      </c>
      <c r="AC99" s="18">
        <v>0</v>
      </c>
      <c r="AD99" s="29">
        <v>3.8</v>
      </c>
      <c r="AE99" s="30">
        <v>0</v>
      </c>
      <c r="AF99" s="26">
        <v>5.46</v>
      </c>
      <c r="AG99" s="19">
        <v>0.4358</v>
      </c>
      <c r="AI99" s="1" t="s">
        <v>1250</v>
      </c>
      <c r="AJ99" s="25">
        <v>299</v>
      </c>
      <c r="AK99" s="1" t="s">
        <v>71</v>
      </c>
      <c r="AL99" s="25">
        <v>9.3</v>
      </c>
      <c r="AM99" s="25">
        <v>1</v>
      </c>
      <c r="AN99" s="15" t="s">
        <v>665</v>
      </c>
      <c r="AO99" s="1" t="s">
        <v>71</v>
      </c>
      <c r="AP99" s="1" t="s">
        <v>73</v>
      </c>
      <c r="AQ99" s="15" t="s">
        <v>666</v>
      </c>
      <c r="AR99" s="1" t="s">
        <v>667</v>
      </c>
      <c r="AS99" s="1" t="s">
        <v>76</v>
      </c>
      <c r="AT99" s="1" t="s">
        <v>76</v>
      </c>
      <c r="AU99" s="1" t="s">
        <v>76</v>
      </c>
      <c r="AV99" s="1" t="s">
        <v>77</v>
      </c>
      <c r="AW99" s="1" t="s">
        <v>77</v>
      </c>
      <c r="AX99" s="1" t="s">
        <v>76</v>
      </c>
      <c r="AY99" s="1" t="s">
        <v>77</v>
      </c>
      <c r="AZ99" s="1" t="s">
        <v>76</v>
      </c>
      <c r="BA99" s="15" t="s">
        <v>76</v>
      </c>
      <c r="BC99" s="24" t="s">
        <v>1251</v>
      </c>
      <c r="BD99" s="24" t="s">
        <v>1195</v>
      </c>
      <c r="BE99" s="24" t="s">
        <v>1252</v>
      </c>
      <c r="BF99" s="1" t="s">
        <v>1253</v>
      </c>
    </row>
    <row r="100" ht="24" customHeight="1" spans="1:58">
      <c r="A100" s="1" t="str">
        <f>_xlfn.DISPIMG("ID_7402FB09EA9344D1B7BEACF4D8A75DF9",1)</f>
        <v>=DISPIMG("ID_7402FB09EA9344D1B7BEACF4D8A75DF9",1)</v>
      </c>
      <c r="B100" s="15" t="s">
        <v>1254</v>
      </c>
      <c r="C100" s="15" t="s">
        <v>890</v>
      </c>
      <c r="D100" s="15" t="s">
        <v>1255</v>
      </c>
      <c r="E100" s="15" t="s">
        <v>103</v>
      </c>
      <c r="F100" s="15" t="s">
        <v>104</v>
      </c>
      <c r="G100" s="15" t="s">
        <v>1256</v>
      </c>
      <c r="H100" s="15" t="s">
        <v>1257</v>
      </c>
      <c r="I100" s="15" t="s">
        <v>1258</v>
      </c>
      <c r="J100" s="15" t="s">
        <v>1259</v>
      </c>
      <c r="K100" s="15" t="s">
        <v>65</v>
      </c>
      <c r="L100" s="15" t="s">
        <v>66</v>
      </c>
      <c r="M100" s="18">
        <v>567051</v>
      </c>
      <c r="N100" s="18">
        <v>-244077</v>
      </c>
      <c r="O100" s="19">
        <v>-4.8653</v>
      </c>
      <c r="P100" s="20" t="s">
        <v>67</v>
      </c>
      <c r="Q100" s="23" t="s">
        <v>1260</v>
      </c>
      <c r="R100" s="18">
        <v>169</v>
      </c>
      <c r="S100" s="19">
        <v>0.2976</v>
      </c>
      <c r="T100" s="18">
        <v>5068.31</v>
      </c>
      <c r="U100" s="24" t="s">
        <v>76</v>
      </c>
      <c r="V100" s="18" t="s">
        <v>76</v>
      </c>
      <c r="W100" s="25">
        <v>45</v>
      </c>
      <c r="X100" s="26">
        <v>29.99</v>
      </c>
      <c r="Z100" s="8"/>
      <c r="AA100" s="18">
        <v>3</v>
      </c>
      <c r="AB100" s="25">
        <v>80</v>
      </c>
      <c r="AC100" s="18">
        <v>1</v>
      </c>
      <c r="AD100" s="29">
        <v>3.9</v>
      </c>
      <c r="AE100" s="30">
        <v>0.0059</v>
      </c>
      <c r="AF100" s="26">
        <v>5.82</v>
      </c>
      <c r="AG100" s="19">
        <v>0.5921</v>
      </c>
      <c r="AI100" s="1" t="s">
        <v>1261</v>
      </c>
      <c r="AJ100" s="25">
        <v>80</v>
      </c>
      <c r="AK100" s="1" t="s">
        <v>71</v>
      </c>
      <c r="AL100" s="25">
        <v>10</v>
      </c>
      <c r="AM100" s="25">
        <v>1</v>
      </c>
      <c r="AN100" s="15" t="s">
        <v>103</v>
      </c>
      <c r="AO100" s="1" t="s">
        <v>71</v>
      </c>
      <c r="AP100" s="1" t="s">
        <v>73</v>
      </c>
      <c r="AQ100" s="15" t="s">
        <v>146</v>
      </c>
      <c r="AR100" s="1" t="s">
        <v>147</v>
      </c>
      <c r="AS100" s="1" t="s">
        <v>76</v>
      </c>
      <c r="AT100" s="1" t="s">
        <v>76</v>
      </c>
      <c r="AU100" s="1" t="s">
        <v>76</v>
      </c>
      <c r="AV100" s="1" t="s">
        <v>77</v>
      </c>
      <c r="AW100" s="1" t="s">
        <v>77</v>
      </c>
      <c r="AX100" s="1" t="s">
        <v>76</v>
      </c>
      <c r="AY100" s="1" t="s">
        <v>77</v>
      </c>
      <c r="AZ100" s="1" t="s">
        <v>76</v>
      </c>
      <c r="BA100" s="15" t="s">
        <v>76</v>
      </c>
      <c r="BD100" s="24" t="s">
        <v>76</v>
      </c>
      <c r="BF100" s="1" t="s">
        <v>76</v>
      </c>
    </row>
    <row r="101" ht="24" customHeight="1" spans="1:58">
      <c r="A101" s="1" t="str">
        <f>_xlfn.DISPIMG("ID_BBF3A987B9B140B09FA7A7F160D8B094",1)</f>
        <v>=DISPIMG("ID_BBF3A987B9B140B09FA7A7F160D8B094",1)</v>
      </c>
      <c r="B101" s="15" t="s">
        <v>1262</v>
      </c>
      <c r="C101" s="15" t="s">
        <v>1263</v>
      </c>
      <c r="D101" s="15" t="s">
        <v>997</v>
      </c>
      <c r="E101" s="15" t="s">
        <v>103</v>
      </c>
      <c r="F101" s="15" t="s">
        <v>104</v>
      </c>
      <c r="G101" s="15" t="s">
        <v>998</v>
      </c>
      <c r="H101" s="15" t="s">
        <v>1264</v>
      </c>
      <c r="I101" s="15" t="s">
        <v>1265</v>
      </c>
      <c r="J101" s="15" t="s">
        <v>1001</v>
      </c>
      <c r="K101" s="15" t="s">
        <v>65</v>
      </c>
      <c r="L101" s="15" t="s">
        <v>66</v>
      </c>
      <c r="M101" s="18">
        <v>63216</v>
      </c>
      <c r="N101" s="18">
        <v>-16119</v>
      </c>
      <c r="O101" s="19">
        <v>-0.3369</v>
      </c>
      <c r="P101" s="20" t="s">
        <v>67</v>
      </c>
      <c r="Q101" s="23" t="s">
        <v>1002</v>
      </c>
      <c r="R101" s="18">
        <v>588</v>
      </c>
      <c r="S101" s="19">
        <v>0.0471</v>
      </c>
      <c r="T101" s="18">
        <v>17034.36</v>
      </c>
      <c r="U101" s="24" t="s">
        <v>76</v>
      </c>
      <c r="V101" s="18" t="s">
        <v>76</v>
      </c>
      <c r="W101" s="25">
        <v>76</v>
      </c>
      <c r="X101" s="26">
        <v>28.97</v>
      </c>
      <c r="Z101" s="24" t="s">
        <v>274</v>
      </c>
      <c r="AB101" s="25">
        <v>73</v>
      </c>
      <c r="AC101" s="18">
        <v>14</v>
      </c>
      <c r="AD101" s="29">
        <v>4.1</v>
      </c>
      <c r="AE101" s="30">
        <v>0.0238</v>
      </c>
      <c r="AF101" s="26">
        <v>3.92</v>
      </c>
      <c r="AG101" s="19">
        <v>0.6647</v>
      </c>
      <c r="AI101" s="1" t="s">
        <v>1266</v>
      </c>
      <c r="AJ101" s="25">
        <v>84</v>
      </c>
      <c r="AK101" s="1" t="s">
        <v>71</v>
      </c>
      <c r="AL101" s="25">
        <v>9.8</v>
      </c>
      <c r="AM101" s="25">
        <v>1</v>
      </c>
      <c r="AN101" s="15" t="s">
        <v>103</v>
      </c>
      <c r="AO101" s="1" t="s">
        <v>71</v>
      </c>
      <c r="AP101" s="1" t="s">
        <v>73</v>
      </c>
      <c r="AQ101" s="15" t="s">
        <v>146</v>
      </c>
      <c r="AR101" s="1" t="s">
        <v>147</v>
      </c>
      <c r="AS101" s="1" t="s">
        <v>76</v>
      </c>
      <c r="AT101" s="1" t="s">
        <v>76</v>
      </c>
      <c r="AU101" s="1" t="s">
        <v>77</v>
      </c>
      <c r="AV101" s="1" t="s">
        <v>77</v>
      </c>
      <c r="AW101" s="1" t="s">
        <v>77</v>
      </c>
      <c r="AX101" s="1" t="s">
        <v>76</v>
      </c>
      <c r="AY101" s="1" t="s">
        <v>77</v>
      </c>
      <c r="AZ101" s="1" t="s">
        <v>76</v>
      </c>
      <c r="BA101" s="15" t="s">
        <v>76</v>
      </c>
      <c r="BC101" s="24" t="s">
        <v>1004</v>
      </c>
      <c r="BD101" s="24" t="s">
        <v>1005</v>
      </c>
      <c r="BE101" s="24" t="s">
        <v>1006</v>
      </c>
      <c r="BF101" s="1" t="s">
        <v>1007</v>
      </c>
    </row>
  </sheetData>
  <autoFilter xmlns:etc="http://www.wps.cn/officeDocument/2017/etCustomData" ref="A1:BF101" etc:filterBottomFollowUsedRange="0">
    <filterColumn colId="4">
      <filters>
        <filter val="COOFANDY"/>
      </filters>
    </filterColumn>
    <extLst/>
  </autoFilter>
  <hyperlinks>
    <hyperlink ref="B2" r:id="rId1" display="B0D25H8TG1" tooltip="https://www.amazon.com/dp/B0D25H8TG1"/>
    <hyperlink ref="F2" r:id="rId2" display="https://www.amazon.com/stores/MAPICK/page/0912EDDE-F41D-46CC-9B2A-7A219ADAAB6B?ref_=ast_bln" tooltip="https://www.amazon.com/stores/MAPICK/page/0912EDDE-F41D-46CC-9B2A-7A219ADAAB6B?ref_=ast_bln"/>
    <hyperlink ref="H2" r:id="rId3" display="https://www.amazon.com/dp/B0D25H8TG1?psc=1" tooltip="https://www.amazon.com/dp/B0D25H8TG1?psc=1"/>
    <hyperlink ref="I2" r:id="rId4" display="https://m.media-amazon.com/images/I/41DfYfxKANL._AC_SR600,600_.jpg" tooltip="https://m.media-amazon.com/images/I/41DfYfxKANL._AC_SR600,600_.jpg"/>
    <hyperlink ref="J2" r:id="rId5" display="B0DLMJLFX1" tooltip="https://www.amazon.com/dp/B0DLMJLFX1"/>
    <hyperlink ref="K2" r:id="rId6" display="Clothing, Shoes &amp; Jewelry:Men:Clothing:Shirts:Button-Down Shirts" tooltip="https://www.amazon.com/b?node=121177981011"/>
    <hyperlink ref="L2" r:id="rId7" display="Clothing, Shoes &amp; Jewelry"/>
    <hyperlink ref="AR2" r:id="rId8" display="https://www.amazon.com/gp/help/seller/at-a-glance.html/ref=dp_merchant_link?seller=A2AFTVCB3HZ74Y" tooltip="https://www.amazon.com/gp/help/seller/at-a-glance.html/ref=dp_merchant_link?seller=A2AFTVCB3HZ74Y"/>
    <hyperlink ref="B3" r:id="rId9" display="B0D12QBDKB" tooltip="https://www.amazon.com/dp/B0D12QBDKB"/>
    <hyperlink ref="F3" r:id="rId10" display="https://www.amazon.com/stores/LETSEE/page/720EC636-72C3-4878-A8D7-A8E7B5CB6E40?ref_=ast_bln" tooltip="https://www.amazon.com/stores/LETSEE/page/720EC636-72C3-4878-A8D7-A8E7B5CB6E40?ref_=ast_bln"/>
    <hyperlink ref="H3" r:id="rId11" display="https://www.amazon.com/dp/B0D12QBDKB?psc=1" tooltip="https://www.amazon.com/dp/B0D12QBDKB?psc=1"/>
    <hyperlink ref="I3" r:id="rId12" display="https://m.media-amazon.com/images/I/41Gx6hvyT+L._AC_SR600,600_.jpg" tooltip="https://m.media-amazon.com/images/I/41Gx6hvyT+L._AC_SR600,600_.jpg"/>
    <hyperlink ref="J3" r:id="rId13" display="B0D9JP5F13" tooltip="https://www.amazon.com/dp/B0D9JP5F13"/>
    <hyperlink ref="K3" r:id="rId6" display="Clothing, Shoes &amp; Jewelry:Men:Clothing:Shirts:Button-Down Shirts" tooltip="https://www.amazon.com/b?node=121177981011"/>
    <hyperlink ref="L3" r:id="rId7" display="Clothing, Shoes &amp; Jewelry"/>
    <hyperlink ref="AR3" r:id="rId14" display="https://www.amazon.com/gp/help/seller/at-a-glance.html/ref=dp_merchant_link?seller=ACP1AZUKRDS99" tooltip="https://www.amazon.com/gp/help/seller/at-a-glance.html/ref=dp_merchant_link?seller=ACP1AZUKRDS99"/>
    <hyperlink ref="B4" r:id="rId15" display="B0BVFWW6JW" tooltip="https://www.amazon.com/dp/B0BVFWW6JW"/>
    <hyperlink ref="F4" r:id="rId16" display="https://www.amazon.com/stores/COOFANDY/page/23614F3D-BBD9-4564-8B56-4436A5CD5A93?ref_=ast_bln" tooltip="https://www.amazon.com/stores/COOFANDY/page/23614F3D-BBD9-4564-8B56-4436A5CD5A93?ref_=ast_bln"/>
    <hyperlink ref="H4" r:id="rId17" display="https://www.amazon.com/dp/B0BVFWW6JW?psc=1" tooltip="https://www.amazon.com/dp/B0BVFWW6JW?psc=1"/>
    <hyperlink ref="I4" r:id="rId18" display="https://m.media-amazon.com/images/I/41slc3cAhwL._AC_SR600,600_.jpg" tooltip="https://m.media-amazon.com/images/I/41slc3cAhwL._AC_SR600,600_.jpg"/>
    <hyperlink ref="J4" r:id="rId19" display="B0CPTHL7KT" tooltip="https://www.amazon.com/dp/B0CPTHL7KT"/>
    <hyperlink ref="K4" r:id="rId6" display="Clothing, Shoes &amp; Jewelry:Men:Clothing:Shirts:Button-Down Shirts" tooltip="https://www.amazon.com/b?node=121177981011"/>
    <hyperlink ref="L4" r:id="rId7" display="Clothing, Shoes &amp; Jewelry"/>
    <hyperlink ref="AR4" r:id="rId20" display="https://www.amazon.com/gp/help/seller/at-a-glance.html/ref=dp_merchant_link?seller=AYQEI860TGUFX" tooltip="https://www.amazon.com/gp/help/seller/at-a-glance.html/ref=dp_merchant_link?seller=AYQEI860TGUFX"/>
    <hyperlink ref="B5" r:id="rId21" display="B0BV241H3F" tooltip="https://www.amazon.com/dp/B0BV241H3F"/>
    <hyperlink ref="F5" r:id="rId16" display="https://www.amazon.com/stores/COOFANDY/page/23614F3D-BBD9-4564-8B56-4436A5CD5A93?ref_=ast_bln" tooltip="https://www.amazon.com/stores/COOFANDY/page/23614F3D-BBD9-4564-8B56-4436A5CD5A93?ref_=ast_bln"/>
    <hyperlink ref="H5" r:id="rId22" display="https://www.amazon.com/dp/B0BV241H3F?psc=1" tooltip="https://www.amazon.com/dp/B0BV241H3F?psc=1"/>
    <hyperlink ref="I5" r:id="rId23" display="https://images-na.ssl-images-amazon.com/images/I/81Y6r7df7OL._AC_US600_.jpg" tooltip="https://images-na.ssl-images-amazon.com/images/I/81Y6r7df7OL._AC_US600_.jpg"/>
    <hyperlink ref="J5" r:id="rId21" display="B0BV241H3F" tooltip="https://www.amazon.com/dp/B0BV241H3F"/>
    <hyperlink ref="K5" r:id="rId6" display="Clothing, Shoes &amp; Jewelry:Men:Clothing:Shirts:Button-Down Shirts" tooltip="https://www.amazon.com/b?node=121177981011"/>
    <hyperlink ref="L5" r:id="rId7" display="Clothing, Shoes &amp; Jewelry"/>
    <hyperlink ref="AR5" r:id="rId20" display="https://www.amazon.com/gp/help/seller/at-a-glance.html/ref=dp_merchant_link?seller=AYQEI860TGUFX" tooltip="https://www.amazon.com/gp/help/seller/at-a-glance.html/ref=dp_merchant_link?seller=AYQEI860TGUFX"/>
    <hyperlink ref="B6" r:id="rId24" display="B0BVFRGTC5" tooltip="https://www.amazon.com/dp/B0BVFRGTC5"/>
    <hyperlink ref="F6" r:id="rId16" display="https://www.amazon.com/stores/COOFANDY/page/23614F3D-BBD9-4564-8B56-4436A5CD5A93?ref_=ast_bln" tooltip="https://www.amazon.com/stores/COOFANDY/page/23614F3D-BBD9-4564-8B56-4436A5CD5A93?ref_=ast_bln"/>
    <hyperlink ref="H6" r:id="rId25" display="https://www.amazon.com/dp/B0BVFRGTC5?psc=1" tooltip="https://www.amazon.com/dp/B0BVFRGTC5?psc=1"/>
    <hyperlink ref="I6" r:id="rId26" display="https://m.media-amazon.com/images/I/41Pl3+ILnjL._AC_SR600,600_.jpg" tooltip="https://m.media-amazon.com/images/I/41Pl3+ILnjL._AC_SR600,600_.jpg"/>
    <hyperlink ref="J6" r:id="rId19" display="B0CPTHL7KT" tooltip="https://www.amazon.com/dp/B0CPTHL7KT"/>
    <hyperlink ref="K6" r:id="rId6" display="Clothing, Shoes &amp; Jewelry:Men:Clothing:Shirts:Button-Down Shirts" tooltip="https://www.amazon.com/b?node=121177981011"/>
    <hyperlink ref="L6" r:id="rId7" display="Clothing, Shoes &amp; Jewelry"/>
    <hyperlink ref="AR6" r:id="rId20" display="https://www.amazon.com/gp/help/seller/at-a-glance.html/ref=dp_merchant_link?seller=AYQEI860TGUFX" tooltip="https://www.amazon.com/gp/help/seller/at-a-glance.html/ref=dp_merchant_link?seller=AYQEI860TGUFX"/>
    <hyperlink ref="B7" r:id="rId27" display="B093RZQLVX" tooltip="https://www.amazon.com/dp/B093RZQLVX"/>
    <hyperlink ref="F7" r:id="rId16" display="https://www.amazon.com/stores/COOFANDY/page/23614F3D-BBD9-4564-8B56-4436A5CD5A93?ref_=ast_bln" tooltip="https://www.amazon.com/stores/COOFANDY/page/23614F3D-BBD9-4564-8B56-4436A5CD5A93?ref_=ast_bln"/>
    <hyperlink ref="H7" r:id="rId28" display="https://www.amazon.com/dp/B093RZQLVX?psc=1" tooltip="https://www.amazon.com/dp/B093RZQLVX?psc=1"/>
    <hyperlink ref="I7" r:id="rId29" display="https://images-na.ssl-images-amazon.com/images/I/81rN7jSUgHS._AC_US600_.jpg" tooltip="https://images-na.ssl-images-amazon.com/images/I/81rN7jSUgHS._AC_US600_.jpg"/>
    <hyperlink ref="J7" r:id="rId30" display="B0DDXPHRGD" tooltip="https://www.amazon.com/dp/B0DDXPHRGD"/>
    <hyperlink ref="K7" r:id="rId6" display="Clothing, Shoes &amp; Jewelry:Men:Clothing:Shirts:Button-Down Shirts" tooltip="https://www.amazon.com/b?node=121177981011"/>
    <hyperlink ref="L7" r:id="rId7" display="Clothing, Shoes &amp; Jewelry"/>
    <hyperlink ref="AR7" r:id="rId31" display="https://www.amazon.com/gp/help/seller/at-a-glance.html/ref=dp_merchant_link?seller=AW10J8VB8Z74G" tooltip="https://www.amazon.com/gp/help/seller/at-a-glance.html/ref=dp_merchant_link?seller=AW10J8VB8Z74G"/>
    <hyperlink ref="B8" r:id="rId32" display="B086D42D51" tooltip="https://www.amazon.com/dp/B086D42D51"/>
    <hyperlink ref="F8" r:id="rId33" display="https://www.amazon.com/stores/JEKAOYI/page/1CC599FA-46DE-4AFB-BDE0-033956DE325E?ref_=ast_bln&amp;store_ref=bl_ast_dp_brandLogo_sto" tooltip="https://www.amazon.com/stores/JEKAOYI/page/1CC599FA-46DE-4AFB-BDE0-033956DE325E?ref_=ast_bln&amp;store_ref=bl_ast_dp_brandLogo_sto"/>
    <hyperlink ref="H8" r:id="rId34" display="https://www.amazon.com/dp/B086D42D51?psc=1" tooltip="https://www.amazon.com/dp/B086D42D51?psc=1"/>
    <hyperlink ref="I8" r:id="rId35" display="https://images-na.ssl-images-amazon.com/images/I/41mx6DgY3AL._AC_US600_.jpg" tooltip="https://images-na.ssl-images-amazon.com/images/I/41mx6DgY3AL._AC_US600_.jpg"/>
    <hyperlink ref="J8" r:id="rId36" display="B086DBVT3F" tooltip="https://www.amazon.com/dp/B086DBVT3F"/>
    <hyperlink ref="K8" r:id="rId6" display="Clothing, Shoes &amp; Jewelry:Men:Clothing:Shirts:Button-Down Shirts" tooltip="https://www.amazon.com/b?node=121177981011"/>
    <hyperlink ref="L8" r:id="rId7" display="Clothing, Shoes &amp; Jewelry"/>
    <hyperlink ref="AR8" r:id="rId37" display="https://www.amazon.com/gp/help/seller/at-a-glance.html/ref=dp_merchant_link?seller=A2AVZ8BR4BUE4K" tooltip="https://www.amazon.com/gp/help/seller/at-a-glance.html/ref=dp_merchant_link?seller=A2AVZ8BR4BUE4K"/>
    <hyperlink ref="B9" r:id="rId38" display="B0D258ZKSG" tooltip="https://www.amazon.com/dp/B0D258ZKSG"/>
    <hyperlink ref="F9" r:id="rId2" display="https://www.amazon.com/stores/MAPICK/page/0912EDDE-F41D-46CC-9B2A-7A219ADAAB6B?ref_=ast_bln" tooltip="https://www.amazon.com/stores/MAPICK/page/0912EDDE-F41D-46CC-9B2A-7A219ADAAB6B?ref_=ast_bln"/>
    <hyperlink ref="H9" r:id="rId39" display="https://www.amazon.com/dp/B0D258ZKSG?psc=1" tooltip="https://www.amazon.com/dp/B0D258ZKSG?psc=1"/>
    <hyperlink ref="I9" r:id="rId4" display="https://m.media-amazon.com/images/I/41DfYfxKANL._AC_SR600,600_.jpg" tooltip="https://m.media-amazon.com/images/I/41DfYfxKANL._AC_SR600,600_.jpg"/>
    <hyperlink ref="J9" r:id="rId5" display="B0DLMJLFX1" tooltip="https://www.amazon.com/dp/B0DLMJLFX1"/>
    <hyperlink ref="K9" r:id="rId6" display="Clothing, Shoes &amp; Jewelry:Men:Clothing:Shirts:Button-Down Shirts" tooltip="https://www.amazon.com/b?node=121177981011"/>
    <hyperlink ref="L9" r:id="rId7" display="Clothing, Shoes &amp; Jewelry"/>
    <hyperlink ref="AR9" r:id="rId8" display="https://www.amazon.com/gp/help/seller/at-a-glance.html/ref=dp_merchant_link?seller=A2AFTVCB3HZ74Y" tooltip="https://www.amazon.com/gp/help/seller/at-a-glance.html/ref=dp_merchant_link?seller=A2AFTVCB3HZ74Y"/>
    <hyperlink ref="B10" r:id="rId40" display="B0C3D5HR1L" tooltip="https://www.amazon.com/dp/B0C3D5HR1L"/>
    <hyperlink ref="F10" r:id="rId41" display="https://www.amazon.com/stores/JVER/page/1F221D12-BDFC-4E35-B552-19E6740F1D2A?ref_=ast_bln&amp;store_ref=bl_ast_dp_brandLogo_sto" tooltip="https://www.amazon.com/stores/JVER/page/1F221D12-BDFC-4E35-B552-19E6740F1D2A?ref_=ast_bln&amp;store_ref=bl_ast_dp_brandLogo_sto"/>
    <hyperlink ref="H10" r:id="rId42" display="https://www.amazon.com/dp/B0C3D5HR1L?psc=1" tooltip="https://www.amazon.com/dp/B0C3D5HR1L?psc=1"/>
    <hyperlink ref="I10" r:id="rId43" display="https://m.media-amazon.com/images/I/31w0zNPpAKL._AC_SR600,600_.jpg" tooltip="https://m.media-amazon.com/images/I/31w0zNPpAKL._AC_SR600,600_.jpg"/>
    <hyperlink ref="J10" r:id="rId44" display="B0CPFFH4PZ" tooltip="https://www.amazon.com/dp/B0CPFFH4PZ"/>
    <hyperlink ref="K10" r:id="rId6" display="Clothing, Shoes &amp; Jewelry:Men:Clothing:Shirts:Button-Down Shirts" tooltip="https://www.amazon.com/b?node=121177981011"/>
    <hyperlink ref="L10" r:id="rId7" display="Clothing, Shoes &amp; Jewelry"/>
    <hyperlink ref="AR10" r:id="rId45" display="https://www.amazon.com/gp/help/seller/at-a-glance.html/ref=dp_merchant_link?seller=A2FHNONIQMDEMP" tooltip="https://www.amazon.com/gp/help/seller/at-a-glance.html/ref=dp_merchant_link?seller=A2FHNONIQMDEMP"/>
    <hyperlink ref="B11" r:id="rId46" display="B0CJXX6KQP" tooltip="https://www.amazon.com/dp/B0CJXX6KQP"/>
    <hyperlink ref="F11" r:id="rId16" display="https://www.amazon.com/stores/COOFANDY/page/23614F3D-BBD9-4564-8B56-4436A5CD5A93?ref_=ast_bln" tooltip="https://www.amazon.com/stores/COOFANDY/page/23614F3D-BBD9-4564-8B56-4436A5CD5A93?ref_=ast_bln"/>
    <hyperlink ref="H11" r:id="rId47" display="https://www.amazon.com/dp/B0CJXX6KQP?psc=1" tooltip="https://www.amazon.com/dp/B0CJXX6KQP?psc=1"/>
    <hyperlink ref="I11" r:id="rId48" display="https://m.media-amazon.com/images/I/41CWJ9EnmDL._AC_SR600,600_.jpg" tooltip="https://m.media-amazon.com/images/I/41CWJ9EnmDL._AC_SR600,600_.jpg"/>
    <hyperlink ref="J11" r:id="rId49" display="B0DDXHVRV5" tooltip="https://www.amazon.com/dp/B0DDXHVRV5"/>
    <hyperlink ref="K11" r:id="rId6" display="Clothing, Shoes &amp; Jewelry:Men:Clothing:Shirts:Button-Down Shirts" tooltip="https://www.amazon.com/b?node=121177981011"/>
    <hyperlink ref="L11" r:id="rId7" display="Clothing, Shoes &amp; Jewelry"/>
    <hyperlink ref="AR11" r:id="rId31" display="https://www.amazon.com/gp/help/seller/at-a-glance.html/ref=dp_merchant_link?seller=AW10J8VB8Z74G" tooltip="https://www.amazon.com/gp/help/seller/at-a-glance.html/ref=dp_merchant_link?seller=AW10J8VB8Z74G"/>
    <hyperlink ref="B12" r:id="rId50" display="B0C2H34MHG" tooltip="https://www.amazon.com/dp/B0C2H34MHG"/>
    <hyperlink ref="F12" r:id="rId51" display="https://www.amazon.com/stores/VATPAVE/page/56E298D3-4201-4761-9CD6-F70F67AB957B?ref_=ast_bln&amp;store_ref=bl_ast_dp_brandLogo_sto" tooltip="https://www.amazon.com/stores/VATPAVE/page/56E298D3-4201-4761-9CD6-F70F67AB957B?ref_=ast_bln&amp;store_ref=bl_ast_dp_brandLogo_sto"/>
    <hyperlink ref="H12" r:id="rId52" display="https://www.amazon.com/dp/B0C2H34MHG?psc=1" tooltip="https://www.amazon.com/dp/B0C2H34MHG?psc=1"/>
    <hyperlink ref="I12" r:id="rId53" display="https://m.media-amazon.com/images/I/41Vu5yyOdxL._AC_SR600,600_.jpg" tooltip="https://m.media-amazon.com/images/I/41Vu5yyOdxL._AC_SR600,600_.jpg"/>
    <hyperlink ref="J12" r:id="rId54" display="B0BS3HCFMQ" tooltip="https://www.amazon.com/dp/B0BS3HCFMQ"/>
    <hyperlink ref="K12" r:id="rId6" display="Clothing, Shoes &amp; Jewelry:Men:Clothing:Shirts:Button-Down Shirts" tooltip="https://www.amazon.com/b?node=121177981011"/>
    <hyperlink ref="L12" r:id="rId7" display="Clothing, Shoes &amp; Jewelry"/>
    <hyperlink ref="AR12" r:id="rId55" display="https://www.amazon.com/gp/help/seller/at-a-glance.html/ref=dp_merchant_link?seller=A60375D51PSXW" tooltip="https://www.amazon.com/gp/help/seller/at-a-glance.html/ref=dp_merchant_link?seller=A60375D51PSXW"/>
    <hyperlink ref="B13" r:id="rId56" display="B0DG4R7YNZ" tooltip="https://www.amazon.com/dp/B0DG4R7YNZ"/>
    <hyperlink ref="F13" r:id="rId10" display="https://www.amazon.com/stores/LETSEE/page/720EC636-72C3-4878-A8D7-A8E7B5CB6E40?ref_=ast_bln" tooltip="https://www.amazon.com/stores/LETSEE/page/720EC636-72C3-4878-A8D7-A8E7B5CB6E40?ref_=ast_bln"/>
    <hyperlink ref="H13" r:id="rId57" display="https://www.amazon.com/dp/B0DG4R7YNZ?psc=1" tooltip="https://www.amazon.com/dp/B0DG4R7YNZ?psc=1"/>
    <hyperlink ref="I13" r:id="rId58" display="https://m.media-amazon.com/images/I/31WAM-CqWrL._AC_SR600,600_.jpg" tooltip="https://m.media-amazon.com/images/I/31WAM-CqWrL._AC_SR600,600_.jpg"/>
    <hyperlink ref="J13" r:id="rId59" display="B0DG4RNXZ9" tooltip="https://www.amazon.com/dp/B0DG4RNXZ9"/>
    <hyperlink ref="K13" r:id="rId6" display="Clothing, Shoes &amp; Jewelry:Men:Clothing:Shirts:Button-Down Shirts" tooltip="https://www.amazon.com/b?node=121177981011"/>
    <hyperlink ref="L13" r:id="rId7" display="Clothing, Shoes &amp; Jewelry"/>
    <hyperlink ref="AR13" r:id="rId14" display="https://www.amazon.com/gp/help/seller/at-a-glance.html/ref=dp_merchant_link?seller=ACP1AZUKRDS99" tooltip="https://www.amazon.com/gp/help/seller/at-a-glance.html/ref=dp_merchant_link?seller=ACP1AZUKRDS99"/>
    <hyperlink ref="B14" r:id="rId60" display="B09NKT42GZ" tooltip="https://www.amazon.com/dp/B09NKT42GZ"/>
    <hyperlink ref="F14" r:id="rId16" display="https://www.amazon.com/stores/COOFANDY/page/23614F3D-BBD9-4564-8B56-4436A5CD5A93?ref_=ast_bln" tooltip="https://www.amazon.com/stores/COOFANDY/page/23614F3D-BBD9-4564-8B56-4436A5CD5A93?ref_=ast_bln"/>
    <hyperlink ref="H14" r:id="rId61" display="https://www.amazon.com/dp/B09NKT42GZ?psc=1" tooltip="https://www.amazon.com/dp/B09NKT42GZ?psc=1"/>
    <hyperlink ref="I14" r:id="rId62" display="https://m.media-amazon.com/images/I/51+XBxbNteL._AC_SR600,600_.jpg" tooltip="https://m.media-amazon.com/images/I/51+XBxbNteL._AC_SR600,600_.jpg"/>
    <hyperlink ref="J14" r:id="rId63" display="B0DDXBS2QW" tooltip="https://www.amazon.com/dp/B0DDXBS2QW"/>
    <hyperlink ref="K14" r:id="rId6" display="Clothing, Shoes &amp; Jewelry:Men:Clothing:Shirts:Button-Down Shirts" tooltip="https://www.amazon.com/b?node=121177981011"/>
    <hyperlink ref="L14" r:id="rId7" display="Clothing, Shoes &amp; Jewelry"/>
    <hyperlink ref="AR14" r:id="rId31" display="https://www.amazon.com/gp/help/seller/at-a-glance.html/ref=dp_merchant_link?seller=AW10J8VB8Z74G" tooltip="https://www.amazon.com/gp/help/seller/at-a-glance.html/ref=dp_merchant_link?seller=AW10J8VB8Z74G"/>
    <hyperlink ref="B15" r:id="rId64" display="B0CWH3G4KM" tooltip="https://www.amazon.com/dp/B0CWH3G4KM"/>
    <hyperlink ref="F15" r:id="rId16" display="https://www.amazon.com/stores/COOFANDY/page/23614F3D-BBD9-4564-8B56-4436A5CD5A93?ref_=ast_bln" tooltip="https://www.amazon.com/stores/COOFANDY/page/23614F3D-BBD9-4564-8B56-4436A5CD5A93?ref_=ast_bln"/>
    <hyperlink ref="H15" r:id="rId65" display="https://www.amazon.com/dp/B0CWH3G4KM?psc=1" tooltip="https://www.amazon.com/dp/B0CWH3G4KM?psc=1"/>
    <hyperlink ref="I15" r:id="rId66" display="https://images-na.ssl-images-amazon.com/images/I/81-LRcOfIdL._AC_US600_.jpg" tooltip="https://images-na.ssl-images-amazon.com/images/I/81-LRcOfIdL._AC_US600_.jpg"/>
    <hyperlink ref="J15" r:id="rId67" display="B0DDY46FDW" tooltip="https://www.amazon.com/dp/B0DDY46FDW"/>
    <hyperlink ref="K15" r:id="rId6" display="Clothing, Shoes &amp; Jewelry:Men:Clothing:Shirts:Button-Down Shirts" tooltip="https://www.amazon.com/b?node=121177981011"/>
    <hyperlink ref="L15" r:id="rId7" display="Clothing, Shoes &amp; Jewelry"/>
    <hyperlink ref="AR15" r:id="rId31" display="https://www.amazon.com/gp/help/seller/at-a-glance.html/ref=dp_merchant_link?seller=AW10J8VB8Z74G" tooltip="https://www.amazon.com/gp/help/seller/at-a-glance.html/ref=dp_merchant_link?seller=AW10J8VB8Z74G"/>
    <hyperlink ref="B16" r:id="rId68" display="B0CCNBQ941" tooltip="https://www.amazon.com/dp/B0CCNBQ941"/>
    <hyperlink ref="F16" r:id="rId41" display="https://www.amazon.com/stores/JVER/page/1F221D12-BDFC-4E35-B552-19E6740F1D2A?ref_=ast_bln&amp;store_ref=bl_ast_dp_brandLogo_sto" tooltip="https://www.amazon.com/stores/JVER/page/1F221D12-BDFC-4E35-B552-19E6740F1D2A?ref_=ast_bln&amp;store_ref=bl_ast_dp_brandLogo_sto"/>
    <hyperlink ref="H16" r:id="rId69" display="https://www.amazon.com/dp/B0CCNBQ941?psc=1" tooltip="https://www.amazon.com/dp/B0CCNBQ941?psc=1"/>
    <hyperlink ref="I16" r:id="rId70" display="https://m.media-amazon.com/images/I/31VR5yhwLWL._AC_SR600,600_.jpg" tooltip="https://m.media-amazon.com/images/I/31VR5yhwLWL._AC_SR600,600_.jpg"/>
    <hyperlink ref="J16" r:id="rId71" display="B0CFHLCPZP" tooltip="https://www.amazon.com/dp/B0CFHLCPZP"/>
    <hyperlink ref="K16" r:id="rId6" display="Clothing, Shoes &amp; Jewelry:Men:Clothing:Shirts:Button-Down Shirts" tooltip="https://www.amazon.com/b?node=121177981011"/>
    <hyperlink ref="L16" r:id="rId7" display="Clothing, Shoes &amp; Jewelry"/>
    <hyperlink ref="AR16" r:id="rId45" display="https://www.amazon.com/gp/help/seller/at-a-glance.html/ref=dp_merchant_link?seller=A2FHNONIQMDEMP" tooltip="https://www.amazon.com/gp/help/seller/at-a-glance.html/ref=dp_merchant_link?seller=A2FHNONIQMDEMP"/>
    <hyperlink ref="B17" r:id="rId72" display="B08NSS8W59" tooltip="https://www.amazon.com/dp/B08NSS8W59"/>
    <hyperlink ref="F17" r:id="rId16" display="https://www.amazon.com/stores/COOFANDY/page/23614F3D-BBD9-4564-8B56-4436A5CD5A93?ref_=ast_bln" tooltip="https://www.amazon.com/stores/COOFANDY/page/23614F3D-BBD9-4564-8B56-4436A5CD5A93?ref_=ast_bln"/>
    <hyperlink ref="H17" r:id="rId73" display="https://www.amazon.com/dp/B08NSS8W59?psc=1" tooltip="https://www.amazon.com/dp/B08NSS8W59?psc=1"/>
    <hyperlink ref="I17" r:id="rId74" display="https://m.media-amazon.com/images/I/3144isMTgzL._AC_SR600,600_.jpg" tooltip="https://m.media-amazon.com/images/I/3144isMTgzL._AC_SR600,600_.jpg"/>
    <hyperlink ref="J17" r:id="rId75" display="B07849VCBQ" tooltip="https://www.amazon.com/dp/B07849VCBQ"/>
    <hyperlink ref="K17" r:id="rId76" display="Clothing, Shoes &amp; Jewelry:Men:Clothing:Shirts" tooltip="https://www.amazon.com/b?node=2476517011"/>
    <hyperlink ref="L17" r:id="rId7" display="Clothing, Shoes &amp; Jewelry"/>
    <hyperlink ref="AR17" r:id="rId31" display="https://www.amazon.com/gp/help/seller/at-a-glance.html/ref=dp_merchant_link?seller=AW10J8VB8Z74G" tooltip="https://www.amazon.com/gp/help/seller/at-a-glance.html/ref=dp_merchant_link?seller=AW10J8VB8Z74G"/>
    <hyperlink ref="B18" r:id="rId77" display="B0CLL2CCJR" tooltip="https://www.amazon.com/dp/B0CLL2CCJR"/>
    <hyperlink ref="F18" r:id="rId16" display="https://www.amazon.com/stores/COOFANDY/page/23614F3D-BBD9-4564-8B56-4436A5CD5A93?ref_=ast_bln" tooltip="https://www.amazon.com/stores/COOFANDY/page/23614F3D-BBD9-4564-8B56-4436A5CD5A93?ref_=ast_bln"/>
    <hyperlink ref="H18" r:id="rId78" display="https://www.amazon.com/dp/B0CLL2CCJR?psc=1" tooltip="https://www.amazon.com/dp/B0CLL2CCJR?psc=1"/>
    <hyperlink ref="I18" r:id="rId79" display="https://images-na.ssl-images-amazon.com/images/I/71+PHD2GVlL._AC_US600_.jpg" tooltip="https://images-na.ssl-images-amazon.com/images/I/71+PHD2GVlL._AC_US600_.jpg"/>
    <hyperlink ref="J18" r:id="rId80" display="B0DDXWG187" tooltip="https://www.amazon.com/dp/B0DDXWG187"/>
    <hyperlink ref="K18" r:id="rId6" display="Clothing, Shoes &amp; Jewelry:Men:Clothing:Shirts:Button-Down Shirts" tooltip="https://www.amazon.com/b?node=121177981011"/>
    <hyperlink ref="L18" r:id="rId7" display="Clothing, Shoes &amp; Jewelry"/>
    <hyperlink ref="AR18" r:id="rId31" display="https://www.amazon.com/gp/help/seller/at-a-glance.html/ref=dp_merchant_link?seller=AW10J8VB8Z74G" tooltip="https://www.amazon.com/gp/help/seller/at-a-glance.html/ref=dp_merchant_link?seller=AW10J8VB8Z74G"/>
    <hyperlink ref="B19" r:id="rId81" display="B0D1Y5BQRM" tooltip="https://www.amazon.com/dp/B0D1Y5BQRM"/>
    <hyperlink ref="F19" r:id="rId82" display="https://www.amazon.com/stores/JMIERR/page/3F09C8CE-18BF-4AE4-8F69-37AB8F65055E?ref_=ast_bln&amp;store_ref=bl_ast_dp_brandLogo_sto" tooltip="https://www.amazon.com/stores/JMIERR/page/3F09C8CE-18BF-4AE4-8F69-37AB8F65055E?ref_=ast_bln&amp;store_ref=bl_ast_dp_brandLogo_sto"/>
    <hyperlink ref="H19" r:id="rId83" display="https://www.amazon.com/dp/B0D1Y5BQRM?psc=1" tooltip="https://www.amazon.com/dp/B0D1Y5BQRM?psc=1"/>
    <hyperlink ref="I19" r:id="rId84" display="https://m.media-amazon.com/images/I/41gKOsE7hpL._AC_SR600,600_.jpg" tooltip="https://m.media-amazon.com/images/I/41gKOsE7hpL._AC_SR600,600_.jpg"/>
    <hyperlink ref="J19" r:id="rId85" display="B0D8ZMB76H" tooltip="https://www.amazon.com/dp/B0D8ZMB76H"/>
    <hyperlink ref="K19" r:id="rId6" display="Clothing, Shoes &amp; Jewelry:Men:Clothing:Shirts:Button-Down Shirts" tooltip="https://www.amazon.com/b?node=121177981011"/>
    <hyperlink ref="L19" r:id="rId7" display="Clothing, Shoes &amp; Jewelry"/>
    <hyperlink ref="AR19" r:id="rId86" display="https://www.amazon.com/gp/help/seller/at-a-glance.html/ref=dp_merchant_link?seller=A2MQT9OK1M7FLP" tooltip="https://www.amazon.com/gp/help/seller/at-a-glance.html/ref=dp_merchant_link?seller=A2MQT9OK1M7FLP"/>
    <hyperlink ref="B20" r:id="rId87" display="B0CKVPY311" tooltip="https://www.amazon.com/dp/B0CKVPY311"/>
    <hyperlink ref="F20" r:id="rId16" display="https://www.amazon.com/stores/COOFANDY/page/23614F3D-BBD9-4564-8B56-4436A5CD5A93?ref_=ast_bln" tooltip="https://www.amazon.com/stores/COOFANDY/page/23614F3D-BBD9-4564-8B56-4436A5CD5A93?ref_=ast_bln"/>
    <hyperlink ref="H20" r:id="rId88" display="https://www.amazon.com/dp/B0CKVPY311?psc=1" tooltip="https://www.amazon.com/dp/B0CKVPY311?psc=1"/>
    <hyperlink ref="I20" r:id="rId89" display="https://m.media-amazon.com/images/I/41OvxAaaiQL._AC_SR600,600_.jpg" tooltip="https://m.media-amazon.com/images/I/41OvxAaaiQL._AC_SR600,600_.jpg"/>
    <hyperlink ref="J20" r:id="rId90" display="B0DDX8JWHN" tooltip="https://www.amazon.com/dp/B0DDX8JWHN"/>
    <hyperlink ref="K20" r:id="rId6" display="Clothing, Shoes &amp; Jewelry:Men:Clothing:Shirts:Button-Down Shirts" tooltip="https://www.amazon.com/b?node=121177981011"/>
    <hyperlink ref="L20" r:id="rId7" display="Clothing, Shoes &amp; Jewelry"/>
    <hyperlink ref="AR20" r:id="rId31" display="https://www.amazon.com/gp/help/seller/at-a-glance.html/ref=dp_merchant_link?seller=AW10J8VB8Z74G" tooltip="https://www.amazon.com/gp/help/seller/at-a-glance.html/ref=dp_merchant_link?seller=AW10J8VB8Z74G"/>
    <hyperlink ref="B21" r:id="rId91" display="B0869KRDZB" tooltip="https://www.amazon.com/dp/B0869KRDZB"/>
    <hyperlink ref="F21" r:id="rId16" display="https://www.amazon.com/stores/COOFANDY/page/23614F3D-BBD9-4564-8B56-4436A5CD5A93?ref_=ast_bln" tooltip="https://www.amazon.com/stores/COOFANDY/page/23614F3D-BBD9-4564-8B56-4436A5CD5A93?ref_=ast_bln"/>
    <hyperlink ref="H21" r:id="rId92" display="https://www.amazon.com/dp/B0869KRDZB?psc=1" tooltip="https://www.amazon.com/dp/B0869KRDZB?psc=1"/>
    <hyperlink ref="I21" r:id="rId93" display="https://m.media-amazon.com/images/I/41qmvvUlMYL._AC_SR600,600_.jpg" tooltip="https://m.media-amazon.com/images/I/41qmvvUlMYL._AC_SR600,600_.jpg"/>
    <hyperlink ref="J21" r:id="rId94" display="B0CTQK1MKT" tooltip="https://www.amazon.com/dp/B0CTQK1MKT"/>
    <hyperlink ref="K21" r:id="rId6" display="Clothing, Shoes &amp; Jewelry:Men:Clothing:Shirts:Button-Down Shirts" tooltip="https://www.amazon.com/b?node=121177981011"/>
    <hyperlink ref="L21" r:id="rId7" display="Clothing, Shoes &amp; Jewelry"/>
    <hyperlink ref="AR21" r:id="rId20" display="https://www.amazon.com/gp/help/seller/at-a-glance.html/ref=dp_merchant_link?seller=AYQEI860TGUFX" tooltip="https://www.amazon.com/gp/help/seller/at-a-glance.html/ref=dp_merchant_link?seller=AYQEI860TGUFX"/>
    <hyperlink ref="B22" r:id="rId95" display="B0CLLBB2Y6" tooltip="https://www.amazon.com/dp/B0CLLBB2Y6"/>
    <hyperlink ref="F22" r:id="rId16" display="https://www.amazon.com/stores/COOFANDY/page/23614F3D-BBD9-4564-8B56-4436A5CD5A93?ref_=ast_bln" tooltip="https://www.amazon.com/stores/COOFANDY/page/23614F3D-BBD9-4564-8B56-4436A5CD5A93?ref_=ast_bln"/>
    <hyperlink ref="H22" r:id="rId96" display="https://www.amazon.com/dp/B0CLLBB2Y6?psc=1" tooltip="https://www.amazon.com/dp/B0CLLBB2Y6?psc=1"/>
    <hyperlink ref="I22" r:id="rId97" display="https://m.media-amazon.com/images/I/317R3DfeesL._AC_SR600,600_.jpg" tooltip="https://m.media-amazon.com/images/I/317R3DfeesL._AC_SR600,600_.jpg"/>
    <hyperlink ref="J22" r:id="rId98" display="B0DDYBPYLJ" tooltip="https://www.amazon.com/dp/B0DDYBPYLJ"/>
    <hyperlink ref="K22" r:id="rId6" display="Clothing, Shoes &amp; Jewelry:Men:Clothing:Shirts:Button-Down Shirts" tooltip="https://www.amazon.com/b?node=121177981011"/>
    <hyperlink ref="L22" r:id="rId7" display="Clothing, Shoes &amp; Jewelry"/>
    <hyperlink ref="AR22" r:id="rId31" display="https://www.amazon.com/gp/help/seller/at-a-glance.html/ref=dp_merchant_link?seller=AW10J8VB8Z74G" tooltip="https://www.amazon.com/gp/help/seller/at-a-glance.html/ref=dp_merchant_link?seller=AW10J8VB8Z74G"/>
    <hyperlink ref="B23" r:id="rId99" display="B09B7LS4WP" tooltip="https://www.amazon.com/dp/B09B7LS4WP"/>
    <hyperlink ref="F23" r:id="rId16" display="https://www.amazon.com/stores/COOFANDY/page/23614F3D-BBD9-4564-8B56-4436A5CD5A93?ref_=ast_bln" tooltip="https://www.amazon.com/stores/COOFANDY/page/23614F3D-BBD9-4564-8B56-4436A5CD5A93?ref_=ast_bln"/>
    <hyperlink ref="H23" r:id="rId100" display="https://www.amazon.com/dp/B09B7LS4WP?psc=1" tooltip="https://www.amazon.com/dp/B09B7LS4WP?psc=1"/>
    <hyperlink ref="I23" r:id="rId101" display="https://m.media-amazon.com/images/I/41q+eay25mL._AC_SR600,600_.jpg" tooltip="https://m.media-amazon.com/images/I/41q+eay25mL._AC_SR600,600_.jpg"/>
    <hyperlink ref="J23" r:id="rId102" display="B0DF2HBBWS" tooltip="https://www.amazon.com/dp/B0DF2HBBWS"/>
    <hyperlink ref="K23" r:id="rId6" display="Clothing, Shoes &amp; Jewelry:Men:Clothing:Shirts:Button-Down Shirts" tooltip="https://www.amazon.com/b?node=121177981011"/>
    <hyperlink ref="L23" r:id="rId7" display="Clothing, Shoes &amp; Jewelry"/>
    <hyperlink ref="AR23" r:id="rId31" display="https://www.amazon.com/gp/help/seller/at-a-glance.html/ref=dp_merchant_link?seller=AW10J8VB8Z74G" tooltip="https://www.amazon.com/gp/help/seller/at-a-glance.html/ref=dp_merchant_link?seller=AW10J8VB8Z74G"/>
    <hyperlink ref="B24" r:id="rId103" display="B08DR85BV8" tooltip="https://www.amazon.com/dp/B08DR85BV8"/>
    <hyperlink ref="F24" r:id="rId104" display="https://www.amazon.com/stores/Ryannology/page/8CC69922-1DCB-4EF0-B846-4421B02AA86F?ref_=ast_bln&amp;store_ref=bl_ast_dp_brandLogo_sto" tooltip="https://www.amazon.com/stores/Ryannology/page/8CC69922-1DCB-4EF0-B846-4421B02AA86F?ref_=ast_bln&amp;store_ref=bl_ast_dp_brandLogo_sto"/>
    <hyperlink ref="H24" r:id="rId105" display="https://www.amazon.com/dp/B08DR85BV8?psc=1" tooltip="https://www.amazon.com/dp/B08DR85BV8?psc=1"/>
    <hyperlink ref="I24" r:id="rId106" display="https://m.media-amazon.com/images/I/41AbKkZsehL._AC_SR600,600_.jpg" tooltip="https://m.media-amazon.com/images/I/41AbKkZsehL._AC_SR600,600_.jpg"/>
    <hyperlink ref="J24" r:id="rId107" display="B09N1B76TC" tooltip="https://www.amazon.com/dp/B09N1B76TC"/>
    <hyperlink ref="K24" r:id="rId108" display="Clothing, Shoes &amp; Jewelry:Men:Clothing:Shirts:T-Shirts" tooltip="https://www.amazon.com/b?node=1045624"/>
    <hyperlink ref="L24" r:id="rId7" display="Clothing, Shoes &amp; Jewelry"/>
    <hyperlink ref="AR24" r:id="rId109" display="https://www.amazon.com/gp/help/seller/at-a-glance.html/ref=dp_merchant_link?seller=A3EYPCAO38F4RQ" tooltip="https://www.amazon.com/gp/help/seller/at-a-glance.html/ref=dp_merchant_link?seller=A3EYPCAO38F4RQ"/>
    <hyperlink ref="B25" r:id="rId110" display="B0B1TKV6KP" tooltip="https://www.amazon.com/dp/B0B1TKV6KP"/>
    <hyperlink ref="F25" r:id="rId33" display="https://www.amazon.com/stores/JEKAOYI/page/1CC599FA-46DE-4AFB-BDE0-033956DE325E?ref_=ast_bln&amp;store_ref=bl_ast_dp_brandLogo_sto" tooltip="https://www.amazon.com/stores/JEKAOYI/page/1CC599FA-46DE-4AFB-BDE0-033956DE325E?ref_=ast_bln&amp;store_ref=bl_ast_dp_brandLogo_sto"/>
    <hyperlink ref="H25" r:id="rId111" display="https://www.amazon.com/dp/B0B1TKV6KP?psc=1" tooltip="https://www.amazon.com/dp/B0B1TKV6KP?psc=1"/>
    <hyperlink ref="I25" r:id="rId112" display="https://images-na.ssl-images-amazon.com/images/I/51pxyeb3z6L._AC_US600_.jpg" tooltip="https://images-na.ssl-images-amazon.com/images/I/51pxyeb3z6L._AC_US600_.jpg"/>
    <hyperlink ref="J25" r:id="rId113" display="B0BN181XPV" tooltip="https://www.amazon.com/dp/B0BN181XPV"/>
    <hyperlink ref="K25" r:id="rId6" display="Clothing, Shoes &amp; Jewelry:Men:Clothing:Shirts:Button-Down Shirts" tooltip="https://www.amazon.com/b?node=121177981011"/>
    <hyperlink ref="L25" r:id="rId7" display="Clothing, Shoes &amp; Jewelry"/>
    <hyperlink ref="AR25" r:id="rId37" display="https://www.amazon.com/gp/help/seller/at-a-glance.html/ref=dp_merchant_link?seller=A2AVZ8BR4BUE4K" tooltip="https://www.amazon.com/gp/help/seller/at-a-glance.html/ref=dp_merchant_link?seller=A2AVZ8BR4BUE4K"/>
    <hyperlink ref="B26" r:id="rId114" display="B0BKSVFNSM" tooltip="https://www.amazon.com/dp/B0BKSVFNSM"/>
    <hyperlink ref="F26" r:id="rId16" display="https://www.amazon.com/stores/COOFANDY/page/23614F3D-BBD9-4564-8B56-4436A5CD5A93?ref_=ast_bln" tooltip="https://www.amazon.com/stores/COOFANDY/page/23614F3D-BBD9-4564-8B56-4436A5CD5A93?ref_=ast_bln"/>
    <hyperlink ref="H26" r:id="rId115" display="https://www.amazon.com/dp/B0BKSVFNSM?psc=1" tooltip="https://www.amazon.com/dp/B0BKSVFNSM?psc=1"/>
    <hyperlink ref="I26" r:id="rId116" display="https://images-na.ssl-images-amazon.com/images/I/71MMeRj+CEL._AC_US600_.jpg" tooltip="https://images-na.ssl-images-amazon.com/images/I/71MMeRj+CEL._AC_US600_.jpg"/>
    <hyperlink ref="J26" r:id="rId117" display="B0BKSXD5Z2" tooltip="https://www.amazon.com/dp/B0BKSXD5Z2"/>
    <hyperlink ref="K26" r:id="rId6" display="Clothing, Shoes &amp; Jewelry:Men:Clothing:Shirts:Button-Down Shirts" tooltip="https://www.amazon.com/b?node=121177981011"/>
    <hyperlink ref="L26" r:id="rId7" display="Clothing, Shoes &amp; Jewelry"/>
    <hyperlink ref="AR26" r:id="rId20" display="https://www.amazon.com/gp/help/seller/at-a-glance.html/ref=dp_merchant_link?seller=AYQEI860TGUFX" tooltip="https://www.amazon.com/gp/help/seller/at-a-glance.html/ref=dp_merchant_link?seller=AYQEI860TGUFX"/>
    <hyperlink ref="B27" r:id="rId118" display="B003S2DPX6" tooltip="https://www.amazon.com/dp/B003S2DPX6"/>
    <hyperlink ref="F27" r:id="rId119" display="https://www.amazon.com/stores/Cubavera/page/00EE9CE4-5829-49A7-84F9-C3A2A94E9123?ref_=ast_bln&amp;store_ref=bl_ast_dp_brandLogo_sto" tooltip="https://www.amazon.com/stores/Cubavera/page/00EE9CE4-5829-49A7-84F9-C3A2A94E9123?ref_=ast_bln&amp;store_ref=bl_ast_dp_brandLogo_sto"/>
    <hyperlink ref="H27" r:id="rId120" display="https://www.amazon.com/dp/B003S2DPX6?psc=1" tooltip="https://www.amazon.com/dp/B003S2DPX6?psc=1"/>
    <hyperlink ref="I27" r:id="rId121" display="https://images-na.ssl-images-amazon.com/images/I/71chNVoEfBS._AC_US600_.jpg" tooltip="https://images-na.ssl-images-amazon.com/images/I/71chNVoEfBS._AC_US600_.jpg"/>
    <hyperlink ref="J27" r:id="rId122" display="B09Y1ZX2MZ" tooltip="https://www.amazon.com/dp/B09Y1ZX2MZ"/>
    <hyperlink ref="K27" r:id="rId6" display="Clothing, Shoes &amp; Jewelry:Men:Clothing:Shirts:Button-Down Shirts" tooltip="https://www.amazon.com/b?node=121177981011"/>
    <hyperlink ref="L27" r:id="rId7" display="Clothing, Shoes &amp; Jewelry"/>
    <hyperlink ref="AR27" r:id="rId123" display="https://www.amazon.com/gp/help/seller/at-a-glance.html/ref=dp_merchant_link?seller=A1YQINW0AIUDAD" tooltip="https://www.amazon.com/gp/help/seller/at-a-glance.html/ref=dp_merchant_link?seller=A1YQINW0AIUDAD"/>
    <hyperlink ref="B28" r:id="rId124" display="B0C4FN7429" tooltip="https://www.amazon.com/dp/B0C4FN7429"/>
    <hyperlink ref="F28" r:id="rId125" display="https://www.amazon.com/stores/AlimensGentle/page/49CD71DA-8B8C-4DAD-82E3-C4EE212D5CA1?ref_=ast_bln&amp;store_ref=bl_ast_dp_brandLogo_sto" tooltip="https://www.amazon.com/stores/AlimensGentle/page/49CD71DA-8B8C-4DAD-82E3-C4EE212D5CA1?ref_=ast_bln&amp;store_ref=bl_ast_dp_brandLogo_sto"/>
    <hyperlink ref="H28" r:id="rId126" display="https://www.amazon.com/dp/B0C4FN7429?psc=1" tooltip="https://www.amazon.com/dp/B0C4FN7429?psc=1"/>
    <hyperlink ref="I28" r:id="rId127" display="https://m.media-amazon.com/images/I/41x9XXFnJqL._AC_SR600,600_.jpg" tooltip="https://m.media-amazon.com/images/I/41x9XXFnJqL._AC_SR600,600_.jpg"/>
    <hyperlink ref="J28" r:id="rId128" display="B0D4LD99BQ" tooltip="https://www.amazon.com/dp/B0D4LD99BQ"/>
    <hyperlink ref="K28" r:id="rId6" display="Clothing, Shoes &amp; Jewelry:Men:Clothing:Shirts:Button-Down Shirts" tooltip="https://www.amazon.com/b?node=121177981011"/>
    <hyperlink ref="L28" r:id="rId7" display="Clothing, Shoes &amp; Jewelry"/>
    <hyperlink ref="AR28" r:id="rId129" display="https://www.amazon.com/gp/help/seller/at-a-glance.html/ref=dp_merchant_link?seller=A2U49OUC4V6GLR" tooltip="https://www.amazon.com/gp/help/seller/at-a-glance.html/ref=dp_merchant_link?seller=A2U49OUC4V6GLR"/>
    <hyperlink ref="B29" r:id="rId130" display="B0CKVWMY79" tooltip="https://www.amazon.com/dp/B0CKVWMY79"/>
    <hyperlink ref="F29" r:id="rId16" display="https://www.amazon.com/stores/COOFANDY/page/23614F3D-BBD9-4564-8B56-4436A5CD5A93?ref_=ast_bln" tooltip="https://www.amazon.com/stores/COOFANDY/page/23614F3D-BBD9-4564-8B56-4436A5CD5A93?ref_=ast_bln"/>
    <hyperlink ref="H29" r:id="rId131" display="https://www.amazon.com/dp/B0CKVWMY79?psc=1" tooltip="https://www.amazon.com/dp/B0CKVWMY79?psc=1"/>
    <hyperlink ref="I29" r:id="rId132" display="https://m.media-amazon.com/images/I/41mzafddPgL._AC_SR600,600_.jpg" tooltip="https://m.media-amazon.com/images/I/41mzafddPgL._AC_SR600,600_.jpg"/>
    <hyperlink ref="J29" r:id="rId133" display="B0DDXX9CWQ" tooltip="https://www.amazon.com/dp/B0DDXX9CWQ"/>
    <hyperlink ref="K29" r:id="rId76" display="Clothing, Shoes &amp; Jewelry:Men:Clothing:Shirts" tooltip="https://www.amazon.com/b?node=2476517011"/>
    <hyperlink ref="L29" r:id="rId7" display="Clothing, Shoes &amp; Jewelry"/>
    <hyperlink ref="AR29" r:id="rId31" display="https://www.amazon.com/gp/help/seller/at-a-glance.html/ref=dp_merchant_link?seller=AW10J8VB8Z74G" tooltip="https://www.amazon.com/gp/help/seller/at-a-glance.html/ref=dp_merchant_link?seller=AW10J8VB8Z74G"/>
    <hyperlink ref="B30" r:id="rId134" display="B0CQ1KKKGJ" tooltip="https://www.amazon.com/dp/B0CQ1KKKGJ"/>
    <hyperlink ref="F30" r:id="rId135" display="https://www.amazon.com/stores/DEMEANOR/page/AB51D4CB-66EF-4F10-A923-7A47881C6B02?ref_=ast_bln" tooltip="https://www.amazon.com/stores/DEMEANOR/page/AB51D4CB-66EF-4F10-A923-7A47881C6B02?ref_=ast_bln"/>
    <hyperlink ref="H30" r:id="rId136" display="https://www.amazon.com/dp/B0CQ1KKKGJ?psc=1" tooltip="https://www.amazon.com/dp/B0CQ1KKKGJ?psc=1"/>
    <hyperlink ref="I30" r:id="rId137" display="https://images-na.ssl-images-amazon.com/images/I/719EWLT7gmL._AC_US600_.jpg" tooltip="https://images-na.ssl-images-amazon.com/images/I/719EWLT7gmL._AC_US600_.jpg"/>
    <hyperlink ref="J30" r:id="rId138" display="B0CQ5563XL" tooltip="https://www.amazon.com/dp/B0CQ5563XL"/>
    <hyperlink ref="K30" r:id="rId6" display="Clothing, Shoes &amp; Jewelry:Men:Clothing:Shirts:Button-Down Shirts" tooltip="https://www.amazon.com/b?node=121177981011"/>
    <hyperlink ref="L30" r:id="rId7" display="Clothing, Shoes &amp; Jewelry"/>
    <hyperlink ref="AR30" r:id="rId139" display="https://www.amazon.com/gp/help/seller/at-a-glance.html/ref=dp_merchant_link?seller=A1Q57G0HOV6U0E" tooltip="https://www.amazon.com/gp/help/seller/at-a-glance.html/ref=dp_merchant_link?seller=A1Q57G0HOV6U0E"/>
    <hyperlink ref="B31" r:id="rId140" display="B0D12QGQMH" tooltip="https://www.amazon.com/dp/B0D12QGQMH"/>
    <hyperlink ref="F31" r:id="rId10" display="https://www.amazon.com/stores/LETSEE/page/720EC636-72C3-4878-A8D7-A8E7B5CB6E40?ref_=ast_bln" tooltip="https://www.amazon.com/stores/LETSEE/page/720EC636-72C3-4878-A8D7-A8E7B5CB6E40?ref_=ast_bln"/>
    <hyperlink ref="H31" r:id="rId141" display="https://www.amazon.com/dp/B0D12QGQMH?psc=1" tooltip="https://www.amazon.com/dp/B0D12QGQMH?psc=1"/>
    <hyperlink ref="I31" r:id="rId142" display="https://images-na.ssl-images-amazon.com/images/I/81xTMVsKz5L._AC_US600_.jpg" tooltip="https://images-na.ssl-images-amazon.com/images/I/81xTMVsKz5L._AC_US600_.jpg"/>
    <hyperlink ref="J31" r:id="rId13" display="B0D9JP5F13" tooltip="https://www.amazon.com/dp/B0D9JP5F13"/>
    <hyperlink ref="K31" r:id="rId6" display="Clothing, Shoes &amp; Jewelry:Men:Clothing:Shirts:Button-Down Shirts" tooltip="https://www.amazon.com/b?node=121177981011"/>
    <hyperlink ref="L31" r:id="rId7" display="Clothing, Shoes &amp; Jewelry"/>
    <hyperlink ref="AR31" r:id="rId14" display="https://www.amazon.com/gp/help/seller/at-a-glance.html/ref=dp_merchant_link?seller=ACP1AZUKRDS99" tooltip="https://www.amazon.com/gp/help/seller/at-a-glance.html/ref=dp_merchant_link?seller=ACP1AZUKRDS99"/>
    <hyperlink ref="B32" r:id="rId143" display="B0CMH4P6NP" tooltip="https://www.amazon.com/dp/B0CMH4P6NP"/>
    <hyperlink ref="F32" r:id="rId16" display="https://www.amazon.com/stores/COOFANDY/page/23614F3D-BBD9-4564-8B56-4436A5CD5A93?ref_=ast_bln" tooltip="https://www.amazon.com/stores/COOFANDY/page/23614F3D-BBD9-4564-8B56-4436A5CD5A93?ref_=ast_bln"/>
    <hyperlink ref="H32" r:id="rId144" display="https://www.amazon.com/dp/B0CMH4P6NP?psc=1" tooltip="https://www.amazon.com/dp/B0CMH4P6NP?psc=1"/>
    <hyperlink ref="I32" r:id="rId145" display="https://m.media-amazon.com/images/I/41wao5XghrL._AC_SR600,600_.jpg" tooltip="https://m.media-amazon.com/images/I/41wao5XghrL._AC_SR600,600_.jpg"/>
    <hyperlink ref="J32" r:id="rId146" display="B0DDXBPK1H" tooltip="https://www.amazon.com/dp/B0DDXBPK1H"/>
    <hyperlink ref="K32" r:id="rId108" display="Clothing, Shoes &amp; Jewelry:Men:Clothing:Shirts:T-Shirts" tooltip="https://www.amazon.com/b?node=1045624"/>
    <hyperlink ref="L32" r:id="rId7" display="Clothing, Shoes &amp; Jewelry"/>
    <hyperlink ref="AR32" r:id="rId31" display="https://www.amazon.com/gp/help/seller/at-a-glance.html/ref=dp_merchant_link?seller=AW10J8VB8Z74G" tooltip="https://www.amazon.com/gp/help/seller/at-a-glance.html/ref=dp_merchant_link?seller=AW10J8VB8Z74G"/>
    <hyperlink ref="B33" r:id="rId147" display="B0CJTXG7JY" tooltip="https://www.amazon.com/dp/B0CJTXG7JY"/>
    <hyperlink ref="F33" r:id="rId16" display="https://www.amazon.com/stores/COOFANDY/page/23614F3D-BBD9-4564-8B56-4436A5CD5A93?ref_=ast_bln" tooltip="https://www.amazon.com/stores/COOFANDY/page/23614F3D-BBD9-4564-8B56-4436A5CD5A93?ref_=ast_bln"/>
    <hyperlink ref="H33" r:id="rId148" display="https://www.amazon.com/dp/B0CJTXG7JY?psc=1" tooltip="https://www.amazon.com/dp/B0CJTXG7JY?psc=1"/>
    <hyperlink ref="I33" r:id="rId149" display="https://m.media-amazon.com/images/I/41P55-qz+1L._AC_SR600,600_.jpg" tooltip="https://m.media-amazon.com/images/I/41P55-qz+1L._AC_SR600,600_.jpg"/>
    <hyperlink ref="J33" r:id="rId150" display="B0DDXQ2WVC" tooltip="https://www.amazon.com/dp/B0DDXQ2WVC"/>
    <hyperlink ref="K33" r:id="rId6" display="Clothing, Shoes &amp; Jewelry:Men:Clothing:Shirts:Button-Down Shirts" tooltip="https://www.amazon.com/b?node=121177981011"/>
    <hyperlink ref="L33" r:id="rId7" display="Clothing, Shoes &amp; Jewelry"/>
    <hyperlink ref="AR33" r:id="rId31" display="https://www.amazon.com/gp/help/seller/at-a-glance.html/ref=dp_merchant_link?seller=AW10J8VB8Z74G" tooltip="https://www.amazon.com/gp/help/seller/at-a-glance.html/ref=dp_merchant_link?seller=AW10J8VB8Z74G"/>
    <hyperlink ref="B34" r:id="rId151" display="B0C6SYT6YV" tooltip="https://www.amazon.com/dp/B0C6SYT6YV"/>
    <hyperlink ref="F34" r:id="rId33" display="https://www.amazon.com/stores/JEKAOYI/page/1CC599FA-46DE-4AFB-BDE0-033956DE325E?ref_=ast_bln&amp;store_ref=bl_ast_dp_brandLogo_sto" tooltip="https://www.amazon.com/stores/JEKAOYI/page/1CC599FA-46DE-4AFB-BDE0-033956DE325E?ref_=ast_bln&amp;store_ref=bl_ast_dp_brandLogo_sto"/>
    <hyperlink ref="H34" r:id="rId152" display="https://www.amazon.com/dp/B0C6SYT6YV?psc=1" tooltip="https://www.amazon.com/dp/B0C6SYT6YV?psc=1"/>
    <hyperlink ref="I34" r:id="rId153" display="https://m.media-amazon.com/images/I/41Y4mFC0x0L._AC_SR600,600_.jpg" tooltip="https://m.media-amazon.com/images/I/41Y4mFC0x0L._AC_SR600,600_.jpg"/>
    <hyperlink ref="J34" r:id="rId154" display="B0CKHRX1HS" tooltip="https://www.amazon.com/dp/B0CKHRX1HS"/>
    <hyperlink ref="K34" r:id="rId6" display="Clothing, Shoes &amp; Jewelry:Men:Clothing:Shirts:Button-Down Shirts" tooltip="https://www.amazon.com/b?node=121177981011"/>
    <hyperlink ref="L34" r:id="rId7" display="Clothing, Shoes &amp; Jewelry"/>
    <hyperlink ref="AR34" r:id="rId37" display="https://www.amazon.com/gp/help/seller/at-a-glance.html/ref=dp_merchant_link?seller=A2AVZ8BR4BUE4K" tooltip="https://www.amazon.com/gp/help/seller/at-a-glance.html/ref=dp_merchant_link?seller=A2AVZ8BR4BUE4K"/>
    <hyperlink ref="B35" r:id="rId155" display="B0CWZYQYBR" tooltip="https://www.amazon.com/dp/B0CWZYQYBR"/>
    <hyperlink ref="F35" r:id="rId16" display="https://www.amazon.com/stores/COOFANDY/page/23614F3D-BBD9-4564-8B56-4436A5CD5A93?ref_=ast_bln" tooltip="https://www.amazon.com/stores/COOFANDY/page/23614F3D-BBD9-4564-8B56-4436A5CD5A93?ref_=ast_bln"/>
    <hyperlink ref="H35" r:id="rId156" display="https://www.amazon.com/dp/B0CWZYQYBR?psc=1" tooltip="https://www.amazon.com/dp/B0CWZYQYBR?psc=1"/>
    <hyperlink ref="I35" r:id="rId157" display="https://images-na.ssl-images-amazon.com/images/I/71nDbCvdvwL._AC_US600_.jpg" tooltip="https://images-na.ssl-images-amazon.com/images/I/71nDbCvdvwL._AC_US600_.jpg"/>
    <hyperlink ref="J35" r:id="rId158" display="B0DDX77VFD" tooltip="https://www.amazon.com/dp/B0DDX77VFD"/>
    <hyperlink ref="K35" r:id="rId6" display="Clothing, Shoes &amp; Jewelry:Men:Clothing:Shirts:Button-Down Shirts" tooltip="https://www.amazon.com/b?node=121177981011"/>
    <hyperlink ref="L35" r:id="rId7" display="Clothing, Shoes &amp; Jewelry"/>
    <hyperlink ref="AR35" r:id="rId31" display="https://www.amazon.com/gp/help/seller/at-a-glance.html/ref=dp_merchant_link?seller=AW10J8VB8Z74G" tooltip="https://www.amazon.com/gp/help/seller/at-a-glance.html/ref=dp_merchant_link?seller=AW10J8VB8Z74G"/>
    <hyperlink ref="B36" r:id="rId159" display="B09NHT7X66" tooltip="https://www.amazon.com/dp/B09NHT7X66"/>
    <hyperlink ref="F36" r:id="rId16" display="https://www.amazon.com/stores/COOFANDY/page/23614F3D-BBD9-4564-8B56-4436A5CD5A93?ref_=ast_bln" tooltip="https://www.amazon.com/stores/COOFANDY/page/23614F3D-BBD9-4564-8B56-4436A5CD5A93?ref_=ast_bln"/>
    <hyperlink ref="H36" r:id="rId160" display="https://www.amazon.com/dp/B09NHT7X66?psc=1" tooltip="https://www.amazon.com/dp/B09NHT7X66?psc=1"/>
    <hyperlink ref="I36" r:id="rId161" display="https://m.media-amazon.com/images/I/51TbTJaY5rS._AC_SR600,600_.jpg" tooltip="https://m.media-amazon.com/images/I/51TbTJaY5rS._AC_SR600,600_.jpg"/>
    <hyperlink ref="J36" r:id="rId63" display="B0DDXBS2QW" tooltip="https://www.amazon.com/dp/B0DDXBS2QW"/>
    <hyperlink ref="K36" r:id="rId6" display="Clothing, Shoes &amp; Jewelry:Men:Clothing:Shirts:Button-Down Shirts" tooltip="https://www.amazon.com/b?node=121177981011"/>
    <hyperlink ref="L36" r:id="rId7" display="Clothing, Shoes &amp; Jewelry"/>
    <hyperlink ref="AR36" r:id="rId31" display="https://www.amazon.com/gp/help/seller/at-a-glance.html/ref=dp_merchant_link?seller=AW10J8VB8Z74G" tooltip="https://www.amazon.com/gp/help/seller/at-a-glance.html/ref=dp_merchant_link?seller=AW10J8VB8Z74G"/>
    <hyperlink ref="B37" r:id="rId162" display="B0BLZHMXJR" tooltip="https://www.amazon.com/dp/B0BLZHMXJR"/>
    <hyperlink ref="F37" r:id="rId16" display="https://www.amazon.com/stores/COOFANDY/page/23614F3D-BBD9-4564-8B56-4436A5CD5A93?ref_=ast_bln" tooltip="https://www.amazon.com/stores/COOFANDY/page/23614F3D-BBD9-4564-8B56-4436A5CD5A93?ref_=ast_bln"/>
    <hyperlink ref="H37" r:id="rId163" display="https://www.amazon.com/dp/B0BLZHMXJR?psc=1" tooltip="https://www.amazon.com/dp/B0BLZHMXJR?psc=1"/>
    <hyperlink ref="I37" r:id="rId164" display="https://images-na.ssl-images-amazon.com/images/I/71sicHesUjL._AC_US600_.jpg" tooltip="https://images-na.ssl-images-amazon.com/images/I/71sicHesUjL._AC_US600_.jpg"/>
    <hyperlink ref="J37" r:id="rId165" display="B0DDYB9JPM" tooltip="https://www.amazon.com/dp/B0DDYB9JPM"/>
    <hyperlink ref="K37" r:id="rId6" display="Clothing, Shoes &amp; Jewelry:Men:Clothing:Shirts:Button-Down Shirts" tooltip="https://www.amazon.com/b?node=121177981011"/>
    <hyperlink ref="L37" r:id="rId7" display="Clothing, Shoes &amp; Jewelry"/>
    <hyperlink ref="AR37" r:id="rId31" display="https://www.amazon.com/gp/help/seller/at-a-glance.html/ref=dp_merchant_link?seller=AW10J8VB8Z74G" tooltip="https://www.amazon.com/gp/help/seller/at-a-glance.html/ref=dp_merchant_link?seller=AW10J8VB8Z74G"/>
    <hyperlink ref="B38" r:id="rId166" display="B0CQL2C1P9" tooltip="https://www.amazon.com/dp/B0CQL2C1P9"/>
    <hyperlink ref="F38" r:id="rId16" display="https://www.amazon.com/stores/COOFANDY/page/23614F3D-BBD9-4564-8B56-4436A5CD5A93?ref_=ast_bln" tooltip="https://www.amazon.com/stores/COOFANDY/page/23614F3D-BBD9-4564-8B56-4436A5CD5A93?ref_=ast_bln"/>
    <hyperlink ref="H38" r:id="rId167" display="https://www.amazon.com/dp/B0CQL2C1P9?psc=1" tooltip="https://www.amazon.com/dp/B0CQL2C1P9?psc=1"/>
    <hyperlink ref="I38" r:id="rId168" display="https://images-na.ssl-images-amazon.com/images/I/71g04ozofuL._AC_US600_.jpg" tooltip="https://images-na.ssl-images-amazon.com/images/I/71g04ozofuL._AC_US600_.jpg"/>
    <hyperlink ref="J38" r:id="rId169" display="B0CBTF1GC5" tooltip="https://www.amazon.com/dp/B0CBTF1GC5"/>
    <hyperlink ref="K38" r:id="rId6" display="Clothing, Shoes &amp; Jewelry:Men:Clothing:Shirts:Button-Down Shirts" tooltip="https://www.amazon.com/b?node=121177981011"/>
    <hyperlink ref="L38" r:id="rId7" display="Clothing, Shoes &amp; Jewelry"/>
    <hyperlink ref="AR38" r:id="rId20" display="https://www.amazon.com/gp/help/seller/at-a-glance.html/ref=dp_merchant_link?seller=AYQEI860TGUFX" tooltip="https://www.amazon.com/gp/help/seller/at-a-glance.html/ref=dp_merchant_link?seller=AYQEI860TGUFX"/>
    <hyperlink ref="B39" r:id="rId170" display="B087X2996Y" tooltip="https://www.amazon.com/dp/B087X2996Y"/>
    <hyperlink ref="F39" r:id="rId16" display="https://www.amazon.com/stores/COOFANDY/page/23614F3D-BBD9-4564-8B56-4436A5CD5A93?ref_=ast_bln" tooltip="https://www.amazon.com/stores/COOFANDY/page/23614F3D-BBD9-4564-8B56-4436A5CD5A93?ref_=ast_bln"/>
    <hyperlink ref="H39" r:id="rId171" display="https://www.amazon.com/dp/B087X2996Y?psc=1" tooltip="https://www.amazon.com/dp/B087X2996Y?psc=1"/>
    <hyperlink ref="I39" r:id="rId172" display="https://images-na.ssl-images-amazon.com/images/I/61D1oLYxCVL._AC_US600_.jpg" tooltip="https://images-na.ssl-images-amazon.com/images/I/61D1oLYxCVL._AC_US600_.jpg"/>
    <hyperlink ref="J39" r:id="rId173" display="B087WP31H9" tooltip="https://www.amazon.com/dp/B087WP31H9"/>
    <hyperlink ref="K39" r:id="rId6" display="Clothing, Shoes &amp; Jewelry:Men:Clothing:Shirts:Button-Down Shirts" tooltip="https://www.amazon.com/b?node=121177981011"/>
    <hyperlink ref="L39" r:id="rId7" display="Clothing, Shoes &amp; Jewelry"/>
    <hyperlink ref="AR39" r:id="rId174" display="https://www.amazon.com/gp/help/seller/at-a-glance.html/ref=dp_merchant_link?seller=AX9MEOBFAEDU7" tooltip="https://www.amazon.com/gp/help/seller/at-a-glance.html/ref=dp_merchant_link?seller=AX9MEOBFAEDU7"/>
    <hyperlink ref="B40" r:id="rId175" display="B0CTKB3BCC" tooltip="https://www.amazon.com/dp/B0CTKB3BCC"/>
    <hyperlink ref="F40" r:id="rId125" display="https://www.amazon.com/stores/AlimensGentle/page/49CD71DA-8B8C-4DAD-82E3-C4EE212D5CA1?ref_=ast_bln&amp;store_ref=bl_ast_dp_brandLogo_sto" tooltip="https://www.amazon.com/stores/AlimensGentle/page/49CD71DA-8B8C-4DAD-82E3-C4EE212D5CA1?ref_=ast_bln&amp;store_ref=bl_ast_dp_brandLogo_sto"/>
    <hyperlink ref="H40" r:id="rId176" display="https://www.amazon.com/dp/B0CTKB3BCC?psc=1" tooltip="https://www.amazon.com/dp/B0CTKB3BCC?psc=1"/>
    <hyperlink ref="I40" r:id="rId177" display="https://m.media-amazon.com/images/I/41kO2bwCjBL._AC_SR600,600_.jpg" tooltip="https://m.media-amazon.com/images/I/41kO2bwCjBL._AC_SR600,600_.jpg"/>
    <hyperlink ref="J40" r:id="rId178" display="B0CTKB6YBD" tooltip="https://www.amazon.com/dp/B0CTKB6YBD"/>
    <hyperlink ref="K40" r:id="rId108" display="Clothing, Shoes &amp; Jewelry:Men:Clothing:Shirts:T-Shirts" tooltip="https://www.amazon.com/b?node=1045624"/>
    <hyperlink ref="L40" r:id="rId7" display="Clothing, Shoes &amp; Jewelry"/>
    <hyperlink ref="AR40" r:id="rId129" display="https://www.amazon.com/gp/help/seller/at-a-glance.html/ref=dp_merchant_link?seller=A2U49OUC4V6GLR" tooltip="https://www.amazon.com/gp/help/seller/at-a-glance.html/ref=dp_merchant_link?seller=A2U49OUC4V6GLR"/>
    <hyperlink ref="B41" r:id="rId179" display="B0CP1N34D6" tooltip="https://www.amazon.com/dp/B0CP1N34D6"/>
    <hyperlink ref="F41" r:id="rId16" display="https://www.amazon.com/stores/COOFANDY/page/23614F3D-BBD9-4564-8B56-4436A5CD5A93?ref_=ast_bln" tooltip="https://www.amazon.com/stores/COOFANDY/page/23614F3D-BBD9-4564-8B56-4436A5CD5A93?ref_=ast_bln"/>
    <hyperlink ref="H41" r:id="rId180" display="https://www.amazon.com/dp/B0CP1N34D6?psc=1" tooltip="https://www.amazon.com/dp/B0CP1N34D6?psc=1"/>
    <hyperlink ref="I41" r:id="rId181" display="https://m.media-amazon.com/images/I/41PVJ2HLk5L._AC_SR600,600_.jpg" tooltip="https://m.media-amazon.com/images/I/41PVJ2HLk5L._AC_SR600,600_.jpg"/>
    <hyperlink ref="J41" r:id="rId182" display="B0DDXRVVZ2" tooltip="https://www.amazon.com/dp/B0DDXRVVZ2"/>
    <hyperlink ref="K41" r:id="rId6" display="Clothing, Shoes &amp; Jewelry:Men:Clothing:Shirts:Button-Down Shirts" tooltip="https://www.amazon.com/b?node=121177981011"/>
    <hyperlink ref="L41" r:id="rId7" display="Clothing, Shoes &amp; Jewelry"/>
    <hyperlink ref="AR41" r:id="rId31" display="https://www.amazon.com/gp/help/seller/at-a-glance.html/ref=dp_merchant_link?seller=AW10J8VB8Z74G" tooltip="https://www.amazon.com/gp/help/seller/at-a-glance.html/ref=dp_merchant_link?seller=AW10J8VB8Z74G"/>
    <hyperlink ref="B42" r:id="rId183" display="B0867B2ZDN" tooltip="https://www.amazon.com/dp/B0867B2ZDN"/>
    <hyperlink ref="F42" r:id="rId33" display="https://www.amazon.com/stores/JEKAOYI/page/1CC599FA-46DE-4AFB-BDE0-033956DE325E?ref_=ast_bln&amp;store_ref=bl_ast_dp_brandLogo_sto" tooltip="https://www.amazon.com/stores/JEKAOYI/page/1CC599FA-46DE-4AFB-BDE0-033956DE325E?ref_=ast_bln&amp;store_ref=bl_ast_dp_brandLogo_sto"/>
    <hyperlink ref="H42" r:id="rId184" display="https://www.amazon.com/dp/B0867B2ZDN?psc=1" tooltip="https://www.amazon.com/dp/B0867B2ZDN?psc=1"/>
    <hyperlink ref="I42" r:id="rId185" display="https://m.media-amazon.com/images/I/41xOicVFAvL._AC_SR600,600_.jpg" tooltip="https://m.media-amazon.com/images/I/41xOicVFAvL._AC_SR600,600_.jpg"/>
    <hyperlink ref="J42" r:id="rId186" display="B0867BKGLG" tooltip="https://www.amazon.com/dp/B0867BKGLG"/>
    <hyperlink ref="K42" r:id="rId6" display="Clothing, Shoes &amp; Jewelry:Men:Clothing:Shirts:Button-Down Shirts" tooltip="https://www.amazon.com/b?node=121177981011"/>
    <hyperlink ref="L42" r:id="rId7" display="Clothing, Shoes &amp; Jewelry"/>
    <hyperlink ref="AR42" r:id="rId187" display="https://www.amazon.com/gp/help/seller/at-a-glance.html/ref=dp_merchant_link?seller=A107Z78SG8ROPE" tooltip="https://www.amazon.com/gp/help/seller/at-a-glance.html/ref=dp_merchant_link?seller=A107Z78SG8ROPE"/>
    <hyperlink ref="B43" r:id="rId188" display="B079BZ3326" tooltip="https://www.amazon.com/dp/B079BZ3326"/>
    <hyperlink ref="F43" r:id="rId189" display="https://www.amazon.com/stores/LuckyBrand/page/2C35F610-19EF-47A1-8A38-B3186DDB0DF6?ref_=ast_bln" tooltip="https://www.amazon.com/stores/LuckyBrand/page/2C35F610-19EF-47A1-8A38-B3186DDB0DF6?ref_=ast_bln"/>
    <hyperlink ref="H43" r:id="rId190" display="https://www.amazon.com/dp/B079BZ3326?psc=1" tooltip="https://www.amazon.com/dp/B079BZ3326?psc=1"/>
    <hyperlink ref="I43" r:id="rId191" display="https://m.media-amazon.com/images/I/41CMvgrZRAL._AC_SR600,600_.jpg" tooltip="https://m.media-amazon.com/images/I/41CMvgrZRAL._AC_SR600,600_.jpg"/>
    <hyperlink ref="J43" r:id="rId192" display="B0D4J8PKS6" tooltip="https://www.amazon.com/dp/B0D4J8PKS6"/>
    <hyperlink ref="K43" r:id="rId108" display="Clothing, Shoes &amp; Jewelry:Men:Clothing:Shirts:T-Shirts" tooltip="https://www.amazon.com/b?node=1045624"/>
    <hyperlink ref="L43" r:id="rId7" display="Clothing, Shoes &amp; Jewelry"/>
    <hyperlink ref="B44" r:id="rId193" display="B0CQ28BD67" tooltip="https://www.amazon.com/dp/B0CQ28BD67"/>
    <hyperlink ref="F44" r:id="rId194" display="https://www.amazon.com/stores/LionNardo/page/9165DF9C-317B-42AC-9433-C7A10B3B29CA?ref_=ast_bln" tooltip="https://www.amazon.com/stores/LionNardo/page/9165DF9C-317B-42AC-9433-C7A10B3B29CA?ref_=ast_bln"/>
    <hyperlink ref="H44" r:id="rId195" display="https://www.amazon.com/dp/B0CQ28BD67?psc=1" tooltip="https://www.amazon.com/dp/B0CQ28BD67?psc=1"/>
    <hyperlink ref="I44" r:id="rId196" display="https://m.media-amazon.com/images/I/31Kk27GSxRL._AC_SR600,600_.jpg" tooltip="https://m.media-amazon.com/images/I/31Kk27GSxRL._AC_SR600,600_.jpg"/>
    <hyperlink ref="J44" r:id="rId197" display="B0CQ2FLXJC" tooltip="https://www.amazon.com/dp/B0CQ2FLXJC"/>
    <hyperlink ref="K44" r:id="rId6" display="Clothing, Shoes &amp; Jewelry:Men:Clothing:Shirts:Button-Down Shirts" tooltip="https://www.amazon.com/b?node=121177981011"/>
    <hyperlink ref="L44" r:id="rId7" display="Clothing, Shoes &amp; Jewelry"/>
    <hyperlink ref="AR44" r:id="rId198" display="https://www.amazon.com/gp/help/seller/at-a-glance.html/ref=dp_merchant_link?seller=A1VPF17XU672VP" tooltip="https://www.amazon.com/gp/help/seller/at-a-glance.html/ref=dp_merchant_link?seller=A1VPF17XU672VP"/>
    <hyperlink ref="B45" r:id="rId199" display="B08VNK59NS" tooltip="https://www.amazon.com/dp/B08VNK59NS"/>
    <hyperlink ref="F45" r:id="rId200" display="https://www.amazon.com/stores/Bbalizko/page/F2EDF5CC-1580-4135-A6AF-74E8A574B815?ref_=ast_bln" tooltip="https://www.amazon.com/stores/Bbalizko/page/F2EDF5CC-1580-4135-A6AF-74E8A574B815?ref_=ast_bln"/>
    <hyperlink ref="H45" r:id="rId201" display="https://www.amazon.com/dp/B08VNK59NS?psc=1" tooltip="https://www.amazon.com/dp/B08VNK59NS?psc=1"/>
    <hyperlink ref="I45" r:id="rId202" display="https://m.media-amazon.com/images/I/41vfohinvOL._AC_SR600,600_.jpg" tooltip="https://m.media-amazon.com/images/I/41vfohinvOL._AC_SR600,600_.jpg"/>
    <hyperlink ref="J45" r:id="rId203" display="B0CQRF8GRL" tooltip="https://www.amazon.com/dp/B0CQRF8GRL"/>
    <hyperlink ref="K45" r:id="rId6" display="Clothing, Shoes &amp; Jewelry:Men:Clothing:Shirts:Button-Down Shirts" tooltip="https://www.amazon.com/b?node=121177981011"/>
    <hyperlink ref="L45" r:id="rId7" display="Clothing, Shoes &amp; Jewelry"/>
    <hyperlink ref="AR45" r:id="rId204" display="https://www.amazon.com/gp/help/seller/at-a-glance.html/ref=dp_merchant_link?seller=AVALB4136Z111" tooltip="https://www.amazon.com/gp/help/seller/at-a-glance.html/ref=dp_merchant_link?seller=AVALB4136Z111"/>
    <hyperlink ref="B46" r:id="rId205" display="B0CRRBWS1F" tooltip="https://www.amazon.com/dp/B0CRRBWS1F"/>
    <hyperlink ref="F46" r:id="rId16" display="https://www.amazon.com/stores/COOFANDY/page/23614F3D-BBD9-4564-8B56-4436A5CD5A93?ref_=ast_bln" tooltip="https://www.amazon.com/stores/COOFANDY/page/23614F3D-BBD9-4564-8B56-4436A5CD5A93?ref_=ast_bln"/>
    <hyperlink ref="H46" r:id="rId206" display="https://www.amazon.com/dp/B0CRRBWS1F?psc=1" tooltip="https://www.amazon.com/dp/B0CRRBWS1F?psc=1"/>
    <hyperlink ref="I46" r:id="rId207" display="https://m.media-amazon.com/images/I/41CFztD13gL._AC_SR600,600_.jpg" tooltip="https://m.media-amazon.com/images/I/41CFztD13gL._AC_SR600,600_.jpg"/>
    <hyperlink ref="J46" r:id="rId208" display="B0BJT56MNG" tooltip="https://www.amazon.com/dp/B0BJT56MNG"/>
    <hyperlink ref="K46" r:id="rId76" display="Clothing, Shoes &amp; Jewelry:Men:Clothing:Shirts" tooltip="https://www.amazon.com/b?node=2476517011"/>
    <hyperlink ref="L46" r:id="rId7" display="Clothing, Shoes &amp; Jewelry"/>
    <hyperlink ref="AR46" r:id="rId20" display="https://www.amazon.com/gp/help/seller/at-a-glance.html/ref=dp_merchant_link?seller=AYQEI860TGUFX" tooltip="https://www.amazon.com/gp/help/seller/at-a-glance.html/ref=dp_merchant_link?seller=AYQEI860TGUFX"/>
    <hyperlink ref="B47" r:id="rId209" display="B0D4QXKTRR" tooltip="https://www.amazon.com/dp/B0D4QXKTRR"/>
    <hyperlink ref="F47" r:id="rId210" display="https://www.amazon.com/stores/PJPAULJONES/page/900C5CBD-4371-40E3-9FF7-1AF3D2180072?ref_=ast_bln&amp;store_ref=bl_ast_dp_brandLogo_sto" tooltip="https://www.amazon.com/stores/PJPAULJONES/page/900C5CBD-4371-40E3-9FF7-1AF3D2180072?ref_=ast_bln&amp;store_ref=bl_ast_dp_brandLogo_sto"/>
    <hyperlink ref="H47" r:id="rId211" display="https://www.amazon.com/dp/B0D4QXKTRR?psc=1" tooltip="https://www.amazon.com/dp/B0D4QXKTRR?psc=1"/>
    <hyperlink ref="I47" r:id="rId212" display="https://images-na.ssl-images-amazon.com/images/I/81ELjjyIFSL._AC_US600_.jpg" tooltip="https://images-na.ssl-images-amazon.com/images/I/81ELjjyIFSL._AC_US600_.jpg"/>
    <hyperlink ref="J47" r:id="rId213" display="B0D4QWDYNM" tooltip="https://www.amazon.com/dp/B0D4QWDYNM"/>
    <hyperlink ref="K47" r:id="rId6" display="Clothing, Shoes &amp; Jewelry:Men:Clothing:Shirts:Button-Down Shirts" tooltip="https://www.amazon.com/b?node=121177981011"/>
    <hyperlink ref="L47" r:id="rId7" display="Clothing, Shoes &amp; Jewelry"/>
    <hyperlink ref="AR47" r:id="rId214" display="https://www.amazon.com/gp/help/seller/at-a-glance.html/ref=dp_merchant_link?seller=A2FOAMAM1NPBGV" tooltip="https://www.amazon.com/gp/help/seller/at-a-glance.html/ref=dp_merchant_link?seller=A2FOAMAM1NPBGV"/>
    <hyperlink ref="B48" r:id="rId215" display="B08CXFF3B8" tooltip="https://www.amazon.com/dp/B08CXFF3B8"/>
    <hyperlink ref="F48" r:id="rId216" display="https://www.amazon.com/stores/RelaBota/page/E6C4685C-FE96-4F24-9D93-631B4BE2D09C?ref_=ast_bln&amp;store_ref=bl_ast_dp_brandLogo_sto" tooltip="https://www.amazon.com/stores/RelaBota/page/E6C4685C-FE96-4F24-9D93-631B4BE2D09C?ref_=ast_bln&amp;store_ref=bl_ast_dp_brandLogo_sto"/>
    <hyperlink ref="H48" r:id="rId217" display="https://www.amazon.com/dp/B08CXFF3B8?psc=1" tooltip="https://www.amazon.com/dp/B08CXFF3B8?psc=1"/>
    <hyperlink ref="I48" r:id="rId218" display="https://m.media-amazon.com/images/I/51lG7hNrgDL._AC_SR600,600_.jpg" tooltip="https://m.media-amazon.com/images/I/51lG7hNrgDL._AC_SR600,600_.jpg"/>
    <hyperlink ref="J48" r:id="rId219" display="B08D6CFY9H" tooltip="https://www.amazon.com/dp/B08D6CFY9H"/>
    <hyperlink ref="K48" r:id="rId6" display="Clothing, Shoes &amp; Jewelry:Men:Clothing:Shirts:Button-Down Shirts" tooltip="https://www.amazon.com/b?node=121177981011"/>
    <hyperlink ref="L48" r:id="rId7" display="Clothing, Shoes &amp; Jewelry"/>
    <hyperlink ref="AR48" r:id="rId220" display="https://www.amazon.com/gp/help/seller/at-a-glance.html/ref=dp_merchant_link?seller=A3USB205X5P9XH" tooltip="https://www.amazon.com/gp/help/seller/at-a-glance.html/ref=dp_merchant_link?seller=A3USB205X5P9XH"/>
    <hyperlink ref="B49" r:id="rId221" display="B08ZYN1WDR" tooltip="https://www.amazon.com/dp/B08ZYN1WDR"/>
    <hyperlink ref="F49" r:id="rId222" display="https://www.amazon.com/stores/Makkrom/page/AB5A30AA-7168-48B6-B807-1768EB25800B?ref_=ast_bln&amp;store_ref=bl_ast_dp_brandLogo_sto" tooltip="https://www.amazon.com/stores/Makkrom/page/AB5A30AA-7168-48B6-B807-1768EB25800B?ref_=ast_bln&amp;store_ref=bl_ast_dp_brandLogo_sto"/>
    <hyperlink ref="H49" r:id="rId223" display="https://www.amazon.com/dp/B08ZYN1WDR?psc=1" tooltip="https://www.amazon.com/dp/B08ZYN1WDR?psc=1"/>
    <hyperlink ref="I49" r:id="rId224" display="https://m.media-amazon.com/images/I/41trg5yR4tS._AC_SR600,600_.jpg" tooltip="https://m.media-amazon.com/images/I/41trg5yR4tS._AC_SR600,600_.jpg"/>
    <hyperlink ref="J49" r:id="rId225" display="B0D9W5NDWQ" tooltip="https://www.amazon.com/dp/B0D9W5NDWQ"/>
    <hyperlink ref="K49" r:id="rId6" display="Clothing, Shoes &amp; Jewelry:Men:Clothing:Shirts:Button-Down Shirts" tooltip="https://www.amazon.com/b?node=121177981011"/>
    <hyperlink ref="L49" r:id="rId7" display="Clothing, Shoes &amp; Jewelry"/>
    <hyperlink ref="AR49" r:id="rId226" display="https://www.amazon.com/gp/help/seller/at-a-glance.html/ref=dp_merchant_link?seller=A8AY448W7VP9Q" tooltip="https://www.amazon.com/gp/help/seller/at-a-glance.html/ref=dp_merchant_link?seller=A8AY448W7VP9Q"/>
    <hyperlink ref="B50" r:id="rId227" display="B0CQYWF4PB" tooltip="https://www.amazon.com/dp/B0CQYWF4PB"/>
    <hyperlink ref="F50" r:id="rId16" display="https://www.amazon.com/stores/COOFANDY/page/23614F3D-BBD9-4564-8B56-4436A5CD5A93?ref_=ast_bln" tooltip="https://www.amazon.com/stores/COOFANDY/page/23614F3D-BBD9-4564-8B56-4436A5CD5A93?ref_=ast_bln"/>
    <hyperlink ref="H50" r:id="rId228" display="https://www.amazon.com/dp/B0CQYWF4PB?psc=1" tooltip="https://www.amazon.com/dp/B0CQYWF4PB?psc=1"/>
    <hyperlink ref="I50" r:id="rId229" display="https://m.media-amazon.com/images/I/41CZJ8ZM7UL._AC_SR600,600_.jpg" tooltip="https://m.media-amazon.com/images/I/41CZJ8ZM7UL._AC_SR600,600_.jpg"/>
    <hyperlink ref="J50" r:id="rId230" display="B0DDXJWZSX" tooltip="https://www.amazon.com/dp/B0DDXJWZSX"/>
    <hyperlink ref="K50" r:id="rId6" display="Clothing, Shoes &amp; Jewelry:Men:Clothing:Shirts:Button-Down Shirts" tooltip="https://www.amazon.com/b?node=121177981011"/>
    <hyperlink ref="L50" r:id="rId7" display="Clothing, Shoes &amp; Jewelry"/>
    <hyperlink ref="AR50" r:id="rId31" display="https://www.amazon.com/gp/help/seller/at-a-glance.html/ref=dp_merchant_link?seller=AW10J8VB8Z74G" tooltip="https://www.amazon.com/gp/help/seller/at-a-glance.html/ref=dp_merchant_link?seller=AW10J8VB8Z74G"/>
    <hyperlink ref="B51" r:id="rId231" display="B0D87CJLY6" tooltip="https://www.amazon.com/dp/B0D87CJLY6"/>
    <hyperlink ref="F51" r:id="rId232" display="https://www.amazon.com/stores/Runcati/page/20015B80-E9FF-41BF-8597-56689F64944D?ref_=ast_bln&amp;store_ref=bl_ast_dp_brandLogo_sto" tooltip="https://www.amazon.com/stores/Runcati/page/20015B80-E9FF-41BF-8597-56689F64944D?ref_=ast_bln&amp;store_ref=bl_ast_dp_brandLogo_sto"/>
    <hyperlink ref="H51" r:id="rId233" display="https://www.amazon.com/dp/B0D87CJLY6?psc=1" tooltip="https://www.amazon.com/dp/B0D87CJLY6?psc=1"/>
    <hyperlink ref="I51" r:id="rId234" display="https://m.media-amazon.com/images/I/41-oEN2cNIL._AC_SR600,600_.jpg" tooltip="https://m.media-amazon.com/images/I/41-oEN2cNIL._AC_SR600,600_.jpg"/>
    <hyperlink ref="J51" r:id="rId235" display="B0D87F5TXN" tooltip="https://www.amazon.com/dp/B0D87F5TXN"/>
    <hyperlink ref="K51" r:id="rId6" display="Clothing, Shoes &amp; Jewelry:Men:Clothing:Shirts:Button-Down Shirts" tooltip="https://www.amazon.com/b?node=121177981011"/>
    <hyperlink ref="L51" r:id="rId7" display="Clothing, Shoes &amp; Jewelry"/>
    <hyperlink ref="AR51" r:id="rId236" display="https://www.amazon.com/gp/help/seller/at-a-glance.html/ref=dp_merchant_link?seller=AXTLB7JAR0E88" tooltip="https://www.amazon.com/gp/help/seller/at-a-glance.html/ref=dp_merchant_link?seller=AXTLB7JAR0E88"/>
    <hyperlink ref="B52" r:id="rId237" display="B0CQLPY73Y" tooltip="https://www.amazon.com/dp/B0CQLPY73Y"/>
    <hyperlink ref="F52" r:id="rId16" display="https://www.amazon.com/stores/COOFANDY/page/23614F3D-BBD9-4564-8B56-4436A5CD5A93?ref_=ast_bln" tooltip="https://www.amazon.com/stores/COOFANDY/page/23614F3D-BBD9-4564-8B56-4436A5CD5A93?ref_=ast_bln"/>
    <hyperlink ref="H52" r:id="rId238" display="https://www.amazon.com/dp/B0CQLPY73Y?psc=1" tooltip="https://www.amazon.com/dp/B0CQLPY73Y?psc=1"/>
    <hyperlink ref="I52" r:id="rId239" display="https://m.media-amazon.com/images/I/41IIr-FduPL._AC_SR600,600_.jpg" tooltip="https://m.media-amazon.com/images/I/41IIr-FduPL._AC_SR600,600_.jpg"/>
    <hyperlink ref="J52" r:id="rId240" display="B0DDXKTR4D" tooltip="https://www.amazon.com/dp/B0DDXKTR4D"/>
    <hyperlink ref="K52" r:id="rId6" display="Clothing, Shoes &amp; Jewelry:Men:Clothing:Shirts:Button-Down Shirts" tooltip="https://www.amazon.com/b?node=121177981011"/>
    <hyperlink ref="L52" r:id="rId7" display="Clothing, Shoes &amp; Jewelry"/>
    <hyperlink ref="AR52" r:id="rId31" display="https://www.amazon.com/gp/help/seller/at-a-glance.html/ref=dp_merchant_link?seller=AW10J8VB8Z74G" tooltip="https://www.amazon.com/gp/help/seller/at-a-glance.html/ref=dp_merchant_link?seller=AW10J8VB8Z74G"/>
    <hyperlink ref="B53" r:id="rId241" display="B083K8DD4K" tooltip="https://www.amazon.com/dp/B083K8DD4K"/>
    <hyperlink ref="F53" r:id="rId16" display="https://www.amazon.com/stores/COOFANDY/page/23614F3D-BBD9-4564-8B56-4436A5CD5A93?ref_=ast_bln" tooltip="https://www.amazon.com/stores/COOFANDY/page/23614F3D-BBD9-4564-8B56-4436A5CD5A93?ref_=ast_bln"/>
    <hyperlink ref="H53" r:id="rId242" display="https://www.amazon.com/dp/B083K8DD4K?psc=1" tooltip="https://www.amazon.com/dp/B083K8DD4K?psc=1"/>
    <hyperlink ref="I53" r:id="rId243" display="https://images-na.ssl-images-amazon.com/images/I/71w61TDc4WL._AC_US600_.jpg" tooltip="https://images-na.ssl-images-amazon.com/images/I/71w61TDc4WL._AC_US600_.jpg"/>
    <hyperlink ref="J53" r:id="rId244" display="B094XZM7M6" tooltip="https://www.amazon.com/dp/B094XZM7M6"/>
    <hyperlink ref="K53" r:id="rId108" display="Clothing, Shoes &amp; Jewelry:Men:Clothing:Shirts:T-Shirts" tooltip="https://www.amazon.com/b?node=1045624"/>
    <hyperlink ref="L53" r:id="rId7" display="Clothing, Shoes &amp; Jewelry"/>
    <hyperlink ref="AR53" r:id="rId31" display="https://www.amazon.com/gp/help/seller/at-a-glance.html/ref=dp_merchant_link?seller=AW10J8VB8Z74G" tooltip="https://www.amazon.com/gp/help/seller/at-a-glance.html/ref=dp_merchant_link?seller=AW10J8VB8Z74G"/>
    <hyperlink ref="B54" r:id="rId245" display="B096RT3Z8W" tooltip="https://www.amazon.com/dp/B096RT3Z8W"/>
    <hyperlink ref="F54" r:id="rId246" display="https://www.amazon.com/stores/Enlision/page/0F59DEF7-EAE3-4314-84BF-EB87376CF28E?ref_=ast_bln&amp;store_ref=bl_ast_dp_brandLogo_sto" tooltip="https://www.amazon.com/stores/Enlision/page/0F59DEF7-EAE3-4314-84BF-EB87376CF28E?ref_=ast_bln&amp;store_ref=bl_ast_dp_brandLogo_sto"/>
    <hyperlink ref="H54" r:id="rId247" display="https://www.amazon.com/dp/B096RT3Z8W?psc=1" tooltip="https://www.amazon.com/dp/B096RT3Z8W?psc=1"/>
    <hyperlink ref="I54" r:id="rId248" display="https://m.media-amazon.com/images/I/41T5VyZQDfL._AC_SR600,600_.jpg" tooltip="https://m.media-amazon.com/images/I/41T5VyZQDfL._AC_SR600,600_.jpg"/>
    <hyperlink ref="J54" r:id="rId249" display="B0DLBBLG1L" tooltip="https://www.amazon.com/dp/B0DLBBLG1L"/>
    <hyperlink ref="K54" r:id="rId6" display="Clothing, Shoes &amp; Jewelry:Men:Clothing:Shirts:Button-Down Shirts" tooltip="https://www.amazon.com/b?node=121177981011"/>
    <hyperlink ref="L54" r:id="rId7" display="Clothing, Shoes &amp; Jewelry"/>
    <hyperlink ref="AR54" r:id="rId250" display="https://www.amazon.com/gp/help/seller/at-a-glance.html/ref=dp_merchant_link?seller=AQP4ASUEX2LN3" tooltip="https://www.amazon.com/gp/help/seller/at-a-glance.html/ref=dp_merchant_link?seller=AQP4ASUEX2LN3"/>
    <hyperlink ref="B55" r:id="rId251" display="B016PD1UQI" tooltip="https://www.amazon.com/dp/B016PD1UQI"/>
    <hyperlink ref="F55" r:id="rId252" display="https://www.amazon.com/stores/PerryEllis/page/B2BFB9F3-FA96-40B7-B963-B68DFA81BF65?ref_=ast_bln&amp;store_ref=bl_ast_dp_brandLogo_sto" tooltip="https://www.amazon.com/stores/PerryEllis/page/B2BFB9F3-FA96-40B7-B963-B68DFA81BF65?ref_=ast_bln&amp;store_ref=bl_ast_dp_brandLogo_sto"/>
    <hyperlink ref="H55" r:id="rId253" display="https://www.amazon.com/dp/B016PD1UQI?psc=1" tooltip="https://www.amazon.com/dp/B016PD1UQI?psc=1"/>
    <hyperlink ref="I55" r:id="rId254" display="https://m.media-amazon.com/images/I/31yUtobBafL._AC_SR600,600_.jpg" tooltip="https://m.media-amazon.com/images/I/31yUtobBafL._AC_SR600,600_.jpg"/>
    <hyperlink ref="J55" r:id="rId255" display="B0D636DXLN" tooltip="https://www.amazon.com/dp/B0D636DXLN"/>
    <hyperlink ref="K55" r:id="rId6" display="Clothing, Shoes &amp; Jewelry:Men:Clothing:Shirts:Button-Down Shirts" tooltip="https://www.amazon.com/b?node=121177981011"/>
    <hyperlink ref="L55" r:id="rId7" display="Clothing, Shoes &amp; Jewelry"/>
    <hyperlink ref="B56" r:id="rId256" display="B0CYZHDH9V" tooltip="https://www.amazon.com/dp/B0CYZHDH9V"/>
    <hyperlink ref="F56" r:id="rId33" display="https://www.amazon.com/stores/JEKAOYI/page/1CC599FA-46DE-4AFB-BDE0-033956DE325E?ref_=ast_bln&amp;store_ref=bl_ast_dp_brandLogo_sto" tooltip="https://www.amazon.com/stores/JEKAOYI/page/1CC599FA-46DE-4AFB-BDE0-033956DE325E?ref_=ast_bln&amp;store_ref=bl_ast_dp_brandLogo_sto"/>
    <hyperlink ref="H56" r:id="rId257" display="https://www.amazon.com/dp/B0CYZHDH9V?psc=1" tooltip="https://www.amazon.com/dp/B0CYZHDH9V?psc=1"/>
    <hyperlink ref="I56" r:id="rId258" display="https://m.media-amazon.com/images/I/31DqGwtZuLL._AC_SR600,600_.jpg" tooltip="https://m.media-amazon.com/images/I/31DqGwtZuLL._AC_SR600,600_.jpg"/>
    <hyperlink ref="J56" r:id="rId259" display="B0CYZT264J" tooltip="https://www.amazon.com/dp/B0CYZT264J"/>
    <hyperlink ref="K56" r:id="rId6" display="Clothing, Shoes &amp; Jewelry:Men:Clothing:Shirts:Button-Down Shirts" tooltip="https://www.amazon.com/b?node=121177981011"/>
    <hyperlink ref="L56" r:id="rId7" display="Clothing, Shoes &amp; Jewelry"/>
    <hyperlink ref="AR56" r:id="rId37" display="https://www.amazon.com/gp/help/seller/at-a-glance.html/ref=dp_merchant_link?seller=A2AVZ8BR4BUE4K" tooltip="https://www.amazon.com/gp/help/seller/at-a-glance.html/ref=dp_merchant_link?seller=A2AVZ8BR4BUE4K"/>
    <hyperlink ref="B57" r:id="rId260" display="B01AAMOI3W" tooltip="https://www.amazon.com/dp/B01AAMOI3W"/>
    <hyperlink ref="F57" r:id="rId252" display="https://www.amazon.com/stores/PerryEllis/page/B2BFB9F3-FA96-40B7-B963-B68DFA81BF65?ref_=ast_bln&amp;store_ref=bl_ast_dp_brandLogo_sto" tooltip="https://www.amazon.com/stores/PerryEllis/page/B2BFB9F3-FA96-40B7-B963-B68DFA81BF65?ref_=ast_bln&amp;store_ref=bl_ast_dp_brandLogo_sto"/>
    <hyperlink ref="H57" r:id="rId261" display="https://www.amazon.com/dp/B01AAMOI3W?psc=1" tooltip="https://www.amazon.com/dp/B01AAMOI3W?psc=1"/>
    <hyperlink ref="I57" r:id="rId262" display="https://m.media-amazon.com/images/I/51WV8QyajPL._AC_SR600,600_.jpg" tooltip="https://m.media-amazon.com/images/I/51WV8QyajPL._AC_SR600,600_.jpg"/>
    <hyperlink ref="J57" r:id="rId263" display="B06XPMS43W" tooltip="https://www.amazon.com/dp/B06XPMS43W"/>
    <hyperlink ref="K57" r:id="rId6" display="Clothing, Shoes &amp; Jewelry:Men:Clothing:Shirts:Button-Down Shirts" tooltip="https://www.amazon.com/b?node=121177981011"/>
    <hyperlink ref="L57" r:id="rId7" display="Clothing, Shoes &amp; Jewelry"/>
    <hyperlink ref="B58" r:id="rId264" display="B0CLV6N8HD" tooltip="https://www.amazon.com/dp/B0CLV6N8HD"/>
    <hyperlink ref="F58" r:id="rId16" display="https://www.amazon.com/stores/COOFANDY/page/23614F3D-BBD9-4564-8B56-4436A5CD5A93?ref_=ast_bln" tooltip="https://www.amazon.com/stores/COOFANDY/page/23614F3D-BBD9-4564-8B56-4436A5CD5A93?ref_=ast_bln"/>
    <hyperlink ref="H58" r:id="rId265" display="https://www.amazon.com/dp/B0CLV6N8HD?psc=1" tooltip="https://www.amazon.com/dp/B0CLV6N8HD?psc=1"/>
    <hyperlink ref="I58" r:id="rId266" display="https://m.media-amazon.com/images/I/41syS9p5z3L._AC_SR600,600_.jpg" tooltip="https://m.media-amazon.com/images/I/41syS9p5z3L._AC_SR600,600_.jpg"/>
    <hyperlink ref="J58" r:id="rId267" display="B0DDXF5CY9" tooltip="https://www.amazon.com/dp/B0DDXF5CY9"/>
    <hyperlink ref="K58" r:id="rId6" display="Clothing, Shoes &amp; Jewelry:Men:Clothing:Shirts:Button-Down Shirts" tooltip="https://www.amazon.com/b?node=121177981011"/>
    <hyperlink ref="L58" r:id="rId7" display="Clothing, Shoes &amp; Jewelry"/>
    <hyperlink ref="AR58" r:id="rId31" display="https://www.amazon.com/gp/help/seller/at-a-glance.html/ref=dp_merchant_link?seller=AW10J8VB8Z74G" tooltip="https://www.amazon.com/gp/help/seller/at-a-glance.html/ref=dp_merchant_link?seller=AW10J8VB8Z74G"/>
    <hyperlink ref="B59" r:id="rId268" display="B0BKFXG8SG" tooltip="https://www.amazon.com/dp/B0BKFXG8SG"/>
    <hyperlink ref="F59" r:id="rId16" display="https://www.amazon.com/stores/COOFANDY/page/23614F3D-BBD9-4564-8B56-4436A5CD5A93?ref_=ast_bln" tooltip="https://www.amazon.com/stores/COOFANDY/page/23614F3D-BBD9-4564-8B56-4436A5CD5A93?ref_=ast_bln"/>
    <hyperlink ref="H59" r:id="rId269" display="https://www.amazon.com/dp/B0BKFXG8SG?psc=1" tooltip="https://www.amazon.com/dp/B0BKFXG8SG?psc=1"/>
    <hyperlink ref="I59" r:id="rId270" display="https://m.media-amazon.com/images/I/410+Zg19T0L._AC_SR600,600_.jpg" tooltip="https://m.media-amazon.com/images/I/410+Zg19T0L._AC_SR600,600_.jpg"/>
    <hyperlink ref="J59" r:id="rId271" display="B0BSXFQD62" tooltip="https://www.amazon.com/dp/B0BSXFQD62"/>
    <hyperlink ref="K59" r:id="rId6" display="Clothing, Shoes &amp; Jewelry:Men:Clothing:Shirts:Button-Down Shirts" tooltip="https://www.amazon.com/b?node=121177981011"/>
    <hyperlink ref="L59" r:id="rId7" display="Clothing, Shoes &amp; Jewelry"/>
    <hyperlink ref="AR59" r:id="rId31" display="https://www.amazon.com/gp/help/seller/at-a-glance.html/ref=dp_merchant_link?seller=AW10J8VB8Z74G" tooltip="https://www.amazon.com/gp/help/seller/at-a-glance.html/ref=dp_merchant_link?seller=AW10J8VB8Z74G"/>
    <hyperlink ref="B60" r:id="rId272" display="B0CLRKS8PF" tooltip="https://www.amazon.com/dp/B0CLRKS8PF"/>
    <hyperlink ref="F60" r:id="rId16" display="https://www.amazon.com/stores/COOFANDY/page/23614F3D-BBD9-4564-8B56-4436A5CD5A93?ref_=ast_bln" tooltip="https://www.amazon.com/stores/COOFANDY/page/23614F3D-BBD9-4564-8B56-4436A5CD5A93?ref_=ast_bln"/>
    <hyperlink ref="H60" r:id="rId273" display="https://www.amazon.com/dp/B0CLRKS8PF?psc=1" tooltip="https://www.amazon.com/dp/B0CLRKS8PF?psc=1"/>
    <hyperlink ref="I60" r:id="rId274" display="https://images-na.ssl-images-amazon.com/images/I/718YY+biqvL._AC_US600_.jpg" tooltip="https://images-na.ssl-images-amazon.com/images/I/718YY+biqvL._AC_US600_.jpg"/>
    <hyperlink ref="J60" r:id="rId275" display="B0DDXSBHHN" tooltip="https://www.amazon.com/dp/B0DDXSBHHN"/>
    <hyperlink ref="K60" r:id="rId6" display="Clothing, Shoes &amp; Jewelry:Men:Clothing:Shirts:Button-Down Shirts" tooltip="https://www.amazon.com/b?node=121177981011"/>
    <hyperlink ref="L60" r:id="rId7" display="Clothing, Shoes &amp; Jewelry"/>
    <hyperlink ref="AR60" r:id="rId31" display="https://www.amazon.com/gp/help/seller/at-a-glance.html/ref=dp_merchant_link?seller=AW10J8VB8Z74G" tooltip="https://www.amazon.com/gp/help/seller/at-a-glance.html/ref=dp_merchant_link?seller=AW10J8VB8Z74G"/>
    <hyperlink ref="B61" r:id="rId276" display="B09Z6T72BL" tooltip="https://www.amazon.com/dp/B09Z6T72BL"/>
    <hyperlink ref="F61" r:id="rId82" display="https://www.amazon.com/stores/JMIERR/page/3F09C8CE-18BF-4AE4-8F69-37AB8F65055E?ref_=ast_bln&amp;store_ref=bl_ast_dp_brandLogo_sto" tooltip="https://www.amazon.com/stores/JMIERR/page/3F09C8CE-18BF-4AE4-8F69-37AB8F65055E?ref_=ast_bln&amp;store_ref=bl_ast_dp_brandLogo_sto"/>
    <hyperlink ref="H61" r:id="rId277" display="https://www.amazon.com/dp/B09Z6T72BL?psc=1" tooltip="https://www.amazon.com/dp/B09Z6T72BL?psc=1"/>
    <hyperlink ref="I61" r:id="rId278" display="https://m.media-amazon.com/images/I/31CiWvSX2gL._AC_SR600,600_.jpg" tooltip="https://m.media-amazon.com/images/I/31CiWvSX2gL._AC_SR600,600_.jpg"/>
    <hyperlink ref="J61" r:id="rId279" display="B0D4RBCQTL" tooltip="https://www.amazon.com/dp/B0D4RBCQTL"/>
    <hyperlink ref="K61" r:id="rId6" display="Clothing, Shoes &amp; Jewelry:Men:Clothing:Shirts:Button-Down Shirts" tooltip="https://www.amazon.com/b?node=121177981011"/>
    <hyperlink ref="L61" r:id="rId7" display="Clothing, Shoes &amp; Jewelry"/>
    <hyperlink ref="AR61" r:id="rId86" display="https://www.amazon.com/gp/help/seller/at-a-glance.html/ref=dp_merchant_link?seller=A2MQT9OK1M7FLP" tooltip="https://www.amazon.com/gp/help/seller/at-a-glance.html/ref=dp_merchant_link?seller=A2MQT9OK1M7FLP"/>
    <hyperlink ref="B62" r:id="rId280" display="B0D12PV54R" tooltip="https://www.amazon.com/dp/B0D12PV54R"/>
    <hyperlink ref="F62" r:id="rId10" display="https://www.amazon.com/stores/LETSEE/page/720EC636-72C3-4878-A8D7-A8E7B5CB6E40?ref_=ast_bln" tooltip="https://www.amazon.com/stores/LETSEE/page/720EC636-72C3-4878-A8D7-A8E7B5CB6E40?ref_=ast_bln"/>
    <hyperlink ref="H62" r:id="rId281" display="https://www.amazon.com/dp/B0D12PV54R?psc=1" tooltip="https://www.amazon.com/dp/B0D12PV54R?psc=1"/>
    <hyperlink ref="I62" r:id="rId282" display="https://m.media-amazon.com/images/I/41LzisgL3OL._AC_SR600,600_.jpg" tooltip="https://m.media-amazon.com/images/I/41LzisgL3OL._AC_SR600,600_.jpg"/>
    <hyperlink ref="J62" r:id="rId13" display="B0D9JP5F13" tooltip="https://www.amazon.com/dp/B0D9JP5F13"/>
    <hyperlink ref="K62" r:id="rId6" display="Clothing, Shoes &amp; Jewelry:Men:Clothing:Shirts:Button-Down Shirts" tooltip="https://www.amazon.com/b?node=121177981011"/>
    <hyperlink ref="L62" r:id="rId7" display="Clothing, Shoes &amp; Jewelry"/>
    <hyperlink ref="AR62" r:id="rId14" display="https://www.amazon.com/gp/help/seller/at-a-glance.html/ref=dp_merchant_link?seller=ACP1AZUKRDS99" tooltip="https://www.amazon.com/gp/help/seller/at-a-glance.html/ref=dp_merchant_link?seller=ACP1AZUKRDS99"/>
    <hyperlink ref="B63" r:id="rId283" display="B0BF5CJFMS" tooltip="https://www.amazon.com/dp/B0BF5CJFMS"/>
    <hyperlink ref="F63" r:id="rId33" display="https://www.amazon.com/stores/JEKAOYI/page/1CC599FA-46DE-4AFB-BDE0-033956DE325E?ref_=ast_bln&amp;store_ref=bl_ast_dp_brandLogo_sto" tooltip="https://www.amazon.com/stores/JEKAOYI/page/1CC599FA-46DE-4AFB-BDE0-033956DE325E?ref_=ast_bln&amp;store_ref=bl_ast_dp_brandLogo_sto"/>
    <hyperlink ref="H63" r:id="rId284" display="https://www.amazon.com/dp/B0BF5CJFMS?psc=1" tooltip="https://www.amazon.com/dp/B0BF5CJFMS?psc=1"/>
    <hyperlink ref="I63" r:id="rId285" display="https://images-na.ssl-images-amazon.com/images/I/51ZeZCV+O0L._AC_US600_.jpg" tooltip="https://images-na.ssl-images-amazon.com/images/I/51ZeZCV+O0L._AC_US600_.jpg"/>
    <hyperlink ref="J63" r:id="rId286" display="B0BF5DJTX9" tooltip="https://www.amazon.com/dp/B0BF5DJTX9"/>
    <hyperlink ref="K63" r:id="rId6" display="Clothing, Shoes &amp; Jewelry:Men:Clothing:Shirts:Button-Down Shirts" tooltip="https://www.amazon.com/b?node=121177981011"/>
    <hyperlink ref="L63" r:id="rId7" display="Clothing, Shoes &amp; Jewelry"/>
    <hyperlink ref="AR63" r:id="rId187" display="https://www.amazon.com/gp/help/seller/at-a-glance.html/ref=dp_merchant_link?seller=A107Z78SG8ROPE" tooltip="https://www.amazon.com/gp/help/seller/at-a-glance.html/ref=dp_merchant_link?seller=A107Z78SG8ROPE"/>
    <hyperlink ref="B64" r:id="rId287" display="B09VXHPVCV" tooltip="https://www.amazon.com/dp/B09VXHPVCV"/>
    <hyperlink ref="F64" r:id="rId288" display="https://www.amazon.com/stores/ZEROYAA/page/11927683-E34D-4AAF-939F-FCE47A057DDA?ref_=ast_bln&amp;store_ref=bl_ast_dp_brandLogo_sto" tooltip="https://www.amazon.com/stores/ZEROYAA/page/11927683-E34D-4AAF-939F-FCE47A057DDA?ref_=ast_bln&amp;store_ref=bl_ast_dp_brandLogo_sto"/>
    <hyperlink ref="H64" r:id="rId289" display="https://www.amazon.com/dp/B09VXHPVCV?psc=1" tooltip="https://www.amazon.com/dp/B09VXHPVCV?psc=1"/>
    <hyperlink ref="I64" r:id="rId290" display="https://m.media-amazon.com/images/I/31DDYq6aWZL._AC_SR600,600_.jpg" tooltip="https://m.media-amazon.com/images/I/31DDYq6aWZL._AC_SR600,600_.jpg"/>
    <hyperlink ref="J64" r:id="rId291" display="B09VXC3FN1" tooltip="https://www.amazon.com/dp/B09VXC3FN1"/>
    <hyperlink ref="K64" r:id="rId6" display="Clothing, Shoes &amp; Jewelry:Men:Clothing:Shirts:Button-Down Shirts" tooltip="https://www.amazon.com/b?node=121177981011"/>
    <hyperlink ref="L64" r:id="rId7" display="Clothing, Shoes &amp; Jewelry"/>
    <hyperlink ref="AR64" r:id="rId292" display="https://www.amazon.com/gp/help/seller/at-a-glance.html/ref=dp_merchant_link?seller=A2L7HXVRX7K0FT" tooltip="https://www.amazon.com/gp/help/seller/at-a-glance.html/ref=dp_merchant_link?seller=A2L7HXVRX7K0FT"/>
    <hyperlink ref="B65" r:id="rId293" display="B0C3M99KPD" tooltip="https://www.amazon.com/dp/B0C3M99KPD"/>
    <hyperlink ref="F65" r:id="rId16" display="https://www.amazon.com/stores/COOFANDY/page/23614F3D-BBD9-4564-8B56-4436A5CD5A93?ref_=ast_bln" tooltip="https://www.amazon.com/stores/COOFANDY/page/23614F3D-BBD9-4564-8B56-4436A5CD5A93?ref_=ast_bln"/>
    <hyperlink ref="H65" r:id="rId294" display="https://www.amazon.com/dp/B0C3M99KPD?psc=1" tooltip="https://www.amazon.com/dp/B0C3M99KPD?psc=1"/>
    <hyperlink ref="I65" r:id="rId295" display="https://m.media-amazon.com/images/I/419XxSgveHL._AC_SR600,600_.jpg" tooltip="https://m.media-amazon.com/images/I/419XxSgveHL._AC_SR600,600_.jpg"/>
    <hyperlink ref="J65" r:id="rId296" display="B0B1D1R97Y" tooltip="https://www.amazon.com/dp/B0B1D1R97Y"/>
    <hyperlink ref="K65" r:id="rId6" display="Clothing, Shoes &amp; Jewelry:Men:Clothing:Shirts:Button-Down Shirts" tooltip="https://www.amazon.com/b?node=121177981011"/>
    <hyperlink ref="L65" r:id="rId7" display="Clothing, Shoes &amp; Jewelry"/>
    <hyperlink ref="AR65" r:id="rId20" display="https://www.amazon.com/gp/help/seller/at-a-glance.html/ref=dp_merchant_link?seller=AYQEI860TGUFX" tooltip="https://www.amazon.com/gp/help/seller/at-a-glance.html/ref=dp_merchant_link?seller=AYQEI860TGUFX"/>
    <hyperlink ref="B66" r:id="rId297" display="B091HP7SZ8" tooltip="https://www.amazon.com/dp/B091HP7SZ8"/>
    <hyperlink ref="F66" r:id="rId16" display="https://www.amazon.com/stores/COOFANDY/page/23614F3D-BBD9-4564-8B56-4436A5CD5A93?ref_=ast_bln" tooltip="https://www.amazon.com/stores/COOFANDY/page/23614F3D-BBD9-4564-8B56-4436A5CD5A93?ref_=ast_bln"/>
    <hyperlink ref="H66" r:id="rId298" display="https://www.amazon.com/dp/B091HP7SZ8?psc=1" tooltip="https://www.amazon.com/dp/B091HP7SZ8?psc=1"/>
    <hyperlink ref="I66" r:id="rId299" display="https://m.media-amazon.com/images/I/41PbUgphMfL._AC_SR600,600_.jpg" tooltip="https://m.media-amazon.com/images/I/41PbUgphMfL._AC_SR600,600_.jpg"/>
    <hyperlink ref="J66" r:id="rId94" display="B0CTQK1MKT" tooltip="https://www.amazon.com/dp/B0CTQK1MKT"/>
    <hyperlink ref="K66" r:id="rId6" display="Clothing, Shoes &amp; Jewelry:Men:Clothing:Shirts:Button-Down Shirts" tooltip="https://www.amazon.com/b?node=121177981011"/>
    <hyperlink ref="L66" r:id="rId7" display="Clothing, Shoes &amp; Jewelry"/>
    <hyperlink ref="AR66" r:id="rId20" display="https://www.amazon.com/gp/help/seller/at-a-glance.html/ref=dp_merchant_link?seller=AYQEI860TGUFX" tooltip="https://www.amazon.com/gp/help/seller/at-a-glance.html/ref=dp_merchant_link?seller=AYQEI860TGUFX"/>
    <hyperlink ref="B67" r:id="rId300" display="B0BQJVWHD5" tooltip="https://www.amazon.com/dp/B0BQJVWHD5"/>
    <hyperlink ref="F67" r:id="rId16" display="https://www.amazon.com/stores/COOFANDY/page/23614F3D-BBD9-4564-8B56-4436A5CD5A93?ref_=ast_bln" tooltip="https://www.amazon.com/stores/COOFANDY/page/23614F3D-BBD9-4564-8B56-4436A5CD5A93?ref_=ast_bln"/>
    <hyperlink ref="H67" r:id="rId301" display="https://www.amazon.com/dp/B0BQJVWHD5?psc=1" tooltip="https://www.amazon.com/dp/B0BQJVWHD5?psc=1"/>
    <hyperlink ref="I67" r:id="rId302" display="https://m.media-amazon.com/images/I/414+b4JmLKL._AC_SR600,600_.jpg" tooltip="https://m.media-amazon.com/images/I/414+b4JmLKL._AC_SR600,600_.jpg"/>
    <hyperlink ref="J67" r:id="rId303" display="B0DDYCJ96V" tooltip="https://www.amazon.com/dp/B0DDYCJ96V"/>
    <hyperlink ref="K67" r:id="rId76" display="Clothing, Shoes &amp; Jewelry:Men:Clothing:Shirts" tooltip="https://www.amazon.com/b?node=2476517011"/>
    <hyperlink ref="L67" r:id="rId7" display="Clothing, Shoes &amp; Jewelry"/>
    <hyperlink ref="AR67" r:id="rId31" display="https://www.amazon.com/gp/help/seller/at-a-glance.html/ref=dp_merchant_link?seller=AW10J8VB8Z74G" tooltip="https://www.amazon.com/gp/help/seller/at-a-glance.html/ref=dp_merchant_link?seller=AW10J8VB8Z74G"/>
    <hyperlink ref="B68" r:id="rId304" display="B0CJXX83CZ" tooltip="https://www.amazon.com/dp/B0CJXX83CZ"/>
    <hyperlink ref="F68" r:id="rId16" display="https://www.amazon.com/stores/COOFANDY/page/23614F3D-BBD9-4564-8B56-4436A5CD5A93?ref_=ast_bln" tooltip="https://www.amazon.com/stores/COOFANDY/page/23614F3D-BBD9-4564-8B56-4436A5CD5A93?ref_=ast_bln"/>
    <hyperlink ref="H68" r:id="rId305" display="https://www.amazon.com/dp/B0CJXX83CZ?psc=1" tooltip="https://www.amazon.com/dp/B0CJXX83CZ?psc=1"/>
    <hyperlink ref="I68" r:id="rId306" display="https://images-na.ssl-images-amazon.com/images/I/71qsDGI8zLL._AC_US600_.jpg" tooltip="https://images-na.ssl-images-amazon.com/images/I/71qsDGI8zLL._AC_US600_.jpg"/>
    <hyperlink ref="J68" r:id="rId49" display="B0DDXHVRV5" tooltip="https://www.amazon.com/dp/B0DDXHVRV5"/>
    <hyperlink ref="K68" r:id="rId6" display="Clothing, Shoes &amp; Jewelry:Men:Clothing:Shirts:Button-Down Shirts" tooltip="https://www.amazon.com/b?node=121177981011"/>
    <hyperlink ref="L68" r:id="rId7" display="Clothing, Shoes &amp; Jewelry"/>
    <hyperlink ref="AR68" r:id="rId31" display="https://www.amazon.com/gp/help/seller/at-a-glance.html/ref=dp_merchant_link?seller=AW10J8VB8Z74G" tooltip="https://www.amazon.com/gp/help/seller/at-a-glance.html/ref=dp_merchant_link?seller=AW10J8VB8Z74G"/>
    <hyperlink ref="B69" r:id="rId307" display="B0CPSSNZV7" tooltip="https://www.amazon.com/dp/B0CPSSNZV7"/>
    <hyperlink ref="F69" r:id="rId16" display="https://www.amazon.com/stores/COOFANDY/page/23614F3D-BBD9-4564-8B56-4436A5CD5A93?ref_=ast_bln" tooltip="https://www.amazon.com/stores/COOFANDY/page/23614F3D-BBD9-4564-8B56-4436A5CD5A93?ref_=ast_bln"/>
    <hyperlink ref="H69" r:id="rId308" display="https://www.amazon.com/dp/B0CPSSNZV7?psc=1" tooltip="https://www.amazon.com/dp/B0CPSSNZV7?psc=1"/>
    <hyperlink ref="I69" r:id="rId309" display="https://m.media-amazon.com/images/I/51odOy7GzHL._AC_SR600,600_.jpg" tooltip="https://m.media-amazon.com/images/I/51odOy7GzHL._AC_SR600,600_.jpg"/>
    <hyperlink ref="J69" r:id="rId310" display="B0DDXM1PHC" tooltip="https://www.amazon.com/dp/B0DDXM1PHC"/>
    <hyperlink ref="K69" r:id="rId6" display="Clothing, Shoes &amp; Jewelry:Men:Clothing:Shirts:Button-Down Shirts" tooltip="https://www.amazon.com/b?node=121177981011"/>
    <hyperlink ref="L69" r:id="rId7" display="Clothing, Shoes &amp; Jewelry"/>
    <hyperlink ref="AR69" r:id="rId31" display="https://www.amazon.com/gp/help/seller/at-a-glance.html/ref=dp_merchant_link?seller=AW10J8VB8Z74G" tooltip="https://www.amazon.com/gp/help/seller/at-a-glance.html/ref=dp_merchant_link?seller=AW10J8VB8Z74G"/>
    <hyperlink ref="B70" r:id="rId311" display="B0D4ZH2YS5" tooltip="https://www.amazon.com/dp/B0D4ZH2YS5"/>
    <hyperlink ref="F70" r:id="rId312" display="https://www.amazon.com/s/ref=bl_sl_s_ap_web_7141123011?ie=UTF8&amp;node=7141123011&amp;field-brandtextbin=Gleeease" tooltip="https://www.amazon.com/s/ref=bl_sl_s_ap_web_7141123011?ie=UTF8&amp;node=7141123011&amp;field-brandtextbin=Gleeease"/>
    <hyperlink ref="H70" r:id="rId313" display="https://www.amazon.com/dp/B0D4ZH2YS5?psc=1" tooltip="https://www.amazon.com/dp/B0D4ZH2YS5?psc=1"/>
    <hyperlink ref="I70" r:id="rId314" display="https://m.media-amazon.com/images/I/41tfnamhY1L._AC_SR600,600_.jpg" tooltip="https://m.media-amazon.com/images/I/41tfnamhY1L._AC_SR600,600_.jpg"/>
    <hyperlink ref="J70" r:id="rId315" display="B0D9SMZX2C" tooltip="https://www.amazon.com/dp/B0D9SMZX2C"/>
    <hyperlink ref="K70" r:id="rId6" display="Clothing, Shoes &amp; Jewelry:Men:Clothing:Shirts:Button-Down Shirts" tooltip="https://www.amazon.com/b?node=121177981011"/>
    <hyperlink ref="L70" r:id="rId7" display="Clothing, Shoes &amp; Jewelry"/>
    <hyperlink ref="AR70" r:id="rId316" display="https://www.amazon.com/gp/help/seller/at-a-glance.html/ref=dp_merchant_link?seller=A1H3Q7T6YW37ZA" tooltip="https://www.amazon.com/gp/help/seller/at-a-glance.html/ref=dp_merchant_link?seller=A1H3Q7T6YW37ZA"/>
    <hyperlink ref="B71" r:id="rId317" display="B0BV2639FP" tooltip="https://www.amazon.com/dp/B0BV2639FP"/>
    <hyperlink ref="F71" r:id="rId16" display="https://www.amazon.com/stores/COOFANDY/page/23614F3D-BBD9-4564-8B56-4436A5CD5A93?ref_=ast_bln" tooltip="https://www.amazon.com/stores/COOFANDY/page/23614F3D-BBD9-4564-8B56-4436A5CD5A93?ref_=ast_bln"/>
    <hyperlink ref="H71" r:id="rId318" display="https://www.amazon.com/dp/B0BV2639FP?psc=1" tooltip="https://www.amazon.com/dp/B0BV2639FP?psc=1"/>
    <hyperlink ref="I71" r:id="rId319" display="https://m.media-amazon.com/images/I/41vfEGAKQCL._AC_SR600,600_.jpg" tooltip="https://m.media-amazon.com/images/I/41vfEGAKQCL._AC_SR600,600_.jpg"/>
    <hyperlink ref="J71" r:id="rId19" display="B0CPTHL7KT" tooltip="https://www.amazon.com/dp/B0CPTHL7KT"/>
    <hyperlink ref="K71" r:id="rId6" display="Clothing, Shoes &amp; Jewelry:Men:Clothing:Shirts:Button-Down Shirts" tooltip="https://www.amazon.com/b?node=121177981011"/>
    <hyperlink ref="L71" r:id="rId7" display="Clothing, Shoes &amp; Jewelry"/>
    <hyperlink ref="AR71" r:id="rId20" display="https://www.amazon.com/gp/help/seller/at-a-glance.html/ref=dp_merchant_link?seller=AYQEI860TGUFX" tooltip="https://www.amazon.com/gp/help/seller/at-a-glance.html/ref=dp_merchant_link?seller=AYQEI860TGUFX"/>
    <hyperlink ref="B72" r:id="rId320" display="B0BY956X2M" tooltip="https://www.amazon.com/dp/B0BY956X2M"/>
    <hyperlink ref="F72" r:id="rId51" display="https://www.amazon.com/stores/VATPAVE/page/56E298D3-4201-4761-9CD6-F70F67AB957B?ref_=ast_bln&amp;store_ref=bl_ast_dp_brandLogo_sto" tooltip="https://www.amazon.com/stores/VATPAVE/page/56E298D3-4201-4761-9CD6-F70F67AB957B?ref_=ast_bln&amp;store_ref=bl_ast_dp_brandLogo_sto"/>
    <hyperlink ref="H72" r:id="rId321" display="https://www.amazon.com/dp/B0BY956X2M?psc=1" tooltip="https://www.amazon.com/dp/B0BY956X2M?psc=1"/>
    <hyperlink ref="I72" r:id="rId322" display="https://m.media-amazon.com/images/I/41r-ckXLZlL._AC_SR600,600_.jpg" tooltip="https://m.media-amazon.com/images/I/41r-ckXLZlL._AC_SR600,600_.jpg"/>
    <hyperlink ref="J72" r:id="rId54" display="B0BS3HCFMQ" tooltip="https://www.amazon.com/dp/B0BS3HCFMQ"/>
    <hyperlink ref="K72" r:id="rId6" display="Clothing, Shoes &amp; Jewelry:Men:Clothing:Shirts:Button-Down Shirts" tooltip="https://www.amazon.com/b?node=121177981011"/>
    <hyperlink ref="L72" r:id="rId7" display="Clothing, Shoes &amp; Jewelry"/>
    <hyperlink ref="AR72" r:id="rId55" display="https://www.amazon.com/gp/help/seller/at-a-glance.html/ref=dp_merchant_link?seller=A60375D51PSXW" tooltip="https://www.amazon.com/gp/help/seller/at-a-glance.html/ref=dp_merchant_link?seller=A60375D51PSXW"/>
    <hyperlink ref="B73" r:id="rId323" display="B0C4FMK4HY" tooltip="https://www.amazon.com/dp/B0C4FMK4HY"/>
    <hyperlink ref="F73" r:id="rId125" display="https://www.amazon.com/stores/AlimensGentle/page/49CD71DA-8B8C-4DAD-82E3-C4EE212D5CA1?ref_=ast_bln&amp;store_ref=bl_ast_dp_brandLogo_sto" tooltip="https://www.amazon.com/stores/AlimensGentle/page/49CD71DA-8B8C-4DAD-82E3-C4EE212D5CA1?ref_=ast_bln&amp;store_ref=bl_ast_dp_brandLogo_sto"/>
    <hyperlink ref="H73" r:id="rId324" display="https://www.amazon.com/dp/B0C4FMK4HY?psc=1" tooltip="https://www.amazon.com/dp/B0C4FMK4HY?psc=1"/>
    <hyperlink ref="I73" r:id="rId325" display="https://images-na.ssl-images-amazon.com/images/I/71lgA5q7QQL._AC_US600_.jpg" tooltip="https://images-na.ssl-images-amazon.com/images/I/71lgA5q7QQL._AC_US600_.jpg"/>
    <hyperlink ref="J73" r:id="rId128" display="B0D4LD99BQ" tooltip="https://www.amazon.com/dp/B0D4LD99BQ"/>
    <hyperlink ref="K73" r:id="rId6" display="Clothing, Shoes &amp; Jewelry:Men:Clothing:Shirts:Button-Down Shirts" tooltip="https://www.amazon.com/b?node=121177981011"/>
    <hyperlink ref="L73" r:id="rId7" display="Clothing, Shoes &amp; Jewelry"/>
    <hyperlink ref="AR73" r:id="rId129" display="https://www.amazon.com/gp/help/seller/at-a-glance.html/ref=dp_merchant_link?seller=A2U49OUC4V6GLR" tooltip="https://www.amazon.com/gp/help/seller/at-a-glance.html/ref=dp_merchant_link?seller=A2U49OUC4V6GLR"/>
    <hyperlink ref="B74" r:id="rId326" display="B0C6LXC4H1" tooltip="https://www.amazon.com/dp/B0C6LXC4H1"/>
    <hyperlink ref="F74" r:id="rId82" display="https://www.amazon.com/stores/JMIERR/page/3F09C8CE-18BF-4AE4-8F69-37AB8F65055E?ref_=ast_bln&amp;store_ref=bl_ast_dp_brandLogo_sto" tooltip="https://www.amazon.com/stores/JMIERR/page/3F09C8CE-18BF-4AE4-8F69-37AB8F65055E?ref_=ast_bln&amp;store_ref=bl_ast_dp_brandLogo_sto"/>
    <hyperlink ref="H74" r:id="rId327" display="https://www.amazon.com/dp/B0C6LXC4H1?psc=1" tooltip="https://www.amazon.com/dp/B0C6LXC4H1?psc=1"/>
    <hyperlink ref="I74" r:id="rId328" display="https://images-na.ssl-images-amazon.com/images/I/61YZngpzt5L._AC_US600_.jpg" tooltip="https://images-na.ssl-images-amazon.com/images/I/61YZngpzt5L._AC_US600_.jpg"/>
    <hyperlink ref="J74" r:id="rId329" display="B0D4QSQT87" tooltip="https://www.amazon.com/dp/B0D4QSQT87"/>
    <hyperlink ref="K74" r:id="rId6" display="Clothing, Shoes &amp; Jewelry:Men:Clothing:Shirts:Button-Down Shirts" tooltip="https://www.amazon.com/b?node=121177981011"/>
    <hyperlink ref="L74" r:id="rId7" display="Clothing, Shoes &amp; Jewelry"/>
    <hyperlink ref="AR74" r:id="rId86" display="https://www.amazon.com/gp/help/seller/at-a-glance.html/ref=dp_merchant_link?seller=A2MQT9OK1M7FLP" tooltip="https://www.amazon.com/gp/help/seller/at-a-glance.html/ref=dp_merchant_link?seller=A2MQT9OK1M7FLP"/>
    <hyperlink ref="B75" r:id="rId330" display="B09M3LVM9S" tooltip="https://www.amazon.com/dp/B09M3LVM9S"/>
    <hyperlink ref="F75" r:id="rId16" display="https://www.amazon.com/stores/COOFANDY/page/23614F3D-BBD9-4564-8B56-4436A5CD5A93?ref_=ast_bln" tooltip="https://www.amazon.com/stores/COOFANDY/page/23614F3D-BBD9-4564-8B56-4436A5CD5A93?ref_=ast_bln"/>
    <hyperlink ref="H75" r:id="rId331" display="https://www.amazon.com/dp/B09M3LVM9S?psc=1" tooltip="https://www.amazon.com/dp/B09M3LVM9S?psc=1"/>
    <hyperlink ref="I75" r:id="rId332" display="https://images-na.ssl-images-amazon.com/images/I/71dpVLz+dBL._AC_US600_.jpg" tooltip="https://images-na.ssl-images-amazon.com/images/I/71dpVLz+dBL._AC_US600_.jpg"/>
    <hyperlink ref="J75" r:id="rId333" display="B0DDY3LSBR" tooltip="https://www.amazon.com/dp/B0DDY3LSBR"/>
    <hyperlink ref="K75" r:id="rId76" display="Clothing, Shoes &amp; Jewelry:Men:Clothing:Shirts" tooltip="https://www.amazon.com/b?node=2476517011"/>
    <hyperlink ref="L75" r:id="rId7" display="Clothing, Shoes &amp; Jewelry"/>
    <hyperlink ref="AR75" r:id="rId31" display="https://www.amazon.com/gp/help/seller/at-a-glance.html/ref=dp_merchant_link?seller=AW10J8VB8Z74G" tooltip="https://www.amazon.com/gp/help/seller/at-a-glance.html/ref=dp_merchant_link?seller=AW10J8VB8Z74G"/>
    <hyperlink ref="B76" r:id="rId334" display="B0B6D1S1NQ" tooltip="https://www.amazon.com/dp/B0B6D1S1NQ"/>
    <hyperlink ref="F76" r:id="rId335" display="https://www.amazon.com/stores/GAP/page/24BB2C96-D999-4A3D-A127-9B0AF9691CBF?ref_=ast_bln" tooltip="https://www.amazon.com/stores/GAP/page/24BB2C96-D999-4A3D-A127-9B0AF9691CBF?ref_=ast_bln"/>
    <hyperlink ref="H76" r:id="rId336" display="https://www.amazon.com/dp/B0B6D1S1NQ?psc=1" tooltip="https://www.amazon.com/dp/B0B6D1S1NQ?psc=1"/>
    <hyperlink ref="I76" r:id="rId337" display="https://images-na.ssl-images-amazon.com/images/I/61vbTcrRU8L._AC_US600_.jpg" tooltip="https://images-na.ssl-images-amazon.com/images/I/61vbTcrRU8L._AC_US600_.jpg"/>
    <hyperlink ref="J76" r:id="rId338" display="B0CLS6J38Y" tooltip="https://www.amazon.com/dp/B0CLS6J38Y"/>
    <hyperlink ref="K76" r:id="rId6" display="Clothing, Shoes &amp; Jewelry:Men:Clothing:Shirts:Button-Down Shirts" tooltip="https://www.amazon.com/b?node=121177981011"/>
    <hyperlink ref="L76" r:id="rId7" display="Clothing, Shoes &amp; Jewelry"/>
    <hyperlink ref="B77" r:id="rId339" display="B0D3F1XHB4" tooltip="https://www.amazon.com/dp/B0D3F1XHB4"/>
    <hyperlink ref="F77" r:id="rId16" display="https://www.amazon.com/stores/COOFANDY/page/23614F3D-BBD9-4564-8B56-4436A5CD5A93?ref_=ast_bln" tooltip="https://www.amazon.com/stores/COOFANDY/page/23614F3D-BBD9-4564-8B56-4436A5CD5A93?ref_=ast_bln"/>
    <hyperlink ref="H77" r:id="rId340" display="https://www.amazon.com/dp/B0D3F1XHB4?psc=1" tooltip="https://www.amazon.com/dp/B0D3F1XHB4?psc=1"/>
    <hyperlink ref="I77" r:id="rId341" display="https://m.media-amazon.com/images/I/41G+eJ20AZL._AC_SR600,600_.jpg" tooltip="https://m.media-amazon.com/images/I/41G+eJ20AZL._AC_SR600,600_.jpg"/>
    <hyperlink ref="J77" r:id="rId342" display="B0DDX9BR48" tooltip="https://www.amazon.com/dp/B0DDX9BR48"/>
    <hyperlink ref="K77" r:id="rId6" display="Clothing, Shoes &amp; Jewelry:Men:Clothing:Shirts:Button-Down Shirts" tooltip="https://www.amazon.com/b?node=121177981011"/>
    <hyperlink ref="L77" r:id="rId7" display="Clothing, Shoes &amp; Jewelry"/>
    <hyperlink ref="AR77" r:id="rId31" display="https://www.amazon.com/gp/help/seller/at-a-glance.html/ref=dp_merchant_link?seller=AW10J8VB8Z74G" tooltip="https://www.amazon.com/gp/help/seller/at-a-glance.html/ref=dp_merchant_link?seller=AW10J8VB8Z74G"/>
    <hyperlink ref="B78" r:id="rId343" display="B0D62NJT7S" tooltip="https://www.amazon.com/dp/B0D62NJT7S"/>
    <hyperlink ref="F78" r:id="rId16" display="https://www.amazon.com/stores/COOFANDY/page/23614F3D-BBD9-4564-8B56-4436A5CD5A93?ref_=ast_bln" tooltip="https://www.amazon.com/stores/COOFANDY/page/23614F3D-BBD9-4564-8B56-4436A5CD5A93?ref_=ast_bln"/>
    <hyperlink ref="H78" r:id="rId344" display="https://www.amazon.com/dp/B0D62NJT7S?psc=1" tooltip="https://www.amazon.com/dp/B0D62NJT7S?psc=1"/>
    <hyperlink ref="I78" r:id="rId345" display="https://images-na.ssl-images-amazon.com/images/I/71kx5P0Pi7L._AC_US600_.jpg" tooltip="https://images-na.ssl-images-amazon.com/images/I/71kx5P0Pi7L._AC_US600_.jpg"/>
    <hyperlink ref="J78" r:id="rId346" display="B0DF2B3F6Y" tooltip="https://www.amazon.com/dp/B0DF2B3F6Y"/>
    <hyperlink ref="K78" r:id="rId6" display="Clothing, Shoes &amp; Jewelry:Men:Clothing:Shirts:Button-Down Shirts" tooltip="https://www.amazon.com/b?node=121177981011"/>
    <hyperlink ref="L78" r:id="rId7" display="Clothing, Shoes &amp; Jewelry"/>
    <hyperlink ref="AR78" r:id="rId31" display="https://www.amazon.com/gp/help/seller/at-a-glance.html/ref=dp_merchant_link?seller=AW10J8VB8Z74G" tooltip="https://www.amazon.com/gp/help/seller/at-a-glance.html/ref=dp_merchant_link?seller=AW10J8VB8Z74G"/>
    <hyperlink ref="B79" r:id="rId347" display="B0CCNDN7K8" tooltip="https://www.amazon.com/dp/B0CCNDN7K8"/>
    <hyperlink ref="F79" r:id="rId41" display="https://www.amazon.com/stores/JVER/page/1F221D12-BDFC-4E35-B552-19E6740F1D2A?ref_=ast_bln&amp;store_ref=bl_ast_dp_brandLogo_sto" tooltip="https://www.amazon.com/stores/JVER/page/1F221D12-BDFC-4E35-B552-19E6740F1D2A?ref_=ast_bln&amp;store_ref=bl_ast_dp_brandLogo_sto"/>
    <hyperlink ref="H79" r:id="rId348" display="https://www.amazon.com/dp/B0CCNDN7K8?psc=1" tooltip="https://www.amazon.com/dp/B0CCNDN7K8?psc=1"/>
    <hyperlink ref="I79" r:id="rId70" display="https://m.media-amazon.com/images/I/31VR5yhwLWL._AC_SR600,600_.jpg" tooltip="https://m.media-amazon.com/images/I/31VR5yhwLWL._AC_SR600,600_.jpg"/>
    <hyperlink ref="J79" r:id="rId71" display="B0CFHLCPZP" tooltip="https://www.amazon.com/dp/B0CFHLCPZP"/>
    <hyperlink ref="K79" r:id="rId6" display="Clothing, Shoes &amp; Jewelry:Men:Clothing:Shirts:Button-Down Shirts" tooltip="https://www.amazon.com/b?node=121177981011"/>
    <hyperlink ref="L79" r:id="rId7" display="Clothing, Shoes &amp; Jewelry"/>
    <hyperlink ref="AR79" r:id="rId45" display="https://www.amazon.com/gp/help/seller/at-a-glance.html/ref=dp_merchant_link?seller=A2FHNONIQMDEMP" tooltip="https://www.amazon.com/gp/help/seller/at-a-glance.html/ref=dp_merchant_link?seller=A2FHNONIQMDEMP"/>
    <hyperlink ref="B80" r:id="rId349" display="B0C3MD5TT7" tooltip="https://www.amazon.com/dp/B0C3MD5TT7"/>
    <hyperlink ref="F80" r:id="rId51" display="https://www.amazon.com/stores/VATPAVE/page/56E298D3-4201-4761-9CD6-F70F67AB957B?ref_=ast_bln&amp;store_ref=bl_ast_dp_brandLogo_sto" tooltip="https://www.amazon.com/stores/VATPAVE/page/56E298D3-4201-4761-9CD6-F70F67AB957B?ref_=ast_bln&amp;store_ref=bl_ast_dp_brandLogo_sto"/>
    <hyperlink ref="H80" r:id="rId350" display="https://www.amazon.com/dp/B0C3MD5TT7?psc=1" tooltip="https://www.amazon.com/dp/B0C3MD5TT7?psc=1"/>
    <hyperlink ref="I80" r:id="rId351" display="https://m.media-amazon.com/images/I/51ouqIzR8lL._AC_SR600,600_.jpg" tooltip="https://m.media-amazon.com/images/I/51ouqIzR8lL._AC_SR600,600_.jpg"/>
    <hyperlink ref="J80" r:id="rId352" display="B0C3MJXCLP" tooltip="https://www.amazon.com/dp/B0C3MJXCLP"/>
    <hyperlink ref="K80" r:id="rId6" display="Clothing, Shoes &amp; Jewelry:Men:Clothing:Shirts:Button-Down Shirts" tooltip="https://www.amazon.com/b?node=121177981011"/>
    <hyperlink ref="L80" r:id="rId7" display="Clothing, Shoes &amp; Jewelry"/>
    <hyperlink ref="AR80" r:id="rId55" display="https://www.amazon.com/gp/help/seller/at-a-glance.html/ref=dp_merchant_link?seller=A60375D51PSXW" tooltip="https://www.amazon.com/gp/help/seller/at-a-glance.html/ref=dp_merchant_link?seller=A60375D51PSXW"/>
    <hyperlink ref="B81" r:id="rId353" display="B0D38NPVY3" tooltip="https://www.amazon.com/dp/B0D38NPVY3"/>
    <hyperlink ref="F81" r:id="rId354" display="https://www.amazon.com/stores/BANZHUKE/page/91035940-E5C2-4C08-AFBC-9DB86220D933?ref_=ast_bln" tooltip="https://www.amazon.com/stores/BANZHUKE/page/91035940-E5C2-4C08-AFBC-9DB86220D933?ref_=ast_bln"/>
    <hyperlink ref="H81" r:id="rId355" display="https://www.amazon.com/dp/B0D38NPVY3?psc=1" tooltip="https://www.amazon.com/dp/B0D38NPVY3?psc=1"/>
    <hyperlink ref="I81" r:id="rId356" display="https://m.media-amazon.com/images/I/41qw7yJXAzL._AC_SR600,600_.jpg" tooltip="https://m.media-amazon.com/images/I/41qw7yJXAzL._AC_SR600,600_.jpg"/>
    <hyperlink ref="J81" r:id="rId357" display="B0D39KG7HT" tooltip="https://www.amazon.com/dp/B0D39KG7HT"/>
    <hyperlink ref="K81" r:id="rId6" display="Clothing, Shoes &amp; Jewelry:Men:Clothing:Shirts:Button-Down Shirts" tooltip="https://www.amazon.com/b?node=121177981011"/>
    <hyperlink ref="L81" r:id="rId7" display="Clothing, Shoes &amp; Jewelry"/>
    <hyperlink ref="AR81" r:id="rId358" display="https://www.amazon.com/gp/help/seller/at-a-glance.html/ref=dp_merchant_link?seller=A2JCPOXU2IIWWC" tooltip="https://www.amazon.com/gp/help/seller/at-a-glance.html/ref=dp_merchant_link?seller=A2JCPOXU2IIWWC"/>
    <hyperlink ref="B82" r:id="rId359" display="B0CRVHBJ5Q" tooltip="https://www.amazon.com/dp/B0CRVHBJ5Q"/>
    <hyperlink ref="F82" r:id="rId360" display="https://www.amazon.com/stores/Comdecevis/page/6FEF7C2C-9AEE-48E0-9713-B045D5B416AC?ref_=ast_bln" tooltip="https://www.amazon.com/stores/Comdecevis/page/6FEF7C2C-9AEE-48E0-9713-B045D5B416AC?ref_=ast_bln"/>
    <hyperlink ref="H82" r:id="rId361" display="https://www.amazon.com/dp/B0CRVHBJ5Q?psc=1" tooltip="https://www.amazon.com/dp/B0CRVHBJ5Q?psc=1"/>
    <hyperlink ref="I82" r:id="rId362" display="https://images-na.ssl-images-amazon.com/images/I/71JXbRnIiCL._AC_US600_.jpg" tooltip="https://images-na.ssl-images-amazon.com/images/I/71JXbRnIiCL._AC_US600_.jpg"/>
    <hyperlink ref="J82" r:id="rId363" display="B0CRVB2GXN" tooltip="https://www.amazon.com/dp/B0CRVB2GXN"/>
    <hyperlink ref="K82" r:id="rId6" display="Clothing, Shoes &amp; Jewelry:Men:Clothing:Shirts:Button-Down Shirts" tooltip="https://www.amazon.com/b?node=121177981011"/>
    <hyperlink ref="L82" r:id="rId7" display="Clothing, Shoes &amp; Jewelry"/>
    <hyperlink ref="AR82" r:id="rId364" display="https://www.amazon.com/gp/help/seller/at-a-glance.html/ref=dp_merchant_link?seller=A1QSJE4DM3M7B9" tooltip="https://www.amazon.com/gp/help/seller/at-a-glance.html/ref=dp_merchant_link?seller=A1QSJE4DM3M7B9"/>
    <hyperlink ref="B83" r:id="rId365" display="B0C3QYF1H1" tooltip="https://www.amazon.com/dp/B0C3QYF1H1"/>
    <hyperlink ref="F83" r:id="rId366" display="https://www.amazon.com/stores/QIVICIMA/page/086B1491-0799-4AD5-9491-A92181BF0500?ref_=ast_bln&amp;store_ref=bl_ast_dp_brandLogo_sto" tooltip="https://www.amazon.com/stores/QIVICIMA/page/086B1491-0799-4AD5-9491-A92181BF0500?ref_=ast_bln&amp;store_ref=bl_ast_dp_brandLogo_sto"/>
    <hyperlink ref="H83" r:id="rId367" display="https://www.amazon.com/dp/B0C3QYF1H1?psc=1" tooltip="https://www.amazon.com/dp/B0C3QYF1H1?psc=1"/>
    <hyperlink ref="I83" r:id="rId368" display="https://m.media-amazon.com/images/I/41joe3lxSML._AC_SR600,600_.jpg" tooltip="https://m.media-amazon.com/images/I/41joe3lxSML._AC_SR600,600_.jpg"/>
    <hyperlink ref="J83" r:id="rId369" display="B0CT4V98J3" tooltip="https://www.amazon.com/dp/B0CT4V98J3"/>
    <hyperlink ref="K83" r:id="rId6" display="Clothing, Shoes &amp; Jewelry:Men:Clothing:Shirts:Button-Down Shirts" tooltip="https://www.amazon.com/b?node=121177981011"/>
    <hyperlink ref="L83" r:id="rId7" display="Clothing, Shoes &amp; Jewelry"/>
    <hyperlink ref="AR83" r:id="rId370" display="https://www.amazon.com/gp/help/seller/at-a-glance.html/ref=dp_merchant_link?seller=AOPBOX3ZIES5D" tooltip="https://www.amazon.com/gp/help/seller/at-a-glance.html/ref=dp_merchant_link?seller=AOPBOX3ZIES5D"/>
    <hyperlink ref="B84" r:id="rId371" display="B0CF2FP99V" tooltip="https://www.amazon.com/dp/B0CF2FP99V"/>
    <hyperlink ref="F84" r:id="rId41" display="https://www.amazon.com/stores/JVER/page/1F221D12-BDFC-4E35-B552-19E6740F1D2A?ref_=ast_bln&amp;store_ref=bl_ast_dp_brandLogo_sto" tooltip="https://www.amazon.com/stores/JVER/page/1F221D12-BDFC-4E35-B552-19E6740F1D2A?ref_=ast_bln&amp;store_ref=bl_ast_dp_brandLogo_sto"/>
    <hyperlink ref="I84" r:id="rId372" display="https://m.media-amazon.com/images/I/41Io2LFenEL._AC_SR600,600_.jpg" tooltip="https://m.media-amazon.com/images/I/41Io2LFenEL._AC_SR600,600_.jpg"/>
    <hyperlink ref="J84" r:id="rId373" display="B0CGLWVKWW" tooltip="https://www.amazon.com/dp/B0CGLWVKWW"/>
    <hyperlink ref="K84" r:id="rId76" display="Clothing, Shoes &amp; Jewelry:Men:Clothing:Shirts" tooltip="https://www.amazon.com/b?node=2476517011"/>
    <hyperlink ref="L84" r:id="rId7" display="Clothing, Shoes &amp; Jewelry"/>
    <hyperlink ref="AR84" r:id="rId45" display="https://www.amazon.com/gp/help/seller/at-a-glance.html/ref=dp_merchant_link?seller=A2FHNONIQMDEMP" tooltip="https://www.amazon.com/gp/help/seller/at-a-glance.html/ref=dp_merchant_link?seller=A2FHNONIQMDEMP"/>
    <hyperlink ref="B85" r:id="rId374" display="B0C2H3D3T2" tooltip="https://www.amazon.com/dp/B0C2H3D3T2"/>
    <hyperlink ref="F85" r:id="rId51" display="https://www.amazon.com/stores/VATPAVE/page/56E298D3-4201-4761-9CD6-F70F67AB957B?ref_=ast_bln&amp;store_ref=bl_ast_dp_brandLogo_sto" tooltip="https://www.amazon.com/stores/VATPAVE/page/56E298D3-4201-4761-9CD6-F70F67AB957B?ref_=ast_bln&amp;store_ref=bl_ast_dp_brandLogo_sto"/>
    <hyperlink ref="H85" r:id="rId375" display="https://www.amazon.com/dp/B0C2H3D3T2?psc=1" tooltip="https://www.amazon.com/dp/B0C2H3D3T2?psc=1"/>
    <hyperlink ref="I85" r:id="rId376" display="https://images-na.ssl-images-amazon.com/images/I/71NR6SBkxZL._AC_US600_.jpg" tooltip="https://images-na.ssl-images-amazon.com/images/I/71NR6SBkxZL._AC_US600_.jpg"/>
    <hyperlink ref="J85" r:id="rId54" display="B0BS3HCFMQ" tooltip="https://www.amazon.com/dp/B0BS3HCFMQ"/>
    <hyperlink ref="K85" r:id="rId6" display="Clothing, Shoes &amp; Jewelry:Men:Clothing:Shirts:Button-Down Shirts" tooltip="https://www.amazon.com/b?node=121177981011"/>
    <hyperlink ref="L85" r:id="rId7" display="Clothing, Shoes &amp; Jewelry"/>
    <hyperlink ref="AR85" r:id="rId55" display="https://www.amazon.com/gp/help/seller/at-a-glance.html/ref=dp_merchant_link?seller=A60375D51PSXW" tooltip="https://www.amazon.com/gp/help/seller/at-a-glance.html/ref=dp_merchant_link?seller=A60375D51PSXW"/>
    <hyperlink ref="B86" r:id="rId377" display="B0CJ4J12B4" tooltip="https://www.amazon.com/dp/B0CJ4J12B4"/>
    <hyperlink ref="F86" r:id="rId16" display="https://www.amazon.com/stores/COOFANDY/page/23614F3D-BBD9-4564-8B56-4436A5CD5A93?ref_=ast_bln" tooltip="https://www.amazon.com/stores/COOFANDY/page/23614F3D-BBD9-4564-8B56-4436A5CD5A93?ref_=ast_bln"/>
    <hyperlink ref="H86" r:id="rId378" display="https://www.amazon.com/dp/B0CJ4J12B4?psc=1" tooltip="https://www.amazon.com/dp/B0CJ4J12B4?psc=1"/>
    <hyperlink ref="I86" r:id="rId379" display="https://m.media-amazon.com/images/I/41DYSjNvHcL._AC_SR600,600_.jpg" tooltip="https://m.media-amazon.com/images/I/41DYSjNvHcL._AC_SR600,600_.jpg"/>
    <hyperlink ref="J86" r:id="rId380" display="B0DDY29GQR" tooltip="https://www.amazon.com/dp/B0DDY29GQR"/>
    <hyperlink ref="K86" r:id="rId6" display="Clothing, Shoes &amp; Jewelry:Men:Clothing:Shirts:Button-Down Shirts" tooltip="https://www.amazon.com/b?node=121177981011"/>
    <hyperlink ref="L86" r:id="rId7" display="Clothing, Shoes &amp; Jewelry"/>
    <hyperlink ref="AR86" r:id="rId31" display="https://www.amazon.com/gp/help/seller/at-a-glance.html/ref=dp_merchant_link?seller=AW10J8VB8Z74G" tooltip="https://www.amazon.com/gp/help/seller/at-a-glance.html/ref=dp_merchant_link?seller=AW10J8VB8Z74G"/>
    <hyperlink ref="B87" r:id="rId381" display="B0CQSXD6JB" tooltip="https://www.amazon.com/dp/B0CQSXD6JB"/>
    <hyperlink ref="F87" r:id="rId135" display="https://www.amazon.com/stores/DEMEANOR/page/AB51D4CB-66EF-4F10-A923-7A47881C6B02?ref_=ast_bln" tooltip="https://www.amazon.com/stores/DEMEANOR/page/AB51D4CB-66EF-4F10-A923-7A47881C6B02?ref_=ast_bln"/>
    <hyperlink ref="H87" r:id="rId382" display="https://www.amazon.com/dp/B0CQSXD6JB?psc=1" tooltip="https://www.amazon.com/dp/B0CQSXD6JB?psc=1"/>
    <hyperlink ref="I87" r:id="rId383" display="https://images-na.ssl-images-amazon.com/images/I/81Rg0P7ouNL._AC_US600_.jpg" tooltip="https://images-na.ssl-images-amazon.com/images/I/81Rg0P7ouNL._AC_US600_.jpg"/>
    <hyperlink ref="J87" r:id="rId384" display="B0CQSNH7TC" tooltip="https://www.amazon.com/dp/B0CQSNH7TC"/>
    <hyperlink ref="K87" r:id="rId6" display="Clothing, Shoes &amp; Jewelry:Men:Clothing:Shirts:Button-Down Shirts" tooltip="https://www.amazon.com/b?node=121177981011"/>
    <hyperlink ref="L87" r:id="rId7" display="Clothing, Shoes &amp; Jewelry"/>
    <hyperlink ref="AR87" r:id="rId139" display="https://www.amazon.com/gp/help/seller/at-a-glance.html/ref=dp_merchant_link?seller=A1Q57G0HOV6U0E" tooltip="https://www.amazon.com/gp/help/seller/at-a-glance.html/ref=dp_merchant_link?seller=A1Q57G0HOV6U0E"/>
    <hyperlink ref="B88" r:id="rId385" display="B0CVXF4XSS" tooltip="https://www.amazon.com/dp/B0CVXF4XSS"/>
    <hyperlink ref="F88" r:id="rId386" display="https://www.amazon.com/stores/Angbater/page/FE42154C-BCB2-4A07-BFEC-92EEB5BCC767?ref_=ast_bln&amp;store_ref=bl_ast_dp_brandLogo_sto" tooltip="https://www.amazon.com/stores/Angbater/page/FE42154C-BCB2-4A07-BFEC-92EEB5BCC767?ref_=ast_bln&amp;store_ref=bl_ast_dp_brandLogo_sto"/>
    <hyperlink ref="H88" r:id="rId387" display="https://www.amazon.com/dp/B0CVXF4XSS?psc=1" tooltip="https://www.amazon.com/dp/B0CVXF4XSS?psc=1"/>
    <hyperlink ref="I88" r:id="rId388" display="https://m.media-amazon.com/images/I/41r3ZlIOFIL._AC_SR600,600_.jpg" tooltip="https://m.media-amazon.com/images/I/41r3ZlIOFIL._AC_SR600,600_.jpg"/>
    <hyperlink ref="J88" r:id="rId389" display="B0CVXCB4P9" tooltip="https://www.amazon.com/dp/B0CVXCB4P9"/>
    <hyperlink ref="K88" r:id="rId6" display="Clothing, Shoes &amp; Jewelry:Men:Clothing:Shirts:Button-Down Shirts" tooltip="https://www.amazon.com/b?node=121177981011"/>
    <hyperlink ref="L88" r:id="rId7" display="Clothing, Shoes &amp; Jewelry"/>
    <hyperlink ref="AR88" r:id="rId390" display="https://www.amazon.com/gp/help/seller/at-a-glance.html/ref=dp_merchant_link?seller=A2NVOM2M0D0QPW" tooltip="https://www.amazon.com/gp/help/seller/at-a-glance.html/ref=dp_merchant_link?seller=A2NVOM2M0D0QPW"/>
    <hyperlink ref="B89" r:id="rId391" display="B0CNTG7HQC" tooltip="https://www.amazon.com/dp/B0CNTG7HQC"/>
    <hyperlink ref="F89" r:id="rId246" display="https://www.amazon.com/stores/Enlision/page/0F59DEF7-EAE3-4314-84BF-EB87376CF28E?ref_=ast_bln&amp;store_ref=bl_ast_dp_brandLogo_sto" tooltip="https://www.amazon.com/stores/Enlision/page/0F59DEF7-EAE3-4314-84BF-EB87376CF28E?ref_=ast_bln&amp;store_ref=bl_ast_dp_brandLogo_sto"/>
    <hyperlink ref="H89" r:id="rId392" display="https://www.amazon.com/dp/B0CNTG7HQC?psc=1" tooltip="https://www.amazon.com/dp/B0CNTG7HQC?psc=1"/>
    <hyperlink ref="I89" r:id="rId393" display="https://images-na.ssl-images-amazon.com/images/I/71+05TIQAAL._AC_US600_.jpg" tooltip="https://images-na.ssl-images-amazon.com/images/I/71+05TIQAAL._AC_US600_.jpg"/>
    <hyperlink ref="J89" r:id="rId394" display="B0CNTHY8TR" tooltip="https://www.amazon.com/dp/B0CNTHY8TR"/>
    <hyperlink ref="K89" r:id="rId6" display="Clothing, Shoes &amp; Jewelry:Men:Clothing:Shirts:Button-Down Shirts" tooltip="https://www.amazon.com/b?node=121177981011"/>
    <hyperlink ref="L89" r:id="rId7" display="Clothing, Shoes &amp; Jewelry"/>
    <hyperlink ref="AR89" r:id="rId395" display="https://www.amazon.com/gp/help/seller/at-a-glance.html/ref=dp_merchant_link?seller=A2WTH0OD6K37NE" tooltip="https://www.amazon.com/gp/help/seller/at-a-glance.html/ref=dp_merchant_link?seller=A2WTH0OD6K37NE"/>
    <hyperlink ref="B90" r:id="rId396" display="B0CN6BZRTJ" tooltip="https://www.amazon.com/dp/B0CN6BZRTJ"/>
    <hyperlink ref="F90" r:id="rId16" display="https://www.amazon.com/stores/COOFANDY/page/23614F3D-BBD9-4564-8B56-4436A5CD5A93?ref_=ast_bln" tooltip="https://www.amazon.com/stores/COOFANDY/page/23614F3D-BBD9-4564-8B56-4436A5CD5A93?ref_=ast_bln"/>
    <hyperlink ref="H90" r:id="rId397" display="https://www.amazon.com/dp/B0CN6BZRTJ?psc=1" tooltip="https://www.amazon.com/dp/B0CN6BZRTJ?psc=1"/>
    <hyperlink ref="I90" r:id="rId398" display="https://m.media-amazon.com/images/I/41wUmulb8QL._AC_SR600,600_.jpg" tooltip="https://m.media-amazon.com/images/I/41wUmulb8QL._AC_SR600,600_.jpg"/>
    <hyperlink ref="J90" r:id="rId399" display="B0DDXZJH1D" tooltip="https://www.amazon.com/dp/B0DDXZJH1D"/>
    <hyperlink ref="K90" r:id="rId6" display="Clothing, Shoes &amp; Jewelry:Men:Clothing:Shirts:Button-Down Shirts" tooltip="https://www.amazon.com/b?node=121177981011"/>
    <hyperlink ref="L90" r:id="rId7" display="Clothing, Shoes &amp; Jewelry"/>
    <hyperlink ref="AR90" r:id="rId31" display="https://www.amazon.com/gp/help/seller/at-a-glance.html/ref=dp_merchant_link?seller=AW10J8VB8Z74G" tooltip="https://www.amazon.com/gp/help/seller/at-a-glance.html/ref=dp_merchant_link?seller=AW10J8VB8Z74G"/>
    <hyperlink ref="B91" r:id="rId400" display="B0CF61W5QD" tooltip="https://www.amazon.com/dp/B0CF61W5QD"/>
    <hyperlink ref="F91" r:id="rId125" display="https://www.amazon.com/stores/AlimensGentle/page/49CD71DA-8B8C-4DAD-82E3-C4EE212D5CA1?ref_=ast_bln&amp;store_ref=bl_ast_dp_brandLogo_sto" tooltip="https://www.amazon.com/stores/AlimensGentle/page/49CD71DA-8B8C-4DAD-82E3-C4EE212D5CA1?ref_=ast_bln&amp;store_ref=bl_ast_dp_brandLogo_sto"/>
    <hyperlink ref="H91" r:id="rId401" display="https://www.amazon.com/dp/B0CF61W5QD?psc=1" tooltip="https://www.amazon.com/dp/B0CF61W5QD?psc=1"/>
    <hyperlink ref="I91" r:id="rId402" display="https://images-na.ssl-images-amazon.com/images/I/81SBBZDVMjL._AC_US600_.jpg" tooltip="https://images-na.ssl-images-amazon.com/images/I/81SBBZDVMjL._AC_US600_.jpg"/>
    <hyperlink ref="J91" r:id="rId403" display="B0CF63NYFD" tooltip="https://www.amazon.com/dp/B0CF63NYFD"/>
    <hyperlink ref="K91" r:id="rId6" display="Clothing, Shoes &amp; Jewelry:Men:Clothing:Shirts:Button-Down Shirts" tooltip="https://www.amazon.com/b?node=121177981011"/>
    <hyperlink ref="L91" r:id="rId7" display="Clothing, Shoes &amp; Jewelry"/>
    <hyperlink ref="AR91" r:id="rId129" display="https://www.amazon.com/gp/help/seller/at-a-glance.html/ref=dp_merchant_link?seller=A2U49OUC4V6GLR" tooltip="https://www.amazon.com/gp/help/seller/at-a-glance.html/ref=dp_merchant_link?seller=A2U49OUC4V6GLR"/>
    <hyperlink ref="B92" r:id="rId404" display="B0D5B5BFD3" tooltip="https://www.amazon.com/dp/B0D5B5BFD3"/>
    <hyperlink ref="F92" r:id="rId16" display="https://www.amazon.com/stores/COOFANDY/page/23614F3D-BBD9-4564-8B56-4436A5CD5A93?ref_=ast_bln" tooltip="https://www.amazon.com/stores/COOFANDY/page/23614F3D-BBD9-4564-8B56-4436A5CD5A93?ref_=ast_bln"/>
    <hyperlink ref="H92" r:id="rId405" display="https://www.amazon.com/dp/B0D5B5BFD3?psc=1" tooltip="https://www.amazon.com/dp/B0D5B5BFD3?psc=1"/>
    <hyperlink ref="I92" r:id="rId406" display="https://images-na.ssl-images-amazon.com/images/I/81TUXJr+DGL._AC_US600_.jpg" tooltip="https://images-na.ssl-images-amazon.com/images/I/81TUXJr+DGL._AC_US600_.jpg"/>
    <hyperlink ref="J92" r:id="rId407" display="B0DDY5F24D" tooltip="https://www.amazon.com/dp/B0DDY5F24D"/>
    <hyperlink ref="K92" r:id="rId6" display="Clothing, Shoes &amp; Jewelry:Men:Clothing:Shirts:Button-Down Shirts" tooltip="https://www.amazon.com/b?node=121177981011"/>
    <hyperlink ref="L92" r:id="rId7" display="Clothing, Shoes &amp; Jewelry"/>
    <hyperlink ref="AR92" r:id="rId31" display="https://www.amazon.com/gp/help/seller/at-a-glance.html/ref=dp_merchant_link?seller=AW10J8VB8Z74G" tooltip="https://www.amazon.com/gp/help/seller/at-a-glance.html/ref=dp_merchant_link?seller=AW10J8VB8Z74G"/>
    <hyperlink ref="B93" r:id="rId408" display="B0BHYHYRSR" tooltip="https://www.amazon.com/dp/B0BHYHYRSR"/>
    <hyperlink ref="F93" r:id="rId16" display="https://www.amazon.com/stores/COOFANDY/page/23614F3D-BBD9-4564-8B56-4436A5CD5A93?ref_=ast_bln" tooltip="https://www.amazon.com/stores/COOFANDY/page/23614F3D-BBD9-4564-8B56-4436A5CD5A93?ref_=ast_bln"/>
    <hyperlink ref="H93" r:id="rId409" display="https://www.amazon.com/dp/B0BHYHYRSR?psc=1" tooltip="https://www.amazon.com/dp/B0BHYHYRSR?psc=1"/>
    <hyperlink ref="I93" r:id="rId410" display="https://m.media-amazon.com/images/I/316DlaX44KL._AC_SR600,600_.jpg" tooltip="https://m.media-amazon.com/images/I/316DlaX44KL._AC_SR600,600_.jpg"/>
    <hyperlink ref="J93" r:id="rId411" display="B0DDXNDHZ3" tooltip="https://www.amazon.com/dp/B0DDXNDHZ3"/>
    <hyperlink ref="K93" r:id="rId412" display="Clothing, Shoes &amp; Jewelry:Men:Clothing:Active:Sets:Active Tracksuits" tooltip="https://www.amazon.com/b?node=14291771"/>
    <hyperlink ref="L93" r:id="rId7" display="Clothing, Shoes &amp; Jewelry"/>
    <hyperlink ref="AR93" r:id="rId31" display="https://www.amazon.com/gp/help/seller/at-a-glance.html/ref=dp_merchant_link?seller=AW10J8VB8Z74G" tooltip="https://www.amazon.com/gp/help/seller/at-a-glance.html/ref=dp_merchant_link?seller=AW10J8VB8Z74G"/>
    <hyperlink ref="B94" r:id="rId413" display="B07SR1JQHR" tooltip="https://www.amazon.com/dp/B07SR1JQHR"/>
    <hyperlink ref="F94" r:id="rId119" display="https://www.amazon.com/stores/Cubavera/page/00EE9CE4-5829-49A7-84F9-C3A2A94E9123?ref_=ast_bln&amp;store_ref=bl_ast_dp_brandLogo_sto" tooltip="https://www.amazon.com/stores/Cubavera/page/00EE9CE4-5829-49A7-84F9-C3A2A94E9123?ref_=ast_bln&amp;store_ref=bl_ast_dp_brandLogo_sto"/>
    <hyperlink ref="H94" r:id="rId414" display="https://www.amazon.com/dp/B07SR1JQHR?psc=1" tooltip="https://www.amazon.com/dp/B07SR1JQHR?psc=1"/>
    <hyperlink ref="I94" r:id="rId415" display="https://m.media-amazon.com/images/I/41zVYIlJQdL._AC_SR600,600_.jpg" tooltip="https://m.media-amazon.com/images/I/41zVYIlJQdL._AC_SR600,600_.jpg"/>
    <hyperlink ref="J94" r:id="rId416" display="B09Q8DLBCN" tooltip="https://www.amazon.com/dp/B09Q8DLBCN"/>
    <hyperlink ref="K94" r:id="rId6" display="Clothing, Shoes &amp; Jewelry:Men:Clothing:Shirts:Button-Down Shirts" tooltip="https://www.amazon.com/b?node=121177981011"/>
    <hyperlink ref="L94" r:id="rId7" display="Clothing, Shoes &amp; Jewelry"/>
    <hyperlink ref="B95" r:id="rId417" display="B0D7CH5PLK" tooltip="https://www.amazon.com/dp/B0D7CH5PLK"/>
    <hyperlink ref="F95" r:id="rId33" display="https://www.amazon.com/stores/JEKAOYI/page/1CC599FA-46DE-4AFB-BDE0-033956DE325E?ref_=ast_bln&amp;store_ref=bl_ast_dp_brandLogo_sto" tooltip="https://www.amazon.com/stores/JEKAOYI/page/1CC599FA-46DE-4AFB-BDE0-033956DE325E?ref_=ast_bln&amp;store_ref=bl_ast_dp_brandLogo_sto"/>
    <hyperlink ref="H95" r:id="rId418" display="https://www.amazon.com/dp/B0D7CH5PLK?psc=1" tooltip="https://www.amazon.com/dp/B0D7CH5PLK?psc=1"/>
    <hyperlink ref="I95" r:id="rId419" display="https://m.media-amazon.com/images/I/41GPLWjUzmL._AC_SR600,600_.jpg" tooltip="https://m.media-amazon.com/images/I/41GPLWjUzmL._AC_SR600,600_.jpg"/>
    <hyperlink ref="J95" r:id="rId420" display="B0D7CFC6WV" tooltip="https://www.amazon.com/dp/B0D7CFC6WV"/>
    <hyperlink ref="K95" r:id="rId6" display="Clothing, Shoes &amp; Jewelry:Men:Clothing:Shirts:Button-Down Shirts" tooltip="https://www.amazon.com/b?node=121177981011"/>
    <hyperlink ref="L95" r:id="rId7" display="Clothing, Shoes &amp; Jewelry"/>
    <hyperlink ref="AR95" r:id="rId187" display="https://www.amazon.com/gp/help/seller/at-a-glance.html/ref=dp_merchant_link?seller=A107Z78SG8ROPE" tooltip="https://www.amazon.com/gp/help/seller/at-a-glance.html/ref=dp_merchant_link?seller=A107Z78SG8ROPE"/>
    <hyperlink ref="B96" r:id="rId421" display="B0CRKDZJHW" tooltip="https://www.amazon.com/dp/B0CRKDZJHW"/>
    <hyperlink ref="F96" r:id="rId422" display="https://www.amazon.com/stores/PARKLEES/page/A67ABD9D-D373-4ADA-BE0B-4974553BBA93?ref_=ast_bln&amp;store_ref=bl_ast_dp_brandLogo_sto" tooltip="https://www.amazon.com/stores/PARKLEES/page/A67ABD9D-D373-4ADA-BE0B-4974553BBA93?ref_=ast_bln&amp;store_ref=bl_ast_dp_brandLogo_sto"/>
    <hyperlink ref="H96" r:id="rId423" display="https://www.amazon.com/dp/B0CRKDZJHW?psc=1" tooltip="https://www.amazon.com/dp/B0CRKDZJHW?psc=1"/>
    <hyperlink ref="I96" r:id="rId424" display="https://images-na.ssl-images-amazon.com/images/I/71B4LQjxh6L._AC_US600_.jpg" tooltip="https://images-na.ssl-images-amazon.com/images/I/71B4LQjxh6L._AC_US600_.jpg"/>
    <hyperlink ref="J96" r:id="rId425" display="B0CPSRR382" tooltip="https://www.amazon.com/dp/B0CPSRR382"/>
    <hyperlink ref="K96" r:id="rId6" display="Clothing, Shoes &amp; Jewelry:Men:Clothing:Shirts:Button-Down Shirts" tooltip="https://www.amazon.com/b?node=121177981011"/>
    <hyperlink ref="L96" r:id="rId7" display="Clothing, Shoes &amp; Jewelry"/>
    <hyperlink ref="AR96" r:id="rId292" display="https://www.amazon.com/gp/help/seller/at-a-glance.html/ref=dp_merchant_link?seller=A2L7HXVRX7K0FT" tooltip="https://www.amazon.com/gp/help/seller/at-a-glance.html/ref=dp_merchant_link?seller=A2L7HXVRX7K0FT"/>
    <hyperlink ref="B97" r:id="rId426" display="B0CY1JC7HN" tooltip="https://www.amazon.com/dp/B0CY1JC7HN"/>
    <hyperlink ref="F97" r:id="rId16" display="https://www.amazon.com/stores/COOFANDY/page/23614F3D-BBD9-4564-8B56-4436A5CD5A93?ref_=ast_bln" tooltip="https://www.amazon.com/stores/COOFANDY/page/23614F3D-BBD9-4564-8B56-4436A5CD5A93?ref_=ast_bln"/>
    <hyperlink ref="H97" r:id="rId427" display="https://www.amazon.com/dp/B0CY1JC7HN?psc=1" tooltip="https://www.amazon.com/dp/B0CY1JC7HN?psc=1"/>
    <hyperlink ref="I97" r:id="rId428" display="https://m.media-amazon.com/images/I/51cabfxEIUL._AC_SR600,600_.jpg" tooltip="https://m.media-amazon.com/images/I/51cabfxEIUL._AC_SR600,600_.jpg"/>
    <hyperlink ref="J97" r:id="rId429" display="B0CY1T1S6R" tooltip="https://www.amazon.com/dp/B0CY1T1S6R"/>
    <hyperlink ref="K97" r:id="rId6" display="Clothing, Shoes &amp; Jewelry:Men:Clothing:Shirts:Button-Down Shirts" tooltip="https://www.amazon.com/b?node=121177981011"/>
    <hyperlink ref="L97" r:id="rId7" display="Clothing, Shoes &amp; Jewelry"/>
    <hyperlink ref="AR97" r:id="rId20" display="https://www.amazon.com/gp/help/seller/at-a-glance.html/ref=dp_merchant_link?seller=AYQEI860TGUFX" tooltip="https://www.amazon.com/gp/help/seller/at-a-glance.html/ref=dp_merchant_link?seller=AYQEI860TGUFX"/>
    <hyperlink ref="B98" r:id="rId430" display="B09LVHW341" tooltip="https://www.amazon.com/dp/B09LVHW341"/>
    <hyperlink ref="F98" r:id="rId16" display="https://www.amazon.com/stores/COOFANDY/page/23614F3D-BBD9-4564-8B56-4436A5CD5A93?ref_=ast_bln" tooltip="https://www.amazon.com/stores/COOFANDY/page/23614F3D-BBD9-4564-8B56-4436A5CD5A93?ref_=ast_bln"/>
    <hyperlink ref="H98" r:id="rId431" display="https://www.amazon.com/dp/B09LVHW341?psc=1" tooltip="https://www.amazon.com/dp/B09LVHW341?psc=1"/>
    <hyperlink ref="I98" r:id="rId432" display="https://m.media-amazon.com/images/I/51o74Zp68xL._AC_SR600,600_.jpg" tooltip="https://m.media-amazon.com/images/I/51o74Zp68xL._AC_SR600,600_.jpg"/>
    <hyperlink ref="J98" r:id="rId433" display="B0DDX6X5F9" tooltip="https://www.amazon.com/dp/B0DDX6X5F9"/>
    <hyperlink ref="K98" r:id="rId6" display="Clothing, Shoes &amp; Jewelry:Men:Clothing:Shirts:Button-Down Shirts" tooltip="https://www.amazon.com/b?node=121177981011"/>
    <hyperlink ref="L98" r:id="rId7" display="Clothing, Shoes &amp; Jewelry"/>
    <hyperlink ref="AR98" r:id="rId434" display="https://www.amazon.com/gp/help/seller/at-a-glance.html/ref=dp_merchant_link?seller=AIH806NDO4OC3" tooltip="https://www.amazon.com/gp/help/seller/at-a-glance.html/ref=dp_merchant_link?seller=AIH806NDO4OC3"/>
    <hyperlink ref="B99" r:id="rId435" display="B0CSVVRN4M" tooltip="https://www.amazon.com/dp/B0CSVVRN4M"/>
    <hyperlink ref="F99" r:id="rId210" display="https://www.amazon.com/stores/PJPAULJONES/page/900C5CBD-4371-40E3-9FF7-1AF3D2180072?ref_=ast_bln&amp;store_ref=bl_ast_dp_brandLogo_sto" tooltip="https://www.amazon.com/stores/PJPAULJONES/page/900C5CBD-4371-40E3-9FF7-1AF3D2180072?ref_=ast_bln&amp;store_ref=bl_ast_dp_brandLogo_sto"/>
    <hyperlink ref="H99" r:id="rId436" display="https://www.amazon.com/dp/B0CSVVRN4M?psc=1" tooltip="https://www.amazon.com/dp/B0CSVVRN4M?psc=1"/>
    <hyperlink ref="I99" r:id="rId437" display="https://m.media-amazon.com/images/I/41rmsuha4PL._AC_SR600,600_.jpg" tooltip="https://m.media-amazon.com/images/I/41rmsuha4PL._AC_SR600,600_.jpg"/>
    <hyperlink ref="J99" r:id="rId438" display="B0CSW3VS44" tooltip="https://www.amazon.com/dp/B0CSW3VS44"/>
    <hyperlink ref="K99" r:id="rId6" display="Clothing, Shoes &amp; Jewelry:Men:Clothing:Shirts:Button-Down Shirts" tooltip="https://www.amazon.com/b?node=121177981011"/>
    <hyperlink ref="L99" r:id="rId7" display="Clothing, Shoes &amp; Jewelry"/>
    <hyperlink ref="AR99" r:id="rId214" display="https://www.amazon.com/gp/help/seller/at-a-glance.html/ref=dp_merchant_link?seller=A2FOAMAM1NPBGV" tooltip="https://www.amazon.com/gp/help/seller/at-a-glance.html/ref=dp_merchant_link?seller=A2FOAMAM1NPBGV"/>
    <hyperlink ref="B100" r:id="rId439" display="B0CB69ZYXP" tooltip="https://www.amazon.com/dp/B0CB69ZYXP"/>
    <hyperlink ref="F100" r:id="rId16" display="https://www.amazon.com/stores/COOFANDY/page/23614F3D-BBD9-4564-8B56-4436A5CD5A93?ref_=ast_bln" tooltip="https://www.amazon.com/stores/COOFANDY/page/23614F3D-BBD9-4564-8B56-4436A5CD5A93?ref_=ast_bln"/>
    <hyperlink ref="H100" r:id="rId440" display="https://www.amazon.com/dp/B0CB69ZYXP?psc=1" tooltip="https://www.amazon.com/dp/B0CB69ZYXP?psc=1"/>
    <hyperlink ref="I100" r:id="rId441" display="https://m.media-amazon.com/images/I/41hiC5ZKXHL._AC_SR600,600_.jpg" tooltip="https://m.media-amazon.com/images/I/41hiC5ZKXHL._AC_SR600,600_.jpg"/>
    <hyperlink ref="J100" r:id="rId442" display="B0DF6WJDH4" tooltip="https://www.amazon.com/dp/B0DF6WJDH4"/>
    <hyperlink ref="K100" r:id="rId6" display="Clothing, Shoes &amp; Jewelry:Men:Clothing:Shirts:Button-Down Shirts" tooltip="https://www.amazon.com/b?node=121177981011"/>
    <hyperlink ref="L100" r:id="rId7" display="Clothing, Shoes &amp; Jewelry"/>
    <hyperlink ref="AR100" r:id="rId31" display="https://www.amazon.com/gp/help/seller/at-a-glance.html/ref=dp_merchant_link?seller=AW10J8VB8Z74G" tooltip="https://www.amazon.com/gp/help/seller/at-a-glance.html/ref=dp_merchant_link?seller=AW10J8VB8Z74G"/>
    <hyperlink ref="B101" r:id="rId443" display="B0D62MJMF9" tooltip="https://www.amazon.com/dp/B0D62MJMF9"/>
    <hyperlink ref="F101" r:id="rId16" display="https://www.amazon.com/stores/COOFANDY/page/23614F3D-BBD9-4564-8B56-4436A5CD5A93?ref_=ast_bln" tooltip="https://www.amazon.com/stores/COOFANDY/page/23614F3D-BBD9-4564-8B56-4436A5CD5A93?ref_=ast_bln"/>
    <hyperlink ref="H101" r:id="rId444" display="https://www.amazon.com/dp/B0D62MJMF9?psc=1" tooltip="https://www.amazon.com/dp/B0D62MJMF9?psc=1"/>
    <hyperlink ref="I101" r:id="rId445" display="https://m.media-amazon.com/images/I/41VDYKrzX5L._AC_SR600,600_.jpg" tooltip="https://m.media-amazon.com/images/I/41VDYKrzX5L._AC_SR600,600_.jpg"/>
    <hyperlink ref="J101" r:id="rId346" display="B0DF2B3F6Y" tooltip="https://www.amazon.com/dp/B0DF2B3F6Y"/>
    <hyperlink ref="K101" r:id="rId6" display="Clothing, Shoes &amp; Jewelry:Men:Clothing:Shirts:Button-Down Shirts" tooltip="https://www.amazon.com/b?node=121177981011"/>
    <hyperlink ref="L101" r:id="rId7" display="Clothing, Shoes &amp; Jewelry"/>
    <hyperlink ref="AR101" r:id="rId31" display="https://www.amazon.com/gp/help/seller/at-a-glance.html/ref=dp_merchant_link?seller=AW10J8VB8Z74G" tooltip="https://www.amazon.com/gp/help/seller/at-a-glance.html/ref=dp_merchant_link?seller=AW10J8VB8Z74G"/>
    <hyperlink ref="H84" r:id="rId446" display="https://www.amazon.com/dp/B0CF2FP99V?psc=1" tooltip="https://www.amazon.com/dp/B0CF2FP99V?psc=1"/>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4" customWidth="1"/>
  </cols>
  <sheetData>
    <row r="1" s="2" customFormat="1" ht="45" customHeight="1" spans="1:1">
      <c r="A1" s="5" t="s">
        <v>1267</v>
      </c>
    </row>
    <row r="2" s="2" customFormat="1" ht="45" customHeight="1" spans="1:1">
      <c r="A2" s="5" t="s">
        <v>1268</v>
      </c>
    </row>
    <row r="3" s="2" customFormat="1" ht="100" customHeight="1" spans="1:1">
      <c r="A3" s="5" t="s">
        <v>1269</v>
      </c>
    </row>
    <row r="4" s="2" customFormat="1" ht="45" customHeight="1" spans="1:1">
      <c r="A4" s="5" t="s">
        <v>1270</v>
      </c>
    </row>
    <row r="5" s="2" customFormat="1" ht="45" customHeight="1" spans="1:1">
      <c r="A5" s="5" t="s">
        <v>1271</v>
      </c>
    </row>
    <row r="6" s="3" customFormat="1" ht="45" customHeight="1" spans="1:1">
      <c r="A6" s="6" t="s">
        <v>1272</v>
      </c>
    </row>
    <row r="7" ht="45" customHeight="1" spans="1:1">
      <c r="A7" s="7" t="s">
        <v>1273</v>
      </c>
    </row>
  </sheetData>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G2" sqref="G2"/>
    </sheetView>
  </sheetViews>
  <sheetFormatPr defaultColWidth="8.88888888888889" defaultRowHeight="14.4"/>
  <cols>
    <col min="1" max="5" width="19.4537037037037" customWidth="1"/>
  </cols>
  <sheetData>
    <row r="1" ht="100" customHeight="1" spans="1:1">
      <c r="A1" s="1"/>
    </row>
    <row r="2" ht="100" customHeight="1" spans="1:1">
      <c r="A2" s="1"/>
    </row>
    <row r="3" ht="100" customHeight="1" spans="1:1">
      <c r="A3" s="1"/>
    </row>
    <row r="4" ht="100" customHeight="1" spans="1:1">
      <c r="A4" s="1"/>
    </row>
    <row r="5" ht="100" customHeight="1" spans="1:1">
      <c r="A5" s="1"/>
    </row>
    <row r="6" ht="100" customHeight="1" spans="1:1">
      <c r="A6" s="1"/>
    </row>
    <row r="7" ht="100" customHeight="1" spans="1:1">
      <c r="A7" s="1"/>
    </row>
    <row r="8" ht="100" customHeight="1" spans="1:1">
      <c r="A8" s="1"/>
    </row>
    <row r="9" ht="100" customHeight="1" spans="1:1">
      <c r="A9" s="1"/>
    </row>
    <row r="10" ht="100" customHeight="1" spans="1:1">
      <c r="A10" s="1"/>
    </row>
    <row r="11" ht="45.75" customHeight="1" spans="1:1">
      <c r="A11" s="1"/>
    </row>
    <row r="12" ht="45.75" customHeight="1" spans="1:1">
      <c r="A12" s="1"/>
    </row>
    <row r="13" ht="45.75" customHeight="1" spans="1:1">
      <c r="A13" s="1"/>
    </row>
    <row r="14" ht="45.75" customHeight="1" spans="1:1">
      <c r="A14" s="1"/>
    </row>
    <row r="15" ht="45.75" customHeight="1" spans="1:1">
      <c r="A15" s="1"/>
    </row>
    <row r="16" ht="45.75" customHeight="1" spans="1:1">
      <c r="A16" s="1"/>
    </row>
    <row r="17" ht="45.75" customHeight="1" spans="1:1">
      <c r="A17" s="1"/>
    </row>
    <row r="18" ht="45.75" customHeight="1" spans="1:1">
      <c r="A18" s="1"/>
    </row>
    <row r="19" ht="45.75" customHeight="1" spans="1:1">
      <c r="A19" s="1"/>
    </row>
    <row r="20" ht="45.75" customHeight="1" spans="1:1">
      <c r="A20" s="1"/>
    </row>
    <row r="21" ht="45.75" customHeight="1" spans="1:1">
      <c r="A21" s="1"/>
    </row>
    <row r="22" ht="45.75" customHeight="1" spans="1:1">
      <c r="A22" s="1"/>
    </row>
    <row r="23" ht="45.75" customHeight="1" spans="1:1">
      <c r="A23" s="1"/>
    </row>
    <row r="24" ht="45.75" customHeight="1" spans="1:1">
      <c r="A24" s="1"/>
    </row>
    <row r="25" ht="45.75" customHeight="1" spans="1:1">
      <c r="A25" s="1"/>
    </row>
    <row r="26" ht="45.75" customHeight="1" spans="1:1">
      <c r="A26" s="1"/>
    </row>
    <row r="27" ht="45.75" customHeight="1" spans="1:1">
      <c r="A27" s="1"/>
    </row>
    <row r="28" ht="45.75" customHeight="1" spans="1:1">
      <c r="A28" s="1"/>
    </row>
    <row r="29" ht="45.75" customHeight="1" spans="1:1">
      <c r="A29" s="1"/>
    </row>
    <row r="30" ht="45.75" customHeight="1" spans="1:1">
      <c r="A30" s="1"/>
    </row>
    <row r="31" ht="45.75" customHeight="1" spans="1:1">
      <c r="A31" s="1"/>
    </row>
    <row r="32" ht="45.75" customHeight="1" spans="1:1">
      <c r="A32" s="1"/>
    </row>
    <row r="33" ht="45.75" customHeight="1" spans="1:1">
      <c r="A33" s="1"/>
    </row>
    <row r="34" ht="45.75" customHeight="1" spans="1:1">
      <c r="A34" s="1"/>
    </row>
    <row r="35" ht="45.75" customHeight="1" spans="1:1">
      <c r="A35" s="1"/>
    </row>
    <row r="36" ht="45.75" customHeight="1" spans="1:1">
      <c r="A36" s="1"/>
    </row>
    <row r="37" ht="45.75" customHeight="1" spans="1:1">
      <c r="A37" s="1"/>
    </row>
    <row r="38" ht="45.75" customHeight="1" spans="1:1">
      <c r="A38" s="1"/>
    </row>
    <row r="39" ht="45.75" customHeight="1" spans="1:1">
      <c r="A39" s="1"/>
    </row>
    <row r="40" ht="45.75" customHeight="1" spans="1:1">
      <c r="A40" s="1"/>
    </row>
    <row r="41" ht="45.75" customHeight="1" spans="1:1">
      <c r="A41" s="1"/>
    </row>
    <row r="42" ht="45.75" customHeight="1" spans="1:1">
      <c r="A42" s="1"/>
    </row>
    <row r="43" ht="45.75" customHeight="1" spans="1:1">
      <c r="A43" s="1"/>
    </row>
    <row r="44" ht="45.75" customHeight="1" spans="1:1">
      <c r="A44" s="1"/>
    </row>
    <row r="45" ht="45.75" customHeight="1" spans="1:1">
      <c r="A45" s="1"/>
    </row>
    <row r="46" ht="45.75" customHeight="1" spans="1:1">
      <c r="A46" s="1"/>
    </row>
    <row r="47" ht="45.75" customHeight="1" spans="1:1">
      <c r="A47" s="1"/>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US</vt:lpstr>
      <vt:lpstr>Note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OCD</cp:lastModifiedBy>
  <dcterms:created xsi:type="dcterms:W3CDTF">2024-11-14T06:26:00Z</dcterms:created>
  <dcterms:modified xsi:type="dcterms:W3CDTF">2024-11-21T10:59:41Z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5E1FE737BC19404BB81838E30D19A218_12</vt:lpwstr>
  </property>
  <property fmtid="{D5CDD505-2E9C-101B-9397-08002B2CF9AE}" pid="3" name="KSOProductBuildVer">
    <vt:lpwstr>2052-12.1.0.18912</vt:lpwstr>
  </property>
</Properties>
</file>