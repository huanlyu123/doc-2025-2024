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date1904="1"/>
  <bookViews>
    <workbookView windowWidth="23040" windowHeight="9180"/>
  </bookViews>
  <sheets>
    <sheet name="US" sheetId="1" r:id="rId1"/>
    <sheet name="Note" sheetId="2" r:id="rId2"/>
  </sheets>
  <definedNames>
    <definedName name="_xlnm._FilterDatabase" localSheetId="0" hidden="1">US!$A$1:$BF$101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101" name="ID_0CE963E4516B467FBABCF565C04B2323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91770" y="30562550"/>
          <a:ext cx="236855" cy="225425"/>
        </a:xfrm>
        <a:prstGeom prst="rect">
          <a:avLst/>
        </a:prstGeom>
      </xdr:spPr>
    </xdr:pic>
  </etc:cellImage>
  <etc:cellImage>
    <xdr:pic>
      <xdr:nvPicPr>
        <xdr:cNvPr id="100" name="ID_268BB688AC264556B2C6EA125425A906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191770" y="28124150"/>
          <a:ext cx="236855" cy="225425"/>
        </a:xfrm>
        <a:prstGeom prst="rect">
          <a:avLst/>
        </a:prstGeom>
      </xdr:spPr>
    </xdr:pic>
  </etc:cellImage>
  <etc:cellImage>
    <xdr:pic>
      <xdr:nvPicPr>
        <xdr:cNvPr id="99" name="ID_828C0CB417944C619E04D4E13C6E8151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91770" y="29038550"/>
          <a:ext cx="236855" cy="225425"/>
        </a:xfrm>
        <a:prstGeom prst="rect">
          <a:avLst/>
        </a:prstGeom>
      </xdr:spPr>
    </xdr:pic>
  </etc:cellImage>
  <etc:cellImage>
    <xdr:pic>
      <xdr:nvPicPr>
        <xdr:cNvPr id="98" name="ID_D0560D44FEC34C51B10A53D26B16F9FE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191770" y="27514550"/>
          <a:ext cx="236855" cy="225425"/>
        </a:xfrm>
        <a:prstGeom prst="rect">
          <a:avLst/>
        </a:prstGeom>
      </xdr:spPr>
    </xdr:pic>
  </etc:cellImage>
  <etc:cellImage>
    <xdr:pic>
      <xdr:nvPicPr>
        <xdr:cNvPr id="97" name="ID_2A20FB6D12374E9D8D700D8505DDCB2E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191770" y="30257750"/>
          <a:ext cx="236855" cy="225425"/>
        </a:xfrm>
        <a:prstGeom prst="rect">
          <a:avLst/>
        </a:prstGeom>
      </xdr:spPr>
    </xdr:pic>
  </etc:cellImage>
  <etc:cellImage>
    <xdr:pic>
      <xdr:nvPicPr>
        <xdr:cNvPr id="96" name="ID_3C6C805058714009951A2FE87228E5F0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191770" y="29952950"/>
          <a:ext cx="236855" cy="225425"/>
        </a:xfrm>
        <a:prstGeom prst="rect">
          <a:avLst/>
        </a:prstGeom>
      </xdr:spPr>
    </xdr:pic>
  </etc:cellImage>
  <etc:cellImage>
    <xdr:pic>
      <xdr:nvPicPr>
        <xdr:cNvPr id="95" name="ID_DA9B5E3927A347548A5CDFF06FF7B312"/>
        <xdr:cNvPicPr>
          <a:picLocks noChangeAspect="1"/>
        </xdr:cNvPicPr>
      </xdr:nvPicPr>
      <xdr:blipFill>
        <a:blip r:embed="rId7" cstate="print"/>
        <a:stretch>
          <a:fillRect/>
        </a:stretch>
      </xdr:blipFill>
      <xdr:spPr>
        <a:xfrm>
          <a:off x="191770" y="29648150"/>
          <a:ext cx="236855" cy="225425"/>
        </a:xfrm>
        <a:prstGeom prst="rect">
          <a:avLst/>
        </a:prstGeom>
      </xdr:spPr>
    </xdr:pic>
  </etc:cellImage>
  <etc:cellImage>
    <xdr:pic>
      <xdr:nvPicPr>
        <xdr:cNvPr id="94" name="ID_5A6F104D6FF5427AA99F5D4B1748C47E"/>
        <xdr:cNvPicPr>
          <a:picLocks noChangeAspect="1"/>
        </xdr:cNvPicPr>
      </xdr:nvPicPr>
      <xdr:blipFill>
        <a:blip r:embed="rId8" cstate="print"/>
        <a:stretch>
          <a:fillRect/>
        </a:stretch>
      </xdr:blipFill>
      <xdr:spPr>
        <a:xfrm>
          <a:off x="191770" y="25380950"/>
          <a:ext cx="236855" cy="225425"/>
        </a:xfrm>
        <a:prstGeom prst="rect">
          <a:avLst/>
        </a:prstGeom>
      </xdr:spPr>
    </xdr:pic>
  </etc:cellImage>
  <etc:cellImage>
    <xdr:pic>
      <xdr:nvPicPr>
        <xdr:cNvPr id="93" name="ID_5F41335A6DB043158E1F44549E8511FA"/>
        <xdr:cNvPicPr>
          <a:picLocks noChangeAspect="1"/>
        </xdr:cNvPicPr>
      </xdr:nvPicPr>
      <xdr:blipFill>
        <a:blip r:embed="rId9" cstate="print"/>
        <a:stretch>
          <a:fillRect/>
        </a:stretch>
      </xdr:blipFill>
      <xdr:spPr>
        <a:xfrm>
          <a:off x="191770" y="29343350"/>
          <a:ext cx="236855" cy="225425"/>
        </a:xfrm>
        <a:prstGeom prst="rect">
          <a:avLst/>
        </a:prstGeom>
      </xdr:spPr>
    </xdr:pic>
  </etc:cellImage>
  <etc:cellImage>
    <xdr:pic>
      <xdr:nvPicPr>
        <xdr:cNvPr id="92" name="ID_0FFEE8F59CF4460AAB2B7C3BA9187776"/>
        <xdr:cNvPicPr>
          <a:picLocks noChangeAspect="1"/>
        </xdr:cNvPicPr>
      </xdr:nvPicPr>
      <xdr:blipFill>
        <a:blip r:embed="rId10" cstate="print"/>
        <a:stretch>
          <a:fillRect/>
        </a:stretch>
      </xdr:blipFill>
      <xdr:spPr>
        <a:xfrm>
          <a:off x="191770" y="28733750"/>
          <a:ext cx="236855" cy="225425"/>
        </a:xfrm>
        <a:prstGeom prst="rect">
          <a:avLst/>
        </a:prstGeom>
      </xdr:spPr>
    </xdr:pic>
  </etc:cellImage>
  <etc:cellImage>
    <xdr:pic>
      <xdr:nvPicPr>
        <xdr:cNvPr id="91" name="ID_C1845742888342549FAD25AECA3F3390"/>
        <xdr:cNvPicPr>
          <a:picLocks noChangeAspect="1"/>
        </xdr:cNvPicPr>
      </xdr:nvPicPr>
      <xdr:blipFill>
        <a:blip r:embed="rId11" cstate="print"/>
        <a:stretch>
          <a:fillRect/>
        </a:stretch>
      </xdr:blipFill>
      <xdr:spPr>
        <a:xfrm>
          <a:off x="191770" y="28428950"/>
          <a:ext cx="236855" cy="225425"/>
        </a:xfrm>
        <a:prstGeom prst="rect">
          <a:avLst/>
        </a:prstGeom>
      </xdr:spPr>
    </xdr:pic>
  </etc:cellImage>
  <etc:cellImage>
    <xdr:pic>
      <xdr:nvPicPr>
        <xdr:cNvPr id="90" name="ID_51941CC12C8B4C148A2E203ED0B7D60D"/>
        <xdr:cNvPicPr>
          <a:picLocks noChangeAspect="1"/>
        </xdr:cNvPicPr>
      </xdr:nvPicPr>
      <xdr:blipFill>
        <a:blip r:embed="rId12" cstate="print"/>
        <a:stretch>
          <a:fillRect/>
        </a:stretch>
      </xdr:blipFill>
      <xdr:spPr>
        <a:xfrm>
          <a:off x="191770" y="27819350"/>
          <a:ext cx="236855" cy="225425"/>
        </a:xfrm>
        <a:prstGeom prst="rect">
          <a:avLst/>
        </a:prstGeom>
      </xdr:spPr>
    </xdr:pic>
  </etc:cellImage>
  <etc:cellImage>
    <xdr:pic>
      <xdr:nvPicPr>
        <xdr:cNvPr id="89" name="ID_E8072B907FD0475A8A1399ED598DE3C3"/>
        <xdr:cNvPicPr>
          <a:picLocks noChangeAspect="1"/>
        </xdr:cNvPicPr>
      </xdr:nvPicPr>
      <xdr:blipFill>
        <a:blip r:embed="rId13" cstate="print"/>
        <a:stretch>
          <a:fillRect/>
        </a:stretch>
      </xdr:blipFill>
      <xdr:spPr>
        <a:xfrm>
          <a:off x="191770" y="27209750"/>
          <a:ext cx="236855" cy="225425"/>
        </a:xfrm>
        <a:prstGeom prst="rect">
          <a:avLst/>
        </a:prstGeom>
      </xdr:spPr>
    </xdr:pic>
  </etc:cellImage>
  <etc:cellImage>
    <xdr:pic>
      <xdr:nvPicPr>
        <xdr:cNvPr id="88" name="ID_12AEB74F64B146A5982F723A612156DD"/>
        <xdr:cNvPicPr>
          <a:picLocks noChangeAspect="1"/>
        </xdr:cNvPicPr>
      </xdr:nvPicPr>
      <xdr:blipFill>
        <a:blip r:embed="rId14" cstate="print"/>
        <a:stretch>
          <a:fillRect/>
        </a:stretch>
      </xdr:blipFill>
      <xdr:spPr>
        <a:xfrm>
          <a:off x="191770" y="14712950"/>
          <a:ext cx="236855" cy="225425"/>
        </a:xfrm>
        <a:prstGeom prst="rect">
          <a:avLst/>
        </a:prstGeom>
      </xdr:spPr>
    </xdr:pic>
  </etc:cellImage>
  <etc:cellImage>
    <xdr:pic>
      <xdr:nvPicPr>
        <xdr:cNvPr id="87" name="ID_CFA175188AF9458CAC4FBC294825313E"/>
        <xdr:cNvPicPr>
          <a:picLocks noChangeAspect="1"/>
        </xdr:cNvPicPr>
      </xdr:nvPicPr>
      <xdr:blipFill>
        <a:blip r:embed="rId15" cstate="print"/>
        <a:stretch>
          <a:fillRect/>
        </a:stretch>
      </xdr:blipFill>
      <xdr:spPr>
        <a:xfrm>
          <a:off x="191770" y="26904950"/>
          <a:ext cx="236855" cy="225425"/>
        </a:xfrm>
        <a:prstGeom prst="rect">
          <a:avLst/>
        </a:prstGeom>
      </xdr:spPr>
    </xdr:pic>
  </etc:cellImage>
  <etc:cellImage>
    <xdr:pic>
      <xdr:nvPicPr>
        <xdr:cNvPr id="86" name="ID_2FC89FE326FA4E65AD4E758B2A76191D"/>
        <xdr:cNvPicPr>
          <a:picLocks noChangeAspect="1"/>
        </xdr:cNvPicPr>
      </xdr:nvPicPr>
      <xdr:blipFill>
        <a:blip r:embed="rId16" cstate="print"/>
        <a:stretch>
          <a:fillRect/>
        </a:stretch>
      </xdr:blipFill>
      <xdr:spPr>
        <a:xfrm>
          <a:off x="191770" y="26600150"/>
          <a:ext cx="236855" cy="225425"/>
        </a:xfrm>
        <a:prstGeom prst="rect">
          <a:avLst/>
        </a:prstGeom>
      </xdr:spPr>
    </xdr:pic>
  </etc:cellImage>
  <etc:cellImage>
    <xdr:pic>
      <xdr:nvPicPr>
        <xdr:cNvPr id="85" name="ID_31D4E9CCF4F5464A8CC5C91ADB251B76"/>
        <xdr:cNvPicPr>
          <a:picLocks noChangeAspect="1"/>
        </xdr:cNvPicPr>
      </xdr:nvPicPr>
      <xdr:blipFill>
        <a:blip r:embed="rId17" cstate="print"/>
        <a:stretch>
          <a:fillRect/>
        </a:stretch>
      </xdr:blipFill>
      <xdr:spPr>
        <a:xfrm>
          <a:off x="191770" y="26295350"/>
          <a:ext cx="236855" cy="225425"/>
        </a:xfrm>
        <a:prstGeom prst="rect">
          <a:avLst/>
        </a:prstGeom>
      </xdr:spPr>
    </xdr:pic>
  </etc:cellImage>
  <etc:cellImage>
    <xdr:pic>
      <xdr:nvPicPr>
        <xdr:cNvPr id="84" name="ID_2498E5FCB6D14D2C8D7228D6A46ED8D9"/>
        <xdr:cNvPicPr>
          <a:picLocks noChangeAspect="1"/>
        </xdr:cNvPicPr>
      </xdr:nvPicPr>
      <xdr:blipFill>
        <a:blip r:embed="rId18" cstate="print"/>
        <a:stretch>
          <a:fillRect/>
        </a:stretch>
      </xdr:blipFill>
      <xdr:spPr>
        <a:xfrm>
          <a:off x="191770" y="25990550"/>
          <a:ext cx="236855" cy="225425"/>
        </a:xfrm>
        <a:prstGeom prst="rect">
          <a:avLst/>
        </a:prstGeom>
      </xdr:spPr>
    </xdr:pic>
  </etc:cellImage>
  <etc:cellImage>
    <xdr:pic>
      <xdr:nvPicPr>
        <xdr:cNvPr id="83" name="ID_33E22B5CE4554327A46B82071B3D066B"/>
        <xdr:cNvPicPr>
          <a:picLocks noChangeAspect="1"/>
        </xdr:cNvPicPr>
      </xdr:nvPicPr>
      <xdr:blipFill>
        <a:blip r:embed="rId19" cstate="print"/>
        <a:stretch>
          <a:fillRect/>
        </a:stretch>
      </xdr:blipFill>
      <xdr:spPr>
        <a:xfrm>
          <a:off x="191770" y="12274550"/>
          <a:ext cx="236855" cy="225425"/>
        </a:xfrm>
        <a:prstGeom prst="rect">
          <a:avLst/>
        </a:prstGeom>
      </xdr:spPr>
    </xdr:pic>
  </etc:cellImage>
  <etc:cellImage>
    <xdr:pic>
      <xdr:nvPicPr>
        <xdr:cNvPr id="82" name="ID_C431C668A68448C19AEE9A8E4EF34B19"/>
        <xdr:cNvPicPr>
          <a:picLocks noChangeAspect="1"/>
        </xdr:cNvPicPr>
      </xdr:nvPicPr>
      <xdr:blipFill>
        <a:blip r:embed="rId20" cstate="print"/>
        <a:stretch>
          <a:fillRect/>
        </a:stretch>
      </xdr:blipFill>
      <xdr:spPr>
        <a:xfrm>
          <a:off x="191770" y="25685750"/>
          <a:ext cx="236855" cy="225425"/>
        </a:xfrm>
        <a:prstGeom prst="rect">
          <a:avLst/>
        </a:prstGeom>
      </xdr:spPr>
    </xdr:pic>
  </etc:cellImage>
  <etc:cellImage>
    <xdr:pic>
      <xdr:nvPicPr>
        <xdr:cNvPr id="81" name="ID_6F3CACE06D884D8D89BB4C32E0319834"/>
        <xdr:cNvPicPr>
          <a:picLocks noChangeAspect="1"/>
        </xdr:cNvPicPr>
      </xdr:nvPicPr>
      <xdr:blipFill>
        <a:blip r:embed="rId21" cstate="print"/>
        <a:stretch>
          <a:fillRect/>
        </a:stretch>
      </xdr:blipFill>
      <xdr:spPr>
        <a:xfrm>
          <a:off x="191770" y="21418550"/>
          <a:ext cx="236855" cy="225425"/>
        </a:xfrm>
        <a:prstGeom prst="rect">
          <a:avLst/>
        </a:prstGeom>
      </xdr:spPr>
    </xdr:pic>
  </etc:cellImage>
  <etc:cellImage>
    <xdr:pic>
      <xdr:nvPicPr>
        <xdr:cNvPr id="80" name="ID_92E0D851D3B646F79EB247B41F2629BA"/>
        <xdr:cNvPicPr>
          <a:picLocks noChangeAspect="1"/>
        </xdr:cNvPicPr>
      </xdr:nvPicPr>
      <xdr:blipFill>
        <a:blip r:embed="rId22" cstate="print"/>
        <a:stretch>
          <a:fillRect/>
        </a:stretch>
      </xdr:blipFill>
      <xdr:spPr>
        <a:xfrm>
          <a:off x="191770" y="25076150"/>
          <a:ext cx="236855" cy="225425"/>
        </a:xfrm>
        <a:prstGeom prst="rect">
          <a:avLst/>
        </a:prstGeom>
      </xdr:spPr>
    </xdr:pic>
  </etc:cellImage>
  <etc:cellImage>
    <xdr:pic>
      <xdr:nvPicPr>
        <xdr:cNvPr id="79" name="ID_AC51D58C13A54F96A89158D64E399770"/>
        <xdr:cNvPicPr>
          <a:picLocks noChangeAspect="1"/>
        </xdr:cNvPicPr>
      </xdr:nvPicPr>
      <xdr:blipFill>
        <a:blip r:embed="rId23" cstate="print"/>
        <a:stretch>
          <a:fillRect/>
        </a:stretch>
      </xdr:blipFill>
      <xdr:spPr>
        <a:xfrm>
          <a:off x="191770" y="24771350"/>
          <a:ext cx="236855" cy="225425"/>
        </a:xfrm>
        <a:prstGeom prst="rect">
          <a:avLst/>
        </a:prstGeom>
      </xdr:spPr>
    </xdr:pic>
  </etc:cellImage>
  <etc:cellImage>
    <xdr:pic>
      <xdr:nvPicPr>
        <xdr:cNvPr id="78" name="ID_7ECC2A05C153458BAB40996F99928D38"/>
        <xdr:cNvPicPr>
          <a:picLocks noChangeAspect="1"/>
        </xdr:cNvPicPr>
      </xdr:nvPicPr>
      <xdr:blipFill>
        <a:blip r:embed="rId24" cstate="print"/>
        <a:stretch>
          <a:fillRect/>
        </a:stretch>
      </xdr:blipFill>
      <xdr:spPr>
        <a:xfrm>
          <a:off x="191770" y="24466550"/>
          <a:ext cx="236855" cy="225425"/>
        </a:xfrm>
        <a:prstGeom prst="rect">
          <a:avLst/>
        </a:prstGeom>
      </xdr:spPr>
    </xdr:pic>
  </etc:cellImage>
  <etc:cellImage>
    <xdr:pic>
      <xdr:nvPicPr>
        <xdr:cNvPr id="77" name="ID_DEDFC924F1694D069D4ADE1AC4244AC6"/>
        <xdr:cNvPicPr>
          <a:picLocks noChangeAspect="1"/>
        </xdr:cNvPicPr>
      </xdr:nvPicPr>
      <xdr:blipFill>
        <a:blip r:embed="rId25" cstate="print"/>
        <a:stretch>
          <a:fillRect/>
        </a:stretch>
      </xdr:blipFill>
      <xdr:spPr>
        <a:xfrm>
          <a:off x="191770" y="24161750"/>
          <a:ext cx="236855" cy="225425"/>
        </a:xfrm>
        <a:prstGeom prst="rect">
          <a:avLst/>
        </a:prstGeom>
      </xdr:spPr>
    </xdr:pic>
  </etc:cellImage>
  <etc:cellImage>
    <xdr:pic>
      <xdr:nvPicPr>
        <xdr:cNvPr id="76" name="ID_020DED53C71641F08E3A1631240B675D"/>
        <xdr:cNvPicPr>
          <a:picLocks noChangeAspect="1"/>
        </xdr:cNvPicPr>
      </xdr:nvPicPr>
      <xdr:blipFill>
        <a:blip r:embed="rId26" cstate="print"/>
        <a:stretch>
          <a:fillRect/>
        </a:stretch>
      </xdr:blipFill>
      <xdr:spPr>
        <a:xfrm>
          <a:off x="191770" y="23856950"/>
          <a:ext cx="236855" cy="225425"/>
        </a:xfrm>
        <a:prstGeom prst="rect">
          <a:avLst/>
        </a:prstGeom>
      </xdr:spPr>
    </xdr:pic>
  </etc:cellImage>
  <etc:cellImage>
    <xdr:pic>
      <xdr:nvPicPr>
        <xdr:cNvPr id="75" name="ID_0B6B7741235741F9B247F86015237A25"/>
        <xdr:cNvPicPr>
          <a:picLocks noChangeAspect="1"/>
        </xdr:cNvPicPr>
      </xdr:nvPicPr>
      <xdr:blipFill>
        <a:blip r:embed="rId27" cstate="print"/>
        <a:stretch>
          <a:fillRect/>
        </a:stretch>
      </xdr:blipFill>
      <xdr:spPr>
        <a:xfrm>
          <a:off x="191770" y="23552150"/>
          <a:ext cx="236855" cy="225425"/>
        </a:xfrm>
        <a:prstGeom prst="rect">
          <a:avLst/>
        </a:prstGeom>
      </xdr:spPr>
    </xdr:pic>
  </etc:cellImage>
  <etc:cellImage>
    <xdr:pic>
      <xdr:nvPicPr>
        <xdr:cNvPr id="74" name="ID_65016509F4B4420AB4EEF696689D8AFE"/>
        <xdr:cNvPicPr>
          <a:picLocks noChangeAspect="1"/>
        </xdr:cNvPicPr>
      </xdr:nvPicPr>
      <xdr:blipFill>
        <a:blip r:embed="rId28" cstate="print"/>
        <a:stretch>
          <a:fillRect/>
        </a:stretch>
      </xdr:blipFill>
      <xdr:spPr>
        <a:xfrm>
          <a:off x="191770" y="23247350"/>
          <a:ext cx="236855" cy="225425"/>
        </a:xfrm>
        <a:prstGeom prst="rect">
          <a:avLst/>
        </a:prstGeom>
      </xdr:spPr>
    </xdr:pic>
  </etc:cellImage>
  <etc:cellImage>
    <xdr:pic>
      <xdr:nvPicPr>
        <xdr:cNvPr id="73" name="ID_AE182E10F50749AAA32532D6367E9706"/>
        <xdr:cNvPicPr>
          <a:picLocks noChangeAspect="1"/>
        </xdr:cNvPicPr>
      </xdr:nvPicPr>
      <xdr:blipFill>
        <a:blip r:embed="rId29" cstate="print"/>
        <a:stretch>
          <a:fillRect/>
        </a:stretch>
      </xdr:blipFill>
      <xdr:spPr>
        <a:xfrm>
          <a:off x="191770" y="22942550"/>
          <a:ext cx="236855" cy="225425"/>
        </a:xfrm>
        <a:prstGeom prst="rect">
          <a:avLst/>
        </a:prstGeom>
      </xdr:spPr>
    </xdr:pic>
  </etc:cellImage>
  <etc:cellImage>
    <xdr:pic>
      <xdr:nvPicPr>
        <xdr:cNvPr id="72" name="ID_35CC6D35A60A4898BD01B4ECA54226C9"/>
        <xdr:cNvPicPr>
          <a:picLocks noChangeAspect="1"/>
        </xdr:cNvPicPr>
      </xdr:nvPicPr>
      <xdr:blipFill>
        <a:blip r:embed="rId30" cstate="print"/>
        <a:stretch>
          <a:fillRect/>
        </a:stretch>
      </xdr:blipFill>
      <xdr:spPr>
        <a:xfrm>
          <a:off x="191770" y="22637750"/>
          <a:ext cx="236855" cy="225425"/>
        </a:xfrm>
        <a:prstGeom prst="rect">
          <a:avLst/>
        </a:prstGeom>
      </xdr:spPr>
    </xdr:pic>
  </etc:cellImage>
  <etc:cellImage>
    <xdr:pic>
      <xdr:nvPicPr>
        <xdr:cNvPr id="71" name="ID_FEB75834077A4EFC86B2EBCBD6B03F7B"/>
        <xdr:cNvPicPr>
          <a:picLocks noChangeAspect="1"/>
        </xdr:cNvPicPr>
      </xdr:nvPicPr>
      <xdr:blipFill>
        <a:blip r:embed="rId31" cstate="print"/>
        <a:stretch>
          <a:fillRect/>
        </a:stretch>
      </xdr:blipFill>
      <xdr:spPr>
        <a:xfrm>
          <a:off x="191770" y="22332950"/>
          <a:ext cx="236855" cy="225425"/>
        </a:xfrm>
        <a:prstGeom prst="rect">
          <a:avLst/>
        </a:prstGeom>
      </xdr:spPr>
    </xdr:pic>
  </etc:cellImage>
  <etc:cellImage>
    <xdr:pic>
      <xdr:nvPicPr>
        <xdr:cNvPr id="70" name="ID_FE1ACE7F44714B27A2F203DF7A944AAC"/>
        <xdr:cNvPicPr>
          <a:picLocks noChangeAspect="1"/>
        </xdr:cNvPicPr>
      </xdr:nvPicPr>
      <xdr:blipFill>
        <a:blip r:embed="rId32" cstate="print"/>
        <a:stretch>
          <a:fillRect/>
        </a:stretch>
      </xdr:blipFill>
      <xdr:spPr>
        <a:xfrm>
          <a:off x="191770" y="22028150"/>
          <a:ext cx="236855" cy="225425"/>
        </a:xfrm>
        <a:prstGeom prst="rect">
          <a:avLst/>
        </a:prstGeom>
      </xdr:spPr>
    </xdr:pic>
  </etc:cellImage>
  <etc:cellImage>
    <xdr:pic>
      <xdr:nvPicPr>
        <xdr:cNvPr id="69" name="ID_10623C1629E7417A9F7C8437956D9A47"/>
        <xdr:cNvPicPr>
          <a:picLocks noChangeAspect="1"/>
        </xdr:cNvPicPr>
      </xdr:nvPicPr>
      <xdr:blipFill>
        <a:blip r:embed="rId33" cstate="print"/>
        <a:stretch>
          <a:fillRect/>
        </a:stretch>
      </xdr:blipFill>
      <xdr:spPr>
        <a:xfrm>
          <a:off x="191770" y="21723350"/>
          <a:ext cx="236855" cy="225425"/>
        </a:xfrm>
        <a:prstGeom prst="rect">
          <a:avLst/>
        </a:prstGeom>
      </xdr:spPr>
    </xdr:pic>
  </etc:cellImage>
  <etc:cellImage>
    <xdr:pic>
      <xdr:nvPicPr>
        <xdr:cNvPr id="68" name="ID_1B343BCEEA5A49F89EAC9A75FDD53F6D"/>
        <xdr:cNvPicPr>
          <a:picLocks noChangeAspect="1"/>
        </xdr:cNvPicPr>
      </xdr:nvPicPr>
      <xdr:blipFill>
        <a:blip r:embed="rId34" cstate="print"/>
        <a:stretch>
          <a:fillRect/>
        </a:stretch>
      </xdr:blipFill>
      <xdr:spPr>
        <a:xfrm>
          <a:off x="191770" y="21113750"/>
          <a:ext cx="236855" cy="225425"/>
        </a:xfrm>
        <a:prstGeom prst="rect">
          <a:avLst/>
        </a:prstGeom>
      </xdr:spPr>
    </xdr:pic>
  </etc:cellImage>
  <etc:cellImage>
    <xdr:pic>
      <xdr:nvPicPr>
        <xdr:cNvPr id="67" name="ID_2D19521910D342E0BEC3DA51DABC7670"/>
        <xdr:cNvPicPr>
          <a:picLocks noChangeAspect="1"/>
        </xdr:cNvPicPr>
      </xdr:nvPicPr>
      <xdr:blipFill>
        <a:blip r:embed="rId35" cstate="print"/>
        <a:stretch>
          <a:fillRect/>
        </a:stretch>
      </xdr:blipFill>
      <xdr:spPr>
        <a:xfrm>
          <a:off x="191770" y="20808950"/>
          <a:ext cx="236855" cy="225425"/>
        </a:xfrm>
        <a:prstGeom prst="rect">
          <a:avLst/>
        </a:prstGeom>
      </xdr:spPr>
    </xdr:pic>
  </etc:cellImage>
  <etc:cellImage>
    <xdr:pic>
      <xdr:nvPicPr>
        <xdr:cNvPr id="66" name="ID_EC9D577A8AED4BBE8A53D821AB081631"/>
        <xdr:cNvPicPr>
          <a:picLocks noChangeAspect="1"/>
        </xdr:cNvPicPr>
      </xdr:nvPicPr>
      <xdr:blipFill>
        <a:blip r:embed="rId36" cstate="print"/>
        <a:stretch>
          <a:fillRect/>
        </a:stretch>
      </xdr:blipFill>
      <xdr:spPr>
        <a:xfrm>
          <a:off x="191770" y="20504150"/>
          <a:ext cx="236855" cy="225425"/>
        </a:xfrm>
        <a:prstGeom prst="rect">
          <a:avLst/>
        </a:prstGeom>
      </xdr:spPr>
    </xdr:pic>
  </etc:cellImage>
  <etc:cellImage>
    <xdr:pic>
      <xdr:nvPicPr>
        <xdr:cNvPr id="9" name="ID_2377B0D3C5504DF79805A382185FEBA6"/>
        <xdr:cNvPicPr>
          <a:picLocks noChangeAspect="1"/>
        </xdr:cNvPicPr>
      </xdr:nvPicPr>
      <xdr:blipFill>
        <a:blip r:embed="rId37" cstate="print"/>
        <a:stretch>
          <a:fillRect/>
        </a:stretch>
      </xdr:blipFill>
      <xdr:spPr>
        <a:xfrm>
          <a:off x="191770" y="2520950"/>
          <a:ext cx="236855" cy="225425"/>
        </a:xfrm>
        <a:prstGeom prst="rect">
          <a:avLst/>
        </a:prstGeom>
      </xdr:spPr>
    </xdr:pic>
  </etc:cellImage>
  <etc:cellImage>
    <xdr:pic>
      <xdr:nvPicPr>
        <xdr:cNvPr id="8" name="ID_6465DE86F21C4F64A751C3812CA1B814"/>
        <xdr:cNvPicPr>
          <a:picLocks noChangeAspect="1"/>
        </xdr:cNvPicPr>
      </xdr:nvPicPr>
      <xdr:blipFill>
        <a:blip r:embed="rId38" cstate="print"/>
        <a:stretch>
          <a:fillRect/>
        </a:stretch>
      </xdr:blipFill>
      <xdr:spPr>
        <a:xfrm>
          <a:off x="191770" y="2216150"/>
          <a:ext cx="236855" cy="225425"/>
        </a:xfrm>
        <a:prstGeom prst="rect">
          <a:avLst/>
        </a:prstGeom>
      </xdr:spPr>
    </xdr:pic>
  </etc:cellImage>
  <etc:cellImage>
    <xdr:pic>
      <xdr:nvPicPr>
        <xdr:cNvPr id="7" name="ID_8EFC6D6978224ADCBA6972F61CE00738"/>
        <xdr:cNvPicPr>
          <a:picLocks noChangeAspect="1"/>
        </xdr:cNvPicPr>
      </xdr:nvPicPr>
      <xdr:blipFill>
        <a:blip r:embed="rId39" cstate="print"/>
        <a:stretch>
          <a:fillRect/>
        </a:stretch>
      </xdr:blipFill>
      <xdr:spPr>
        <a:xfrm>
          <a:off x="191770" y="1911350"/>
          <a:ext cx="236855" cy="225425"/>
        </a:xfrm>
        <a:prstGeom prst="rect">
          <a:avLst/>
        </a:prstGeom>
      </xdr:spPr>
    </xdr:pic>
  </etc:cellImage>
  <etc:cellImage>
    <xdr:pic>
      <xdr:nvPicPr>
        <xdr:cNvPr id="5" name="ID_163BDF1F51E7438583E4328077CABD2F"/>
        <xdr:cNvPicPr>
          <a:picLocks noChangeAspect="1"/>
        </xdr:cNvPicPr>
      </xdr:nvPicPr>
      <xdr:blipFill>
        <a:blip r:embed="rId40" cstate="print"/>
        <a:stretch>
          <a:fillRect/>
        </a:stretch>
      </xdr:blipFill>
      <xdr:spPr>
        <a:xfrm>
          <a:off x="191770" y="1606550"/>
          <a:ext cx="236855" cy="225425"/>
        </a:xfrm>
        <a:prstGeom prst="rect">
          <a:avLst/>
        </a:prstGeom>
      </xdr:spPr>
    </xdr:pic>
  </etc:cellImage>
  <etc:cellImage>
    <xdr:pic>
      <xdr:nvPicPr>
        <xdr:cNvPr id="4" name="ID_2CFD1A14797F47CD9A029CD3B4240A15"/>
        <xdr:cNvPicPr>
          <a:picLocks noChangeAspect="1"/>
        </xdr:cNvPicPr>
      </xdr:nvPicPr>
      <xdr:blipFill>
        <a:blip r:embed="rId41" cstate="print"/>
        <a:stretch>
          <a:fillRect/>
        </a:stretch>
      </xdr:blipFill>
      <xdr:spPr>
        <a:xfrm>
          <a:off x="191770" y="996950"/>
          <a:ext cx="236855" cy="225425"/>
        </a:xfrm>
        <a:prstGeom prst="rect">
          <a:avLst/>
        </a:prstGeom>
      </xdr:spPr>
    </xdr:pic>
  </etc:cellImage>
  <etc:cellImage>
    <xdr:pic>
      <xdr:nvPicPr>
        <xdr:cNvPr id="3" name="ID_144FFA1D1435432687C5FAD61C452E5F"/>
        <xdr:cNvPicPr>
          <a:picLocks noChangeAspect="1"/>
        </xdr:cNvPicPr>
      </xdr:nvPicPr>
      <xdr:blipFill>
        <a:blip r:embed="rId42" cstate="print"/>
        <a:stretch>
          <a:fillRect/>
        </a:stretch>
      </xdr:blipFill>
      <xdr:spPr>
        <a:xfrm>
          <a:off x="191770" y="692150"/>
          <a:ext cx="236855" cy="225425"/>
        </a:xfrm>
        <a:prstGeom prst="rect">
          <a:avLst/>
        </a:prstGeom>
      </xdr:spPr>
    </xdr:pic>
  </etc:cellImage>
  <etc:cellImage>
    <xdr:pic>
      <xdr:nvPicPr>
        <xdr:cNvPr id="2" name="ID_7488E96395FC4D1391701E1305BBDC4F"/>
        <xdr:cNvPicPr>
          <a:picLocks noChangeAspect="1"/>
        </xdr:cNvPicPr>
      </xdr:nvPicPr>
      <xdr:blipFill>
        <a:blip r:embed="rId43" cstate="print"/>
        <a:stretch>
          <a:fillRect/>
        </a:stretch>
      </xdr:blipFill>
      <xdr:spPr>
        <a:xfrm>
          <a:off x="191770" y="387350"/>
          <a:ext cx="236855" cy="225425"/>
        </a:xfrm>
        <a:prstGeom prst="rect">
          <a:avLst/>
        </a:prstGeom>
      </xdr:spPr>
    </xdr:pic>
  </etc:cellImage>
  <etc:cellImage>
    <xdr:pic>
      <xdr:nvPicPr>
        <xdr:cNvPr id="6" name="ID_581C308CACED4714AE8D0EFF21981C66"/>
        <xdr:cNvPicPr>
          <a:picLocks noChangeAspect="1"/>
        </xdr:cNvPicPr>
      </xdr:nvPicPr>
      <xdr:blipFill>
        <a:blip r:embed="rId44" cstate="print"/>
        <a:stretch>
          <a:fillRect/>
        </a:stretch>
      </xdr:blipFill>
      <xdr:spPr>
        <a:xfrm>
          <a:off x="191770" y="1301750"/>
          <a:ext cx="236855" cy="225425"/>
        </a:xfrm>
        <a:prstGeom prst="rect">
          <a:avLst/>
        </a:prstGeom>
      </xdr:spPr>
    </xdr:pic>
  </etc:cellImage>
  <etc:cellImage>
    <xdr:pic>
      <xdr:nvPicPr>
        <xdr:cNvPr id="10" name="ID_A3029170B6674AFDA338FD44A2D0089D"/>
        <xdr:cNvPicPr>
          <a:picLocks noChangeAspect="1"/>
        </xdr:cNvPicPr>
      </xdr:nvPicPr>
      <xdr:blipFill>
        <a:blip r:embed="rId45" cstate="print"/>
        <a:stretch>
          <a:fillRect/>
        </a:stretch>
      </xdr:blipFill>
      <xdr:spPr>
        <a:xfrm>
          <a:off x="191770" y="2825750"/>
          <a:ext cx="236855" cy="225425"/>
        </a:xfrm>
        <a:prstGeom prst="rect">
          <a:avLst/>
        </a:prstGeom>
      </xdr:spPr>
    </xdr:pic>
  </etc:cellImage>
  <etc:cellImage>
    <xdr:pic>
      <xdr:nvPicPr>
        <xdr:cNvPr id="11" name="ID_714E3DDB251B4401A68004B9A142EFDD"/>
        <xdr:cNvPicPr>
          <a:picLocks noChangeAspect="1"/>
        </xdr:cNvPicPr>
      </xdr:nvPicPr>
      <xdr:blipFill>
        <a:blip r:embed="rId46" cstate="print"/>
        <a:stretch>
          <a:fillRect/>
        </a:stretch>
      </xdr:blipFill>
      <xdr:spPr>
        <a:xfrm>
          <a:off x="191770" y="3130550"/>
          <a:ext cx="236855" cy="225425"/>
        </a:xfrm>
        <a:prstGeom prst="rect">
          <a:avLst/>
        </a:prstGeom>
      </xdr:spPr>
    </xdr:pic>
  </etc:cellImage>
  <etc:cellImage>
    <xdr:pic>
      <xdr:nvPicPr>
        <xdr:cNvPr id="12" name="ID_AB0728CC2F434BA581710D4EF4FF5DD8"/>
        <xdr:cNvPicPr>
          <a:picLocks noChangeAspect="1"/>
        </xdr:cNvPicPr>
      </xdr:nvPicPr>
      <xdr:blipFill>
        <a:blip r:embed="rId47" cstate="print"/>
        <a:stretch>
          <a:fillRect/>
        </a:stretch>
      </xdr:blipFill>
      <xdr:spPr>
        <a:xfrm>
          <a:off x="191770" y="3435350"/>
          <a:ext cx="236855" cy="225425"/>
        </a:xfrm>
        <a:prstGeom prst="rect">
          <a:avLst/>
        </a:prstGeom>
      </xdr:spPr>
    </xdr:pic>
  </etc:cellImage>
  <etc:cellImage>
    <xdr:pic>
      <xdr:nvPicPr>
        <xdr:cNvPr id="13" name="ID_DE7CC00B40B04ABE8999AED9C7D9D720"/>
        <xdr:cNvPicPr>
          <a:picLocks noChangeAspect="1"/>
        </xdr:cNvPicPr>
      </xdr:nvPicPr>
      <xdr:blipFill>
        <a:blip r:embed="rId48" cstate="print"/>
        <a:stretch>
          <a:fillRect/>
        </a:stretch>
      </xdr:blipFill>
      <xdr:spPr>
        <a:xfrm>
          <a:off x="191770" y="3740150"/>
          <a:ext cx="236855" cy="225425"/>
        </a:xfrm>
        <a:prstGeom prst="rect">
          <a:avLst/>
        </a:prstGeom>
      </xdr:spPr>
    </xdr:pic>
  </etc:cellImage>
  <etc:cellImage>
    <xdr:pic>
      <xdr:nvPicPr>
        <xdr:cNvPr id="14" name="ID_26889C885B4643A586968FC8CB47F4F6"/>
        <xdr:cNvPicPr>
          <a:picLocks noChangeAspect="1"/>
        </xdr:cNvPicPr>
      </xdr:nvPicPr>
      <xdr:blipFill>
        <a:blip r:embed="rId49" cstate="print"/>
        <a:stretch>
          <a:fillRect/>
        </a:stretch>
      </xdr:blipFill>
      <xdr:spPr>
        <a:xfrm>
          <a:off x="191770" y="4044950"/>
          <a:ext cx="236855" cy="225425"/>
        </a:xfrm>
        <a:prstGeom prst="rect">
          <a:avLst/>
        </a:prstGeom>
      </xdr:spPr>
    </xdr:pic>
  </etc:cellImage>
  <etc:cellImage>
    <xdr:pic>
      <xdr:nvPicPr>
        <xdr:cNvPr id="15" name="ID_B10315E1ECA041099151A1489F8AE6E6"/>
        <xdr:cNvPicPr>
          <a:picLocks noChangeAspect="1"/>
        </xdr:cNvPicPr>
      </xdr:nvPicPr>
      <xdr:blipFill>
        <a:blip r:embed="rId50" cstate="print"/>
        <a:stretch>
          <a:fillRect/>
        </a:stretch>
      </xdr:blipFill>
      <xdr:spPr>
        <a:xfrm>
          <a:off x="191770" y="4349750"/>
          <a:ext cx="236855" cy="225425"/>
        </a:xfrm>
        <a:prstGeom prst="rect">
          <a:avLst/>
        </a:prstGeom>
      </xdr:spPr>
    </xdr:pic>
  </etc:cellImage>
  <etc:cellImage>
    <xdr:pic>
      <xdr:nvPicPr>
        <xdr:cNvPr id="16" name="ID_07DBB332681A4F58AF86C7933E1EF6C8"/>
        <xdr:cNvPicPr>
          <a:picLocks noChangeAspect="1"/>
        </xdr:cNvPicPr>
      </xdr:nvPicPr>
      <xdr:blipFill>
        <a:blip r:embed="rId51" cstate="print"/>
        <a:stretch>
          <a:fillRect/>
        </a:stretch>
      </xdr:blipFill>
      <xdr:spPr>
        <a:xfrm>
          <a:off x="191770" y="4654550"/>
          <a:ext cx="236855" cy="225425"/>
        </a:xfrm>
        <a:prstGeom prst="rect">
          <a:avLst/>
        </a:prstGeom>
      </xdr:spPr>
    </xdr:pic>
  </etc:cellImage>
  <etc:cellImage>
    <xdr:pic>
      <xdr:nvPicPr>
        <xdr:cNvPr id="17" name="ID_64E3634633844196B2B9120239E6A3F5"/>
        <xdr:cNvPicPr>
          <a:picLocks noChangeAspect="1"/>
        </xdr:cNvPicPr>
      </xdr:nvPicPr>
      <xdr:blipFill>
        <a:blip r:embed="rId52" cstate="print"/>
        <a:stretch>
          <a:fillRect/>
        </a:stretch>
      </xdr:blipFill>
      <xdr:spPr>
        <a:xfrm>
          <a:off x="191770" y="4959350"/>
          <a:ext cx="236855" cy="225425"/>
        </a:xfrm>
        <a:prstGeom prst="rect">
          <a:avLst/>
        </a:prstGeom>
      </xdr:spPr>
    </xdr:pic>
  </etc:cellImage>
  <etc:cellImage>
    <xdr:pic>
      <xdr:nvPicPr>
        <xdr:cNvPr id="18" name="ID_78E40ED137CF4B5B822341F4E3874B4F"/>
        <xdr:cNvPicPr>
          <a:picLocks noChangeAspect="1"/>
        </xdr:cNvPicPr>
      </xdr:nvPicPr>
      <xdr:blipFill>
        <a:blip r:embed="rId53" cstate="print"/>
        <a:stretch>
          <a:fillRect/>
        </a:stretch>
      </xdr:blipFill>
      <xdr:spPr>
        <a:xfrm>
          <a:off x="191770" y="5264150"/>
          <a:ext cx="236855" cy="225425"/>
        </a:xfrm>
        <a:prstGeom prst="rect">
          <a:avLst/>
        </a:prstGeom>
      </xdr:spPr>
    </xdr:pic>
  </etc:cellImage>
  <etc:cellImage>
    <xdr:pic>
      <xdr:nvPicPr>
        <xdr:cNvPr id="19" name="ID_BE4BE7ECE25F4824A96BD0D53D7AAA96"/>
        <xdr:cNvPicPr>
          <a:picLocks noChangeAspect="1"/>
        </xdr:cNvPicPr>
      </xdr:nvPicPr>
      <xdr:blipFill>
        <a:blip r:embed="rId54" cstate="print"/>
        <a:stretch>
          <a:fillRect/>
        </a:stretch>
      </xdr:blipFill>
      <xdr:spPr>
        <a:xfrm>
          <a:off x="191770" y="5873750"/>
          <a:ext cx="236855" cy="225425"/>
        </a:xfrm>
        <a:prstGeom prst="rect">
          <a:avLst/>
        </a:prstGeom>
      </xdr:spPr>
    </xdr:pic>
  </etc:cellImage>
  <etc:cellImage>
    <xdr:pic>
      <xdr:nvPicPr>
        <xdr:cNvPr id="20" name="ID_B7385B54CB364124A2B177DCB654BF33"/>
        <xdr:cNvPicPr>
          <a:picLocks noChangeAspect="1"/>
        </xdr:cNvPicPr>
      </xdr:nvPicPr>
      <xdr:blipFill>
        <a:blip r:embed="rId55" cstate="print"/>
        <a:stretch>
          <a:fillRect/>
        </a:stretch>
      </xdr:blipFill>
      <xdr:spPr>
        <a:xfrm>
          <a:off x="191770" y="6178550"/>
          <a:ext cx="236855" cy="225425"/>
        </a:xfrm>
        <a:prstGeom prst="rect">
          <a:avLst/>
        </a:prstGeom>
      </xdr:spPr>
    </xdr:pic>
  </etc:cellImage>
  <etc:cellImage>
    <xdr:pic>
      <xdr:nvPicPr>
        <xdr:cNvPr id="21" name="ID_0A63FEF091D74D42A36AFEE1E3592AA2"/>
        <xdr:cNvPicPr>
          <a:picLocks noChangeAspect="1"/>
        </xdr:cNvPicPr>
      </xdr:nvPicPr>
      <xdr:blipFill>
        <a:blip r:embed="rId56" cstate="print"/>
        <a:stretch>
          <a:fillRect/>
        </a:stretch>
      </xdr:blipFill>
      <xdr:spPr>
        <a:xfrm>
          <a:off x="191770" y="6483350"/>
          <a:ext cx="236855" cy="225425"/>
        </a:xfrm>
        <a:prstGeom prst="rect">
          <a:avLst/>
        </a:prstGeom>
      </xdr:spPr>
    </xdr:pic>
  </etc:cellImage>
  <etc:cellImage>
    <xdr:pic>
      <xdr:nvPicPr>
        <xdr:cNvPr id="22" name="ID_5AF22AA1A6BE40F8831A03FE36E27D2F"/>
        <xdr:cNvPicPr>
          <a:picLocks noChangeAspect="1"/>
        </xdr:cNvPicPr>
      </xdr:nvPicPr>
      <xdr:blipFill>
        <a:blip r:embed="rId57" cstate="print"/>
        <a:stretch>
          <a:fillRect/>
        </a:stretch>
      </xdr:blipFill>
      <xdr:spPr>
        <a:xfrm>
          <a:off x="191770" y="6788150"/>
          <a:ext cx="236855" cy="225425"/>
        </a:xfrm>
        <a:prstGeom prst="rect">
          <a:avLst/>
        </a:prstGeom>
      </xdr:spPr>
    </xdr:pic>
  </etc:cellImage>
  <etc:cellImage>
    <xdr:pic>
      <xdr:nvPicPr>
        <xdr:cNvPr id="23" name="ID_E7C4D953A59649F7A926840D84EB7408"/>
        <xdr:cNvPicPr>
          <a:picLocks noChangeAspect="1"/>
        </xdr:cNvPicPr>
      </xdr:nvPicPr>
      <xdr:blipFill>
        <a:blip r:embed="rId58" cstate="print"/>
        <a:stretch>
          <a:fillRect/>
        </a:stretch>
      </xdr:blipFill>
      <xdr:spPr>
        <a:xfrm>
          <a:off x="191770" y="7092950"/>
          <a:ext cx="236855" cy="225425"/>
        </a:xfrm>
        <a:prstGeom prst="rect">
          <a:avLst/>
        </a:prstGeom>
      </xdr:spPr>
    </xdr:pic>
  </etc:cellImage>
  <etc:cellImage>
    <xdr:pic>
      <xdr:nvPicPr>
        <xdr:cNvPr id="24" name="ID_FFAB03174D4D48A7B8099076551149A2"/>
        <xdr:cNvPicPr>
          <a:picLocks noChangeAspect="1"/>
        </xdr:cNvPicPr>
      </xdr:nvPicPr>
      <xdr:blipFill>
        <a:blip r:embed="rId59" cstate="print"/>
        <a:stretch>
          <a:fillRect/>
        </a:stretch>
      </xdr:blipFill>
      <xdr:spPr>
        <a:xfrm>
          <a:off x="191770" y="7702550"/>
          <a:ext cx="236855" cy="225425"/>
        </a:xfrm>
        <a:prstGeom prst="rect">
          <a:avLst/>
        </a:prstGeom>
      </xdr:spPr>
    </xdr:pic>
  </etc:cellImage>
  <etc:cellImage>
    <xdr:pic>
      <xdr:nvPicPr>
        <xdr:cNvPr id="25" name="ID_86950F4517A64BC4A50352D3D0B0D459"/>
        <xdr:cNvPicPr>
          <a:picLocks noChangeAspect="1"/>
        </xdr:cNvPicPr>
      </xdr:nvPicPr>
      <xdr:blipFill>
        <a:blip r:embed="rId60" cstate="print"/>
        <a:stretch>
          <a:fillRect/>
        </a:stretch>
      </xdr:blipFill>
      <xdr:spPr>
        <a:xfrm>
          <a:off x="191770" y="8007350"/>
          <a:ext cx="236855" cy="225425"/>
        </a:xfrm>
        <a:prstGeom prst="rect">
          <a:avLst/>
        </a:prstGeom>
      </xdr:spPr>
    </xdr:pic>
  </etc:cellImage>
  <etc:cellImage>
    <xdr:pic>
      <xdr:nvPicPr>
        <xdr:cNvPr id="26" name="ID_E27C185E0F694510A55CF65541A8655E"/>
        <xdr:cNvPicPr>
          <a:picLocks noChangeAspect="1"/>
        </xdr:cNvPicPr>
      </xdr:nvPicPr>
      <xdr:blipFill>
        <a:blip r:embed="rId61" cstate="print"/>
        <a:stretch>
          <a:fillRect/>
        </a:stretch>
      </xdr:blipFill>
      <xdr:spPr>
        <a:xfrm>
          <a:off x="191770" y="8312150"/>
          <a:ext cx="236855" cy="225425"/>
        </a:xfrm>
        <a:prstGeom prst="rect">
          <a:avLst/>
        </a:prstGeom>
      </xdr:spPr>
    </xdr:pic>
  </etc:cellImage>
  <etc:cellImage>
    <xdr:pic>
      <xdr:nvPicPr>
        <xdr:cNvPr id="27" name="ID_D7AAC4BCB9CD4C2E955FA46B7FE94261"/>
        <xdr:cNvPicPr>
          <a:picLocks noChangeAspect="1"/>
        </xdr:cNvPicPr>
      </xdr:nvPicPr>
      <xdr:blipFill>
        <a:blip r:embed="rId62" cstate="print"/>
        <a:stretch>
          <a:fillRect/>
        </a:stretch>
      </xdr:blipFill>
      <xdr:spPr>
        <a:xfrm>
          <a:off x="191770" y="5568950"/>
          <a:ext cx="236855" cy="225425"/>
        </a:xfrm>
        <a:prstGeom prst="rect">
          <a:avLst/>
        </a:prstGeom>
      </xdr:spPr>
    </xdr:pic>
  </etc:cellImage>
  <etc:cellImage>
    <xdr:pic>
      <xdr:nvPicPr>
        <xdr:cNvPr id="28" name="ID_AD8448CEAF4642709FADB5B597BE84DA"/>
        <xdr:cNvPicPr>
          <a:picLocks noChangeAspect="1"/>
        </xdr:cNvPicPr>
      </xdr:nvPicPr>
      <xdr:blipFill>
        <a:blip r:embed="rId63" cstate="print"/>
        <a:stretch>
          <a:fillRect/>
        </a:stretch>
      </xdr:blipFill>
      <xdr:spPr>
        <a:xfrm>
          <a:off x="191770" y="8616950"/>
          <a:ext cx="236855" cy="225425"/>
        </a:xfrm>
        <a:prstGeom prst="rect">
          <a:avLst/>
        </a:prstGeom>
      </xdr:spPr>
    </xdr:pic>
  </etc:cellImage>
  <etc:cellImage>
    <xdr:pic>
      <xdr:nvPicPr>
        <xdr:cNvPr id="29" name="ID_B8CCCD09A4C14BA6AB487B70F945F6A1"/>
        <xdr:cNvPicPr>
          <a:picLocks noChangeAspect="1"/>
        </xdr:cNvPicPr>
      </xdr:nvPicPr>
      <xdr:blipFill>
        <a:blip r:embed="rId64" cstate="print"/>
        <a:stretch>
          <a:fillRect/>
        </a:stretch>
      </xdr:blipFill>
      <xdr:spPr>
        <a:xfrm>
          <a:off x="191770" y="8921750"/>
          <a:ext cx="236855" cy="225425"/>
        </a:xfrm>
        <a:prstGeom prst="rect">
          <a:avLst/>
        </a:prstGeom>
      </xdr:spPr>
    </xdr:pic>
  </etc:cellImage>
  <etc:cellImage>
    <xdr:pic>
      <xdr:nvPicPr>
        <xdr:cNvPr id="30" name="ID_8F0B719A2D37463E880A0411B854D7C0"/>
        <xdr:cNvPicPr>
          <a:picLocks noChangeAspect="1"/>
        </xdr:cNvPicPr>
      </xdr:nvPicPr>
      <xdr:blipFill>
        <a:blip r:embed="rId65" cstate="print"/>
        <a:stretch>
          <a:fillRect/>
        </a:stretch>
      </xdr:blipFill>
      <xdr:spPr>
        <a:xfrm>
          <a:off x="191770" y="9226550"/>
          <a:ext cx="236855" cy="225425"/>
        </a:xfrm>
        <a:prstGeom prst="rect">
          <a:avLst/>
        </a:prstGeom>
      </xdr:spPr>
    </xdr:pic>
  </etc:cellImage>
  <etc:cellImage>
    <xdr:pic>
      <xdr:nvPicPr>
        <xdr:cNvPr id="31" name="ID_F4D53785C67B404BA330631A2308445C"/>
        <xdr:cNvPicPr>
          <a:picLocks noChangeAspect="1"/>
        </xdr:cNvPicPr>
      </xdr:nvPicPr>
      <xdr:blipFill>
        <a:blip r:embed="rId66" cstate="print"/>
        <a:stretch>
          <a:fillRect/>
        </a:stretch>
      </xdr:blipFill>
      <xdr:spPr>
        <a:xfrm>
          <a:off x="191770" y="9531350"/>
          <a:ext cx="236855" cy="225425"/>
        </a:xfrm>
        <a:prstGeom prst="rect">
          <a:avLst/>
        </a:prstGeom>
      </xdr:spPr>
    </xdr:pic>
  </etc:cellImage>
  <etc:cellImage>
    <xdr:pic>
      <xdr:nvPicPr>
        <xdr:cNvPr id="32" name="ID_C38E60B945B142E18EAD6F8ADF26B603"/>
        <xdr:cNvPicPr>
          <a:picLocks noChangeAspect="1"/>
        </xdr:cNvPicPr>
      </xdr:nvPicPr>
      <xdr:blipFill>
        <a:blip r:embed="rId67" cstate="print"/>
        <a:stretch>
          <a:fillRect/>
        </a:stretch>
      </xdr:blipFill>
      <xdr:spPr>
        <a:xfrm>
          <a:off x="191770" y="9836150"/>
          <a:ext cx="236855" cy="225425"/>
        </a:xfrm>
        <a:prstGeom prst="rect">
          <a:avLst/>
        </a:prstGeom>
      </xdr:spPr>
    </xdr:pic>
  </etc:cellImage>
  <etc:cellImage>
    <xdr:pic>
      <xdr:nvPicPr>
        <xdr:cNvPr id="33" name="ID_D75CC65534E048EAA0FA7AE12EFB34EE"/>
        <xdr:cNvPicPr>
          <a:picLocks noChangeAspect="1"/>
        </xdr:cNvPicPr>
      </xdr:nvPicPr>
      <xdr:blipFill>
        <a:blip r:embed="rId68" cstate="print"/>
        <a:stretch>
          <a:fillRect/>
        </a:stretch>
      </xdr:blipFill>
      <xdr:spPr>
        <a:xfrm>
          <a:off x="191770" y="7397750"/>
          <a:ext cx="236855" cy="225425"/>
        </a:xfrm>
        <a:prstGeom prst="rect">
          <a:avLst/>
        </a:prstGeom>
      </xdr:spPr>
    </xdr:pic>
  </etc:cellImage>
  <etc:cellImage>
    <xdr:pic>
      <xdr:nvPicPr>
        <xdr:cNvPr id="34" name="ID_2D25D08BC43A433C871D15CC2B03D6C6"/>
        <xdr:cNvPicPr>
          <a:picLocks noChangeAspect="1"/>
        </xdr:cNvPicPr>
      </xdr:nvPicPr>
      <xdr:blipFill>
        <a:blip r:embed="rId69" cstate="print"/>
        <a:stretch>
          <a:fillRect/>
        </a:stretch>
      </xdr:blipFill>
      <xdr:spPr>
        <a:xfrm>
          <a:off x="191770" y="10140950"/>
          <a:ext cx="236855" cy="225425"/>
        </a:xfrm>
        <a:prstGeom prst="rect">
          <a:avLst/>
        </a:prstGeom>
      </xdr:spPr>
    </xdr:pic>
  </etc:cellImage>
  <etc:cellImage>
    <xdr:pic>
      <xdr:nvPicPr>
        <xdr:cNvPr id="35" name="ID_8CF88108CC0140A782E2E96C30C23686"/>
        <xdr:cNvPicPr>
          <a:picLocks noChangeAspect="1"/>
        </xdr:cNvPicPr>
      </xdr:nvPicPr>
      <xdr:blipFill>
        <a:blip r:embed="rId70" cstate="print"/>
        <a:stretch>
          <a:fillRect/>
        </a:stretch>
      </xdr:blipFill>
      <xdr:spPr>
        <a:xfrm>
          <a:off x="191770" y="10750550"/>
          <a:ext cx="236855" cy="225425"/>
        </a:xfrm>
        <a:prstGeom prst="rect">
          <a:avLst/>
        </a:prstGeom>
      </xdr:spPr>
    </xdr:pic>
  </etc:cellImage>
  <etc:cellImage>
    <xdr:pic>
      <xdr:nvPicPr>
        <xdr:cNvPr id="36" name="ID_A1F5FD0DA7C246908BCE0AF022FF83EE"/>
        <xdr:cNvPicPr>
          <a:picLocks noChangeAspect="1"/>
        </xdr:cNvPicPr>
      </xdr:nvPicPr>
      <xdr:blipFill>
        <a:blip r:embed="rId71" cstate="print"/>
        <a:stretch>
          <a:fillRect/>
        </a:stretch>
      </xdr:blipFill>
      <xdr:spPr>
        <a:xfrm>
          <a:off x="191770" y="11055350"/>
          <a:ext cx="236855" cy="225425"/>
        </a:xfrm>
        <a:prstGeom prst="rect">
          <a:avLst/>
        </a:prstGeom>
      </xdr:spPr>
    </xdr:pic>
  </etc:cellImage>
  <etc:cellImage>
    <xdr:pic>
      <xdr:nvPicPr>
        <xdr:cNvPr id="37" name="ID_596A1A12E56C408881E05E5B6AB19018"/>
        <xdr:cNvPicPr>
          <a:picLocks noChangeAspect="1"/>
        </xdr:cNvPicPr>
      </xdr:nvPicPr>
      <xdr:blipFill>
        <a:blip r:embed="rId72" cstate="print"/>
        <a:stretch>
          <a:fillRect/>
        </a:stretch>
      </xdr:blipFill>
      <xdr:spPr>
        <a:xfrm>
          <a:off x="191770" y="11360150"/>
          <a:ext cx="236855" cy="225425"/>
        </a:xfrm>
        <a:prstGeom prst="rect">
          <a:avLst/>
        </a:prstGeom>
      </xdr:spPr>
    </xdr:pic>
  </etc:cellImage>
  <etc:cellImage>
    <xdr:pic>
      <xdr:nvPicPr>
        <xdr:cNvPr id="38" name="ID_F20863D2BCCF4EDBA1DEA9FEB99C8A14"/>
        <xdr:cNvPicPr>
          <a:picLocks noChangeAspect="1"/>
        </xdr:cNvPicPr>
      </xdr:nvPicPr>
      <xdr:blipFill>
        <a:blip r:embed="rId73" cstate="print"/>
        <a:stretch>
          <a:fillRect/>
        </a:stretch>
      </xdr:blipFill>
      <xdr:spPr>
        <a:xfrm>
          <a:off x="191770" y="11664950"/>
          <a:ext cx="236855" cy="225425"/>
        </a:xfrm>
        <a:prstGeom prst="rect">
          <a:avLst/>
        </a:prstGeom>
      </xdr:spPr>
    </xdr:pic>
  </etc:cellImage>
  <etc:cellImage>
    <xdr:pic>
      <xdr:nvPicPr>
        <xdr:cNvPr id="39" name="ID_7B596DDA552F44F08752C5994B18E2BD"/>
        <xdr:cNvPicPr>
          <a:picLocks noChangeAspect="1"/>
        </xdr:cNvPicPr>
      </xdr:nvPicPr>
      <xdr:blipFill>
        <a:blip r:embed="rId74" cstate="print"/>
        <a:stretch>
          <a:fillRect/>
        </a:stretch>
      </xdr:blipFill>
      <xdr:spPr>
        <a:xfrm>
          <a:off x="191770" y="11969750"/>
          <a:ext cx="236855" cy="225425"/>
        </a:xfrm>
        <a:prstGeom prst="rect">
          <a:avLst/>
        </a:prstGeom>
      </xdr:spPr>
    </xdr:pic>
  </etc:cellImage>
  <etc:cellImage>
    <xdr:pic>
      <xdr:nvPicPr>
        <xdr:cNvPr id="40" name="ID_71632E4CB44E411AA5EF0468453C2B46"/>
        <xdr:cNvPicPr>
          <a:picLocks noChangeAspect="1"/>
        </xdr:cNvPicPr>
      </xdr:nvPicPr>
      <xdr:blipFill>
        <a:blip r:embed="rId75" cstate="print"/>
        <a:stretch>
          <a:fillRect/>
        </a:stretch>
      </xdr:blipFill>
      <xdr:spPr>
        <a:xfrm>
          <a:off x="191770" y="12579350"/>
          <a:ext cx="236855" cy="225425"/>
        </a:xfrm>
        <a:prstGeom prst="rect">
          <a:avLst/>
        </a:prstGeom>
      </xdr:spPr>
    </xdr:pic>
  </etc:cellImage>
  <etc:cellImage>
    <xdr:pic>
      <xdr:nvPicPr>
        <xdr:cNvPr id="41" name="ID_71D8E4B721754E2BA5385D55C3341A31"/>
        <xdr:cNvPicPr>
          <a:picLocks noChangeAspect="1"/>
        </xdr:cNvPicPr>
      </xdr:nvPicPr>
      <xdr:blipFill>
        <a:blip r:embed="rId76" cstate="print"/>
        <a:stretch>
          <a:fillRect/>
        </a:stretch>
      </xdr:blipFill>
      <xdr:spPr>
        <a:xfrm>
          <a:off x="191770" y="13188950"/>
          <a:ext cx="236855" cy="225425"/>
        </a:xfrm>
        <a:prstGeom prst="rect">
          <a:avLst/>
        </a:prstGeom>
      </xdr:spPr>
    </xdr:pic>
  </etc:cellImage>
  <etc:cellImage>
    <xdr:pic>
      <xdr:nvPicPr>
        <xdr:cNvPr id="42" name="ID_8A11C87EBBE64AF8BBD534E9028AE4B3"/>
        <xdr:cNvPicPr>
          <a:picLocks noChangeAspect="1"/>
        </xdr:cNvPicPr>
      </xdr:nvPicPr>
      <xdr:blipFill>
        <a:blip r:embed="rId77" cstate="print"/>
        <a:stretch>
          <a:fillRect/>
        </a:stretch>
      </xdr:blipFill>
      <xdr:spPr>
        <a:xfrm>
          <a:off x="191770" y="10445750"/>
          <a:ext cx="236855" cy="225425"/>
        </a:xfrm>
        <a:prstGeom prst="rect">
          <a:avLst/>
        </a:prstGeom>
      </xdr:spPr>
    </xdr:pic>
  </etc:cellImage>
  <etc:cellImage>
    <xdr:pic>
      <xdr:nvPicPr>
        <xdr:cNvPr id="43" name="ID_0CED576E5C5B4E16BA65FA19E04C0818"/>
        <xdr:cNvPicPr>
          <a:picLocks noChangeAspect="1"/>
        </xdr:cNvPicPr>
      </xdr:nvPicPr>
      <xdr:blipFill>
        <a:blip r:embed="rId78" cstate="print"/>
        <a:stretch>
          <a:fillRect/>
        </a:stretch>
      </xdr:blipFill>
      <xdr:spPr>
        <a:xfrm>
          <a:off x="191770" y="13493750"/>
          <a:ext cx="236855" cy="225425"/>
        </a:xfrm>
        <a:prstGeom prst="rect">
          <a:avLst/>
        </a:prstGeom>
      </xdr:spPr>
    </xdr:pic>
  </etc:cellImage>
  <etc:cellImage>
    <xdr:pic>
      <xdr:nvPicPr>
        <xdr:cNvPr id="44" name="ID_B7EFC98572FE4B399567ECAE67368112"/>
        <xdr:cNvPicPr>
          <a:picLocks noChangeAspect="1"/>
        </xdr:cNvPicPr>
      </xdr:nvPicPr>
      <xdr:blipFill>
        <a:blip r:embed="rId79" cstate="print"/>
        <a:stretch>
          <a:fillRect/>
        </a:stretch>
      </xdr:blipFill>
      <xdr:spPr>
        <a:xfrm>
          <a:off x="191770" y="13798550"/>
          <a:ext cx="236855" cy="225425"/>
        </a:xfrm>
        <a:prstGeom prst="rect">
          <a:avLst/>
        </a:prstGeom>
      </xdr:spPr>
    </xdr:pic>
  </etc:cellImage>
  <etc:cellImage>
    <xdr:pic>
      <xdr:nvPicPr>
        <xdr:cNvPr id="45" name="ID_77FDC8A03C4B4A40A43D506D0DB02C44"/>
        <xdr:cNvPicPr>
          <a:picLocks noChangeAspect="1"/>
        </xdr:cNvPicPr>
      </xdr:nvPicPr>
      <xdr:blipFill>
        <a:blip r:embed="rId80" cstate="print"/>
        <a:stretch>
          <a:fillRect/>
        </a:stretch>
      </xdr:blipFill>
      <xdr:spPr>
        <a:xfrm>
          <a:off x="191770" y="14103350"/>
          <a:ext cx="236855" cy="225425"/>
        </a:xfrm>
        <a:prstGeom prst="rect">
          <a:avLst/>
        </a:prstGeom>
      </xdr:spPr>
    </xdr:pic>
  </etc:cellImage>
  <etc:cellImage>
    <xdr:pic>
      <xdr:nvPicPr>
        <xdr:cNvPr id="46" name="ID_0EC96455B57145189804D202EE91350A"/>
        <xdr:cNvPicPr>
          <a:picLocks noChangeAspect="1"/>
        </xdr:cNvPicPr>
      </xdr:nvPicPr>
      <xdr:blipFill>
        <a:blip r:embed="rId81" cstate="print"/>
        <a:stretch>
          <a:fillRect/>
        </a:stretch>
      </xdr:blipFill>
      <xdr:spPr>
        <a:xfrm>
          <a:off x="191770" y="14408150"/>
          <a:ext cx="236855" cy="225425"/>
        </a:xfrm>
        <a:prstGeom prst="rect">
          <a:avLst/>
        </a:prstGeom>
      </xdr:spPr>
    </xdr:pic>
  </etc:cellImage>
  <etc:cellImage>
    <xdr:pic>
      <xdr:nvPicPr>
        <xdr:cNvPr id="47" name="ID_055BDFDB4C5D424BBA55185D3DAEAABE"/>
        <xdr:cNvPicPr>
          <a:picLocks noChangeAspect="1"/>
        </xdr:cNvPicPr>
      </xdr:nvPicPr>
      <xdr:blipFill>
        <a:blip r:embed="rId82" cstate="print"/>
        <a:stretch>
          <a:fillRect/>
        </a:stretch>
      </xdr:blipFill>
      <xdr:spPr>
        <a:xfrm>
          <a:off x="191770" y="15017750"/>
          <a:ext cx="236855" cy="225425"/>
        </a:xfrm>
        <a:prstGeom prst="rect">
          <a:avLst/>
        </a:prstGeom>
      </xdr:spPr>
    </xdr:pic>
  </etc:cellImage>
  <etc:cellImage>
    <xdr:pic>
      <xdr:nvPicPr>
        <xdr:cNvPr id="48" name="ID_F9959129AB614604B1993BB41C9E7D14"/>
        <xdr:cNvPicPr>
          <a:picLocks noChangeAspect="1"/>
        </xdr:cNvPicPr>
      </xdr:nvPicPr>
      <xdr:blipFill>
        <a:blip r:embed="rId83" cstate="print"/>
        <a:stretch>
          <a:fillRect/>
        </a:stretch>
      </xdr:blipFill>
      <xdr:spPr>
        <a:xfrm>
          <a:off x="191770" y="12884150"/>
          <a:ext cx="236855" cy="225425"/>
        </a:xfrm>
        <a:prstGeom prst="rect">
          <a:avLst/>
        </a:prstGeom>
      </xdr:spPr>
    </xdr:pic>
  </etc:cellImage>
  <etc:cellImage>
    <xdr:pic>
      <xdr:nvPicPr>
        <xdr:cNvPr id="49" name="ID_8131D76CEA37432E9B2A10C4708F3A39"/>
        <xdr:cNvPicPr>
          <a:picLocks noChangeAspect="1"/>
        </xdr:cNvPicPr>
      </xdr:nvPicPr>
      <xdr:blipFill>
        <a:blip r:embed="rId84" cstate="print"/>
        <a:stretch>
          <a:fillRect/>
        </a:stretch>
      </xdr:blipFill>
      <xdr:spPr>
        <a:xfrm>
          <a:off x="191770" y="15322550"/>
          <a:ext cx="236855" cy="225425"/>
        </a:xfrm>
        <a:prstGeom prst="rect">
          <a:avLst/>
        </a:prstGeom>
      </xdr:spPr>
    </xdr:pic>
  </etc:cellImage>
  <etc:cellImage>
    <xdr:pic>
      <xdr:nvPicPr>
        <xdr:cNvPr id="50" name="ID_DD240A4A26024972A6C1921CA29D82CD"/>
        <xdr:cNvPicPr>
          <a:picLocks noChangeAspect="1"/>
        </xdr:cNvPicPr>
      </xdr:nvPicPr>
      <xdr:blipFill>
        <a:blip r:embed="rId85" cstate="print"/>
        <a:stretch>
          <a:fillRect/>
        </a:stretch>
      </xdr:blipFill>
      <xdr:spPr>
        <a:xfrm>
          <a:off x="191770" y="15627350"/>
          <a:ext cx="236855" cy="225425"/>
        </a:xfrm>
        <a:prstGeom prst="rect">
          <a:avLst/>
        </a:prstGeom>
      </xdr:spPr>
    </xdr:pic>
  </etc:cellImage>
  <etc:cellImage>
    <xdr:pic>
      <xdr:nvPicPr>
        <xdr:cNvPr id="51" name="ID_CA7A0A81A3CC4EA09F5C94CA13C7290D"/>
        <xdr:cNvPicPr>
          <a:picLocks noChangeAspect="1"/>
        </xdr:cNvPicPr>
      </xdr:nvPicPr>
      <xdr:blipFill>
        <a:blip r:embed="rId86" cstate="print"/>
        <a:stretch>
          <a:fillRect/>
        </a:stretch>
      </xdr:blipFill>
      <xdr:spPr>
        <a:xfrm>
          <a:off x="191770" y="15932150"/>
          <a:ext cx="236855" cy="225425"/>
        </a:xfrm>
        <a:prstGeom prst="rect">
          <a:avLst/>
        </a:prstGeom>
      </xdr:spPr>
    </xdr:pic>
  </etc:cellImage>
  <etc:cellImage>
    <xdr:pic>
      <xdr:nvPicPr>
        <xdr:cNvPr id="52" name="ID_F8B25F33307E41D0ABC3F51ED47BD368"/>
        <xdr:cNvPicPr>
          <a:picLocks noChangeAspect="1"/>
        </xdr:cNvPicPr>
      </xdr:nvPicPr>
      <xdr:blipFill>
        <a:blip r:embed="rId87" cstate="print"/>
        <a:stretch>
          <a:fillRect/>
        </a:stretch>
      </xdr:blipFill>
      <xdr:spPr>
        <a:xfrm>
          <a:off x="191770" y="16236950"/>
          <a:ext cx="236855" cy="225425"/>
        </a:xfrm>
        <a:prstGeom prst="rect">
          <a:avLst/>
        </a:prstGeom>
      </xdr:spPr>
    </xdr:pic>
  </etc:cellImage>
  <etc:cellImage>
    <xdr:pic>
      <xdr:nvPicPr>
        <xdr:cNvPr id="53" name="ID_D74D4428B0E14799BC4288C885F03C34"/>
        <xdr:cNvPicPr>
          <a:picLocks noChangeAspect="1"/>
        </xdr:cNvPicPr>
      </xdr:nvPicPr>
      <xdr:blipFill>
        <a:blip r:embed="rId88" cstate="print"/>
        <a:stretch>
          <a:fillRect/>
        </a:stretch>
      </xdr:blipFill>
      <xdr:spPr>
        <a:xfrm>
          <a:off x="191770" y="16541750"/>
          <a:ext cx="236855" cy="225425"/>
        </a:xfrm>
        <a:prstGeom prst="rect">
          <a:avLst/>
        </a:prstGeom>
      </xdr:spPr>
    </xdr:pic>
  </etc:cellImage>
  <etc:cellImage>
    <xdr:pic>
      <xdr:nvPicPr>
        <xdr:cNvPr id="54" name="ID_FAA0546D6F324084A7827A25CD6C1174"/>
        <xdr:cNvPicPr>
          <a:picLocks noChangeAspect="1"/>
        </xdr:cNvPicPr>
      </xdr:nvPicPr>
      <xdr:blipFill>
        <a:blip r:embed="rId89" cstate="print"/>
        <a:stretch>
          <a:fillRect/>
        </a:stretch>
      </xdr:blipFill>
      <xdr:spPr>
        <a:xfrm>
          <a:off x="191770" y="16846550"/>
          <a:ext cx="236855" cy="225425"/>
        </a:xfrm>
        <a:prstGeom prst="rect">
          <a:avLst/>
        </a:prstGeom>
      </xdr:spPr>
    </xdr:pic>
  </etc:cellImage>
  <etc:cellImage>
    <xdr:pic>
      <xdr:nvPicPr>
        <xdr:cNvPr id="55" name="ID_085D2DDB5EF34714B9510AE69141425B"/>
        <xdr:cNvPicPr>
          <a:picLocks noChangeAspect="1"/>
        </xdr:cNvPicPr>
      </xdr:nvPicPr>
      <xdr:blipFill>
        <a:blip r:embed="rId90" cstate="print"/>
        <a:stretch>
          <a:fillRect/>
        </a:stretch>
      </xdr:blipFill>
      <xdr:spPr>
        <a:xfrm>
          <a:off x="191770" y="17456150"/>
          <a:ext cx="236855" cy="225425"/>
        </a:xfrm>
        <a:prstGeom prst="rect">
          <a:avLst/>
        </a:prstGeom>
      </xdr:spPr>
    </xdr:pic>
  </etc:cellImage>
  <etc:cellImage>
    <xdr:pic>
      <xdr:nvPicPr>
        <xdr:cNvPr id="56" name="ID_8DEA424174454E02804FE6273C055A56"/>
        <xdr:cNvPicPr>
          <a:picLocks noChangeAspect="1"/>
        </xdr:cNvPicPr>
      </xdr:nvPicPr>
      <xdr:blipFill>
        <a:blip r:embed="rId91" cstate="print"/>
        <a:stretch>
          <a:fillRect/>
        </a:stretch>
      </xdr:blipFill>
      <xdr:spPr>
        <a:xfrm>
          <a:off x="191770" y="17760950"/>
          <a:ext cx="236855" cy="225425"/>
        </a:xfrm>
        <a:prstGeom prst="rect">
          <a:avLst/>
        </a:prstGeom>
      </xdr:spPr>
    </xdr:pic>
  </etc:cellImage>
  <etc:cellImage>
    <xdr:pic>
      <xdr:nvPicPr>
        <xdr:cNvPr id="57" name="ID_10CDF607B40F48F3BC436A7F0E1F0607"/>
        <xdr:cNvPicPr>
          <a:picLocks noChangeAspect="1"/>
        </xdr:cNvPicPr>
      </xdr:nvPicPr>
      <xdr:blipFill>
        <a:blip r:embed="rId92" cstate="print"/>
        <a:stretch>
          <a:fillRect/>
        </a:stretch>
      </xdr:blipFill>
      <xdr:spPr>
        <a:xfrm>
          <a:off x="191770" y="18065750"/>
          <a:ext cx="236855" cy="225425"/>
        </a:xfrm>
        <a:prstGeom prst="rect">
          <a:avLst/>
        </a:prstGeom>
      </xdr:spPr>
    </xdr:pic>
  </etc:cellImage>
  <etc:cellImage>
    <xdr:pic>
      <xdr:nvPicPr>
        <xdr:cNvPr id="58" name="ID_63C988540DE14A9EB4D8D8506B7B4537"/>
        <xdr:cNvPicPr>
          <a:picLocks noChangeAspect="1"/>
        </xdr:cNvPicPr>
      </xdr:nvPicPr>
      <xdr:blipFill>
        <a:blip r:embed="rId93" cstate="print"/>
        <a:stretch>
          <a:fillRect/>
        </a:stretch>
      </xdr:blipFill>
      <xdr:spPr>
        <a:xfrm>
          <a:off x="191770" y="18370550"/>
          <a:ext cx="236855" cy="225425"/>
        </a:xfrm>
        <a:prstGeom prst="rect">
          <a:avLst/>
        </a:prstGeom>
      </xdr:spPr>
    </xdr:pic>
  </etc:cellImage>
  <etc:cellImage>
    <xdr:pic>
      <xdr:nvPicPr>
        <xdr:cNvPr id="59" name="ID_840196A38F23449AA39396B83223F967"/>
        <xdr:cNvPicPr>
          <a:picLocks noChangeAspect="1"/>
        </xdr:cNvPicPr>
      </xdr:nvPicPr>
      <xdr:blipFill>
        <a:blip r:embed="rId94" cstate="print"/>
        <a:stretch>
          <a:fillRect/>
        </a:stretch>
      </xdr:blipFill>
      <xdr:spPr>
        <a:xfrm>
          <a:off x="191770" y="18675350"/>
          <a:ext cx="236855" cy="225425"/>
        </a:xfrm>
        <a:prstGeom prst="rect">
          <a:avLst/>
        </a:prstGeom>
      </xdr:spPr>
    </xdr:pic>
  </etc:cellImage>
  <etc:cellImage>
    <xdr:pic>
      <xdr:nvPicPr>
        <xdr:cNvPr id="60" name="ID_39B11A93644B4B6D9B112611C99E3361"/>
        <xdr:cNvPicPr>
          <a:picLocks noChangeAspect="1"/>
        </xdr:cNvPicPr>
      </xdr:nvPicPr>
      <xdr:blipFill>
        <a:blip r:embed="rId95" cstate="print"/>
        <a:stretch>
          <a:fillRect/>
        </a:stretch>
      </xdr:blipFill>
      <xdr:spPr>
        <a:xfrm>
          <a:off x="191770" y="18980150"/>
          <a:ext cx="236855" cy="225425"/>
        </a:xfrm>
        <a:prstGeom prst="rect">
          <a:avLst/>
        </a:prstGeom>
      </xdr:spPr>
    </xdr:pic>
  </etc:cellImage>
  <etc:cellImage>
    <xdr:pic>
      <xdr:nvPicPr>
        <xdr:cNvPr id="61" name="ID_6632E542DE59443DB004060C17FBE81C"/>
        <xdr:cNvPicPr>
          <a:picLocks noChangeAspect="1"/>
        </xdr:cNvPicPr>
      </xdr:nvPicPr>
      <xdr:blipFill>
        <a:blip r:embed="rId96" cstate="print"/>
        <a:stretch>
          <a:fillRect/>
        </a:stretch>
      </xdr:blipFill>
      <xdr:spPr>
        <a:xfrm>
          <a:off x="191770" y="17151350"/>
          <a:ext cx="236855" cy="225425"/>
        </a:xfrm>
        <a:prstGeom prst="rect">
          <a:avLst/>
        </a:prstGeom>
      </xdr:spPr>
    </xdr:pic>
  </etc:cellImage>
  <etc:cellImage>
    <xdr:pic>
      <xdr:nvPicPr>
        <xdr:cNvPr id="62" name="ID_EC0A5CAA4E754BE391225B8C4CC1C560"/>
        <xdr:cNvPicPr>
          <a:picLocks noChangeAspect="1"/>
        </xdr:cNvPicPr>
      </xdr:nvPicPr>
      <xdr:blipFill>
        <a:blip r:embed="rId97" cstate="print"/>
        <a:stretch>
          <a:fillRect/>
        </a:stretch>
      </xdr:blipFill>
      <xdr:spPr>
        <a:xfrm>
          <a:off x="191770" y="19284950"/>
          <a:ext cx="236855" cy="225425"/>
        </a:xfrm>
        <a:prstGeom prst="rect">
          <a:avLst/>
        </a:prstGeom>
      </xdr:spPr>
    </xdr:pic>
  </etc:cellImage>
  <etc:cellImage>
    <xdr:pic>
      <xdr:nvPicPr>
        <xdr:cNvPr id="63" name="ID_AA86650B44C648D8AA6B57937F26A5DF"/>
        <xdr:cNvPicPr>
          <a:picLocks noChangeAspect="1"/>
        </xdr:cNvPicPr>
      </xdr:nvPicPr>
      <xdr:blipFill>
        <a:blip r:embed="rId98" cstate="print"/>
        <a:stretch>
          <a:fillRect/>
        </a:stretch>
      </xdr:blipFill>
      <xdr:spPr>
        <a:xfrm>
          <a:off x="191770" y="19589750"/>
          <a:ext cx="236855" cy="225425"/>
        </a:xfrm>
        <a:prstGeom prst="rect">
          <a:avLst/>
        </a:prstGeom>
      </xdr:spPr>
    </xdr:pic>
  </etc:cellImage>
  <etc:cellImage>
    <xdr:pic>
      <xdr:nvPicPr>
        <xdr:cNvPr id="64" name="ID_79BF45B3FFBE438295BC024561BFB0F0"/>
        <xdr:cNvPicPr>
          <a:picLocks noChangeAspect="1"/>
        </xdr:cNvPicPr>
      </xdr:nvPicPr>
      <xdr:blipFill>
        <a:blip r:embed="rId99" cstate="print"/>
        <a:stretch>
          <a:fillRect/>
        </a:stretch>
      </xdr:blipFill>
      <xdr:spPr>
        <a:xfrm>
          <a:off x="191770" y="19894550"/>
          <a:ext cx="236855" cy="225425"/>
        </a:xfrm>
        <a:prstGeom prst="rect">
          <a:avLst/>
        </a:prstGeom>
      </xdr:spPr>
    </xdr:pic>
  </etc:cellImage>
  <etc:cellImage>
    <xdr:pic>
      <xdr:nvPicPr>
        <xdr:cNvPr id="65" name="ID_D2BC2CAC416945B292CFFABEB22563F6"/>
        <xdr:cNvPicPr>
          <a:picLocks noChangeAspect="1"/>
        </xdr:cNvPicPr>
      </xdr:nvPicPr>
      <xdr:blipFill>
        <a:blip r:embed="rId100" cstate="print"/>
        <a:stretch>
          <a:fillRect/>
        </a:stretch>
      </xdr:blipFill>
      <xdr:spPr>
        <a:xfrm>
          <a:off x="191770" y="20199350"/>
          <a:ext cx="236855" cy="22542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<sst xmlns="http://schemas.openxmlformats.org/spreadsheetml/2006/main" count="3543" uniqueCount="1388">
  <si>
    <t>图片</t>
  </si>
  <si>
    <t>ASIN</t>
  </si>
  <si>
    <t>SKU</t>
  </si>
  <si>
    <t>详细参数</t>
  </si>
  <si>
    <t>品牌</t>
  </si>
  <si>
    <t>品牌链接</t>
  </si>
  <si>
    <t>商品标题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</si>
  <si>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</si>
  <si>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</si>
  <si>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</si>
  <si>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</si>
  <si>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</si>
  <si>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</si>
  <si>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</si>
  <si>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</si>
  <si>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</si>
  <si>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</si>
  <si>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</si>
  <si>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</si>
  <si>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月销售额($)</t>
  </si>
  <si>
    <t>子体销量</t>
  </si>
  <si>
    <t>子体销售额($)</t>
  </si>
  <si>
    <t>变体数</t>
  </si>
  <si>
    <t>价格($)</t>
  </si>
  <si>
    <t>Prime价格($)</t>
  </si>
  <si>
    <t>Coupon</t>
  </si>
  <si>
    <t>Q&amp;A数</t>
  </si>
  <si>
    <t>评分数</t>
  </si>
  <si>
    <t>月新增
评分数</t>
  </si>
  <si>
    <t>评分</t>
  </si>
  <si>
    <t>留评率</t>
  </si>
  <si>
    <t>FBA($)</t>
  </si>
  <si>
    <t>毛利率</t>
  </si>
  <si>
    <t>评级</t>
  </si>
  <si>
    <t>上架时间</t>
  </si>
  <si>
    <t>上架天数</t>
  </si>
  <si>
    <t>配送方式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</si>
  <si>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</si>
  <si>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</si>
  <si>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</si>
  <si>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</si>
  <si>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</si>
  <si>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</si>
  <si>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</si>
  <si>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</si>
  <si>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</si>
  <si>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New Release标识</t>
  </si>
  <si>
    <t>A+页面</t>
  </si>
  <si>
    <t>视频介绍</t>
  </si>
  <si>
    <t>SP广告</t>
  </si>
  <si>
    <t>品牌故事</t>
  </si>
  <si>
    <t>品牌广告</t>
  </si>
  <si>
    <t>7天促销</t>
  </si>
  <si>
    <t>AC关键词</t>
  </si>
  <si>
    <t>重量</t>
  </si>
  <si>
    <t>体积</t>
  </si>
  <si>
    <t>B0169P9G22</t>
  </si>
  <si>
    <t>Size: Medium | Special Size: Petite Size | Color: Ebony</t>
  </si>
  <si>
    <t>Fabric type: 50% Polyester, 50% Cotton | Care instructions: Machine Wash | Origin: Imported | Closure type: No Closure | Country of Origin: El Salvador</t>
  </si>
  <si>
    <t>Hanes</t>
  </si>
  <si>
    <t>https://www.amazon.com/stores/Hanes/page/F83022EC-A709-4B2F-BCB7-7BBFA1896AB0?ref_=ast_bln&amp;store_ref=bl_ast_dp_brandLogo_sto</t>
  </si>
  <si>
    <t>Hanes Women's EcoSmart Fleece Petite Sweatpants, Open Bottom Sweatpants, Regular &amp; Petite Sizes</t>
  </si>
  <si>
    <t>https://www.amazon.com/dp/B0169P9G22?psc=1</t>
  </si>
  <si>
    <t>https://m.media-amazon.com/images/I/31qe-4OGLcL._AC_SR600,600_.jpg</t>
  </si>
  <si>
    <t>B0CXYBN5BZ</t>
  </si>
  <si>
    <t>Clothing, Shoes &amp; Jewelry:Women:Clothing:Active:Active Pants:Sweatpants</t>
  </si>
  <si>
    <t>Clothing, Shoes &amp; Jewelry</t>
  </si>
  <si>
    <t>Women's Sweatpants</t>
  </si>
  <si>
    <t>1</t>
  </si>
  <si>
    <t>2,000</t>
  </si>
  <si>
    <t>2024-03-12</t>
  </si>
  <si>
    <t>AMZ</t>
  </si>
  <si>
    <t>Amazon.com</t>
  </si>
  <si>
    <t/>
  </si>
  <si>
    <t>Y</t>
  </si>
  <si>
    <t>petite sweatpants for women</t>
  </si>
  <si>
    <t>10.24 ounces</t>
  </si>
  <si>
    <t>290.30 g</t>
  </si>
  <si>
    <t>13 x 8 x 1 inches</t>
  </si>
  <si>
    <t>33.02 x 20.32 x 2.54 cm</t>
  </si>
  <si>
    <t>B08XXMQ32C</t>
  </si>
  <si>
    <t>Size: Large | Color: Black</t>
  </si>
  <si>
    <t>Fabric type: 65% Polyester, 35% Rayon | Care instructions: Machine Wash | Origin: Imported | Closure type: Drawstring | Country of Origin: China</t>
  </si>
  <si>
    <t>AUTOMET</t>
  </si>
  <si>
    <t>https://www.amazon.com/stores/AUTOMET/page/FCCD3AC0-B62A-45A7-BF7C-452CD65FDF26?ref_=ast_bln&amp;store_ref=bl_ast_dp_brandLogo_sto</t>
  </si>
  <si>
    <t>AUTOMET Baggy Sweatpants for Women with Pockets-Lounge Womens Pajams Pants-Womens Running Joggers Fall Clothes Outfits 2024</t>
  </si>
  <si>
    <t>https://www.amazon.com/dp/B08XXMQ32C?psc=1</t>
  </si>
  <si>
    <t>https://images-na.ssl-images-amazon.com/images/I/51af29C2bqL._AC_US600_.jpg</t>
  </si>
  <si>
    <t>B0CVVNG3JB</t>
  </si>
  <si>
    <t>2</t>
  </si>
  <si>
    <t>3,000</t>
  </si>
  <si>
    <t>2021-03-02</t>
  </si>
  <si>
    <t>FBA</t>
  </si>
  <si>
    <t>Automet-US</t>
  </si>
  <si>
    <t>CN</t>
  </si>
  <si>
    <t xml:space="preserve">公司名称：Guangzhou Yili Network Technology Co., Ltd.
办公地址：
嘉禾街道鹤龙二路259号
为邦创意园 14栋301室
广州市
白云区
广东省
510440
CN
</t>
  </si>
  <si>
    <t>https://www.amazon.com/gp/help/seller/at-a-glance.html/ref=dp_merchant_link?seller=AB2NECOE3B4S7</t>
  </si>
  <si>
    <t>14.07 ounces</t>
  </si>
  <si>
    <t>398.88 g</t>
  </si>
  <si>
    <t>10.2 x 10.08 x 1.1 inches</t>
  </si>
  <si>
    <t>25.91 x 25.60 x 2.79 cm</t>
  </si>
  <si>
    <t>B07L6C4MW6</t>
  </si>
  <si>
    <t>Size: Medium | Color: Black</t>
  </si>
  <si>
    <t>Fabric type: Fabric: 100% Cotton; Lining: 100% Polyester | Care instructions: Machine Wash | Origin: Imported | Closure type: Drawstring</t>
  </si>
  <si>
    <t>Yeokou</t>
  </si>
  <si>
    <t>https://www.amazon.com/stores/Yeokou/page/0E5683BE-BF4C-42E9-94F5-F5D8B13D1CE6?ref_=ast_bln&amp;store_ref=bl_ast_dp_brandLogo_sto</t>
  </si>
  <si>
    <t>Yeokou Women's Warm Sherpa Lined Athletic Sweatpants Jogger Fleece Pants</t>
  </si>
  <si>
    <t>https://www.amazon.com/dp/B07L6C4MW6?psc=1</t>
  </si>
  <si>
    <t>https://images-na.ssl-images-amazon.com/images/I/518PFzFvGjL._AC_US600_.jpg</t>
  </si>
  <si>
    <t>B0CT8L14MN</t>
  </si>
  <si>
    <t>3</t>
  </si>
  <si>
    <t>1,000</t>
  </si>
  <si>
    <t>2018-12-22</t>
  </si>
  <si>
    <t xml:space="preserve">公司名称：Hefei Lingao Trading Co., Ltd.
电话号码：0-861-882-125-5227
办公地址：
沁源路666号
立明电力3号楼401室
合肥市
蜀山区
安徽省
230031
CN
</t>
  </si>
  <si>
    <t>https://www.amazon.com/gp/help/seller/at-a-glance.html/ref=dp_merchant_link?seller=A8A0HLGI9IL7U</t>
  </si>
  <si>
    <t>5.6 ounces</t>
  </si>
  <si>
    <t>158.76 g</t>
  </si>
  <si>
    <t>0.5 x 0.5 x 0.5 inches</t>
  </si>
  <si>
    <t>1.27 x 1.27 x 1.27 cm</t>
  </si>
  <si>
    <t>B07B8VXF7F</t>
  </si>
  <si>
    <t>Fabric type: 92% Polyester, 8% Spandex | Care instructions: Machine Wash | Origin: Imported | Closure type: Drawstring | Country of Origin: China</t>
  </si>
  <si>
    <t>Leggings Depot</t>
  </si>
  <si>
    <t>https://www.amazon.com/stores/LeggingsDepot/page/68B33F7C-13F9-42C6-A40F-7F42F29E123A?ref_=ast_bln&amp;store_ref=bl_ast_dp_brandLogo_sto</t>
  </si>
  <si>
    <t>Leggings Depot Women's Relaxed-fit Jogger Track Cuff Sweatpants with Pockets for Yoga, Workout</t>
  </si>
  <si>
    <t>https://www.amazon.com/dp/B07B8VXF7F?psc=1</t>
  </si>
  <si>
    <t>https://images-na.ssl-images-amazon.com/images/I/61FI5v3C9JL._AC_US600_.jpg</t>
  </si>
  <si>
    <t>B07YYSC22N</t>
  </si>
  <si>
    <t>4</t>
  </si>
  <si>
    <t>$2.00</t>
  </si>
  <si>
    <t>2018-02-04</t>
  </si>
  <si>
    <t>Leggings Depot®</t>
  </si>
  <si>
    <t>US</t>
  </si>
  <si>
    <t xml:space="preserve">公司名称：SALLY K GROUP INC
办公地址：
5190 S SANTA FE AVE
LOS ANGELES
CA
90058
US
</t>
  </si>
  <si>
    <t>https://www.amazon.com/gp/help/seller/at-a-glance.html/ref=dp_merchant_link?seller=A14UYV56QBLQTG</t>
  </si>
  <si>
    <t>joggers for women</t>
  </si>
  <si>
    <t>0.69 pounds</t>
  </si>
  <si>
    <t>312.98 g</t>
  </si>
  <si>
    <t>5 x 5 x 0.7 inches</t>
  </si>
  <si>
    <t>12.70 x 12.70 x 1.78 cm</t>
  </si>
  <si>
    <t>B07BJ8G4D1</t>
  </si>
  <si>
    <t>Size: Small | Color: Black</t>
  </si>
  <si>
    <t>Fabric type: 60% Cotton, 40% Polyester | Care instructions: Machine Wash Warm, Tumble Dry | Origin: Imported | Closure type: Pull On | Country of Origin: Bangladesh</t>
  </si>
  <si>
    <t>Amazon Essentials</t>
  </si>
  <si>
    <t>https://www.amazon.com/stores/AmazonEssentials/page/F8FB6F3C-F896-455C-BC52-7879F4CEF0CF?ref_=ast_bln&amp;store_ref=bl_ast_dp_brandLogo_sto</t>
  </si>
  <si>
    <t>Amazon Essentials Women's Fleece Jogger Sweatpant (Available in Plus Size)</t>
  </si>
  <si>
    <t>https://www.amazon.com/dp/B07BJ8G4D1?psc=1</t>
  </si>
  <si>
    <t>https://m.media-amazon.com/images/I/31vgm9jF+rL._AC_SR600,600_.jpg</t>
  </si>
  <si>
    <t>B0D3ZJ6YKD</t>
  </si>
  <si>
    <t>Our Brands</t>
  </si>
  <si>
    <t>11</t>
  </si>
  <si>
    <t>500</t>
  </si>
  <si>
    <t>2024-05-11</t>
  </si>
  <si>
    <t>12.31 ounces</t>
  </si>
  <si>
    <t>348.98 g</t>
  </si>
  <si>
    <t>10.67 x 7.56 x 3.23 inches</t>
  </si>
  <si>
    <t>27.10 x 19.20 x 8.20 cm</t>
  </si>
  <si>
    <t>B08X996KM7</t>
  </si>
  <si>
    <t>Size: Large | Special Size: Standard | Color: Set 6</t>
  </si>
  <si>
    <t>Fabric type: 90% Polyester, 10% Spandex | Care instructions: Machine Wash | Origin: Imported | Closure type: Drawstring Waist | Country of Origin: China</t>
  </si>
  <si>
    <t>Real Essentials</t>
  </si>
  <si>
    <t>https://www.amazon.com/stores/RealEssentials/page/FBE83AF6-EE5D-4217-AB93-7822B24A96FB?ref_=ast_bln&amp;store_ref=bl_ast_dp_brandLogo_sto</t>
  </si>
  <si>
    <t>Real Essentials 3 Pack: Women's Ultra-Soft Lounge Joggers Sweatpants Athletic Yoga Pants with Pockets (Available in Plus)</t>
  </si>
  <si>
    <t>https://www.amazon.com/dp/B08X996KM7?psc=1</t>
  </si>
  <si>
    <t>https://m.media-amazon.com/images/I/41z+1B9EuuL._AC_SR600,600_.jpg</t>
  </si>
  <si>
    <t>B0CP4FNCN5</t>
  </si>
  <si>
    <t>7</t>
  </si>
  <si>
    <t>900</t>
  </si>
  <si>
    <t>2021-02-22</t>
  </si>
  <si>
    <t xml:space="preserve">公司名称：Real Essentials Corp
办公地址：
1726 Mcdonald Avenue
BROOKLYN
NY
11230
US
</t>
  </si>
  <si>
    <t>https://www.amazon.com/gp/help/seller/at-a-glance.html/ref=dp_merchant_link?seller=A2ZO1F0HRSC2G3</t>
  </si>
  <si>
    <t>plus size teacher pants</t>
  </si>
  <si>
    <t>1 Pounds</t>
  </si>
  <si>
    <t>453.59 g</t>
  </si>
  <si>
    <t>5 x 4 x 3 inches</t>
  </si>
  <si>
    <t>12.70 x 10.16 x 7.62 cm</t>
  </si>
  <si>
    <t>B0BCKJ27B5</t>
  </si>
  <si>
    <t>Fabric type: 77% Polyester, 23% Spandex | Care instructions: Machine Wash Gentle | Origin: Imported | Closure type: Drawstring | Country of Origin: China</t>
  </si>
  <si>
    <t>G Gradual</t>
  </si>
  <si>
    <t>https://www.amazon.com/stores/GGradual/page/83E26C48-D353-4DB2-BBB1-1B1E939F003F?ref_=ast_bln&amp;store_ref=bl_ast_dp_brandLogo_sto</t>
  </si>
  <si>
    <t>G Gradual Women's Fleece Lined Joggers High Waisted Water Resistant Thermal Winter Sweatpants Running Hiking Pockets</t>
  </si>
  <si>
    <t>https://www.amazon.com/dp/B0BCKJ27B5?psc=1</t>
  </si>
  <si>
    <t>https://images-na.ssl-images-amazon.com/images/I/61nSSjhY6uL._AC_US600_.jpg</t>
  </si>
  <si>
    <t>B0BNVHG7W1</t>
  </si>
  <si>
    <t>5</t>
  </si>
  <si>
    <t>8%</t>
  </si>
  <si>
    <t>2022-10-25</t>
  </si>
  <si>
    <t>G-GRADUAL</t>
  </si>
  <si>
    <t xml:space="preserve">公司名称：Xia Men Wei Er Jia E-Business Co.,Ltd
办公地址：
火炬高新区软件园三期诚毅北大街8号1901室-1
厦门市
集美
福建
361021
CN
</t>
  </si>
  <si>
    <t>https://www.amazon.com/gp/help/seller/at-a-glance.html/ref=dp_merchant_link?seller=A3J1UQ06EUSAGL</t>
  </si>
  <si>
    <t>warm water resistant pants women</t>
  </si>
  <si>
    <t>9.52 ounces</t>
  </si>
  <si>
    <t>269.89 g</t>
  </si>
  <si>
    <t>8.78 x 7.28 x 2.13 inches</t>
  </si>
  <si>
    <t>22.30 x 18.49 x 5.41 cm</t>
  </si>
  <si>
    <t>B08LBG6G3L</t>
  </si>
  <si>
    <t>Fabric type: 75% Nylon, 25% Spandex | Care instructions: Machine Wash | Origin: Imported | Closure type: Drawstring | Country of Origin: China</t>
  </si>
  <si>
    <t>G Gradual Women's Pants with Deep Pockets 7/8 Stretch Ankle Sweatpants for Golf, Athletic, Lounge, Travel, Work</t>
  </si>
  <si>
    <t>https://www.amazon.com/dp/B08LBG6G3L?psc=1</t>
  </si>
  <si>
    <t>https://m.media-amazon.com/images/I/31kz7NZE+VL._AC_SR600,600_.jpg</t>
  </si>
  <si>
    <t>B08LBF6PZZ</t>
  </si>
  <si>
    <t>Women's Golf Pants
Women's Sweatpants</t>
  </si>
  <si>
    <t>1
14</t>
  </si>
  <si>
    <t>2020-10-16</t>
  </si>
  <si>
    <t>Overall Pick</t>
  </si>
  <si>
    <t>10.86 ounces</t>
  </si>
  <si>
    <t>307.88 g</t>
  </si>
  <si>
    <t>7.8 x 6.77 x 2.36 inches</t>
  </si>
  <si>
    <t>19.81 x 17.20 x 5.99 cm</t>
  </si>
  <si>
    <t>B0915NGKRZ</t>
  </si>
  <si>
    <t>Size: Medium | Color: Grey</t>
  </si>
  <si>
    <t>Fabric type: 81.5%polyester18.5%cotton | Care instructions: Machine Wash | Origin: Imported | Closure type: Drawstring | Country of Origin: China</t>
  </si>
  <si>
    <t>AUTOMET Women's Cinch Bottom Sweatpants Athletic Joggers Lounge Pants with Pockets</t>
  </si>
  <si>
    <t>https://www.amazon.com/dp/B0915NGKRZ?psc=1</t>
  </si>
  <si>
    <t>https://images-na.ssl-images-amazon.com/images/I/61NI1Im3HyL._AC_US600_.jpg</t>
  </si>
  <si>
    <t>B0CVVQWRL4</t>
  </si>
  <si>
    <t>6</t>
  </si>
  <si>
    <t>2021-03-25</t>
  </si>
  <si>
    <t>0.84 pounds</t>
  </si>
  <si>
    <t>381.02 g</t>
  </si>
  <si>
    <t>11.73 x 8.35 x 1.85 inches</t>
  </si>
  <si>
    <t>29.79 x 21.21 x 4.70 cm</t>
  </si>
  <si>
    <t>B0D5HKJFJJ</t>
  </si>
  <si>
    <t>Fabric type: 50%cotton,50%polyester | Care instructions: Machine Wash | Origin: Imported | Closure type: Drawstring | Country of Origin: China</t>
  </si>
  <si>
    <t>ATHMILE</t>
  </si>
  <si>
    <t>https://www.amazon.com/stores/ATHMILE/page/4E137DE3-CE99-4A51-A7DA-FC98898E0D58?ref_=ast_bln&amp;store_ref=bl_ast_dp_brandLogo_sto</t>
  </si>
  <si>
    <t>ATHMILE Womens Sweatpants 2024 Baggy Wide Fleece Lined Straight Leg Pants</t>
  </si>
  <si>
    <t>https://www.amazon.com/dp/B0D5HKJFJJ?psc=1</t>
  </si>
  <si>
    <t>https://m.media-amazon.com/images/I/31sEt18AvFL._AC_SR600,600_.jpg</t>
  </si>
  <si>
    <t>B0D5HJRNP2</t>
  </si>
  <si>
    <t>8</t>
  </si>
  <si>
    <t>800</t>
  </si>
  <si>
    <t>2024-05-28</t>
  </si>
  <si>
    <t>ATHMILE-US</t>
  </si>
  <si>
    <t xml:space="preserve">公司名称：guangzhoushengyuanpijuyouxiangongsi
办公地址：
嘉禾街望岗下田工业区自编19号一楼
广州市
白云区
广东省
510000
CN
</t>
  </si>
  <si>
    <t>https://www.amazon.com/gp/help/seller/at-a-glance.html/ref=dp_merchant_link?seller=A2T7LQ02S6L1QM</t>
  </si>
  <si>
    <t>15.52 ounces</t>
  </si>
  <si>
    <t>439.98 g</t>
  </si>
  <si>
    <t>14.41 x 11.3 x 1.57 inches</t>
  </si>
  <si>
    <t>36.60 x 28.70 x 3.99 cm</t>
  </si>
  <si>
    <t>B07JN6Q1RT</t>
  </si>
  <si>
    <t>Size: Large | Color: Charcoal Heather</t>
  </si>
  <si>
    <t>Fabric type: 60% Cotton, 40% Polyester | Care instructions: Machine Wash Warm, Tumble Dry | Origin: Imported | Closure type: Drawstring | Country of Origin: Vietnam</t>
  </si>
  <si>
    <t>Amazon Essentials Women's Fleece Straight Leg Sweatpant (Available in Plus Size)</t>
  </si>
  <si>
    <t>https://www.amazon.com/dp/B07JN6Q1RT?psc=1</t>
  </si>
  <si>
    <t>https://m.media-amazon.com/images/I/31z16drn5SL._AC_SR200,200_.jpg</t>
  </si>
  <si>
    <t>B0DGQS42J8</t>
  </si>
  <si>
    <t>38</t>
  </si>
  <si>
    <t>100</t>
  </si>
  <si>
    <t>2024-09-11</t>
  </si>
  <si>
    <t>B0BGKCM23M</t>
  </si>
  <si>
    <t>Fabric type: 53%polyester 47%Cotton | Care instructions: Machine Wash | Origin: Imported | Closure type: Drawstring | Country of Origin: China</t>
  </si>
  <si>
    <t>AUTOMET Women's Wide Leg Sweatpants Fleece Lined Baggy Straight Leg Lounge Pants Fall Outfits Athletic Joggers with Pockets</t>
  </si>
  <si>
    <t>https://www.amazon.com/dp/B0BGKCM23M?psc=1</t>
  </si>
  <si>
    <t>https://m.media-amazon.com/images/I/31u55NjnMwL._AC_SR600,600_.jpg</t>
  </si>
  <si>
    <t>B0CVVP3LSW</t>
  </si>
  <si>
    <t>9</t>
  </si>
  <si>
    <t>2022-09-26</t>
  </si>
  <si>
    <t>14.89 ounces</t>
  </si>
  <si>
    <t>422.12 g</t>
  </si>
  <si>
    <t>12.4 x 10.16 x 1.18 inches</t>
  </si>
  <si>
    <t>31.50 x 25.81 x 3.00 cm</t>
  </si>
  <si>
    <t>B08T68Y8YM</t>
  </si>
  <si>
    <t>Size: Medium | Fit Type: Regular-27.5" | Color: Black</t>
  </si>
  <si>
    <t>Fabric type: 80% Nylon, 20% Spandex | Care instructions: Machine Wash | Origin: Imported | Closure type: Drawstring | Country of Origin: China</t>
  </si>
  <si>
    <t>Libin</t>
  </si>
  <si>
    <t>https://www.amazon.com/stores/Libin/page/9518B9E7-5E52-4CB0-9CC5-DC685B152BC9?ref_=ast_bln&amp;store_ref=bl_ast_dp_brandLogo_sto</t>
  </si>
  <si>
    <t>Libin Women's Joggers Pants Athletic Running Petite/Regular/Tall Sweatpants with Pockets Dance Tapered Casual Workout</t>
  </si>
  <si>
    <t>https://www.amazon.com/dp/B08T68Y8YM?psc=1</t>
  </si>
  <si>
    <t>https://images-na.ssl-images-amazon.com/images/I/61+LL+2CZvL._AC_US600_.jpg</t>
  </si>
  <si>
    <t>B0DK5HF2PN</t>
  </si>
  <si>
    <t>10</t>
  </si>
  <si>
    <t>5%</t>
  </si>
  <si>
    <t>2021-02-03</t>
  </si>
  <si>
    <t>singolake</t>
  </si>
  <si>
    <t xml:space="preserve">公司名称：xiamenwuyijiadianzishangwuyouxiangongsi
办公地址：
悦华路145号501室之二
厦门市
湖里区
福建
361000
CN
</t>
  </si>
  <si>
    <t>https://www.amazon.com/gp/help/seller/at-a-glance.html/ref=dp_merchant_link?seller=A3NZPOMD22XCCN</t>
  </si>
  <si>
    <t>libin womens joggers pants lightweight running swe</t>
  </si>
  <si>
    <t>10.58 ounces</t>
  </si>
  <si>
    <t>299.94 g</t>
  </si>
  <si>
    <t>12.48 x 8.86 x 1.69 inches</t>
  </si>
  <si>
    <t>31.70 x 22.50 x 4.29 cm</t>
  </si>
  <si>
    <t>B0C7QTNVKY</t>
  </si>
  <si>
    <t>Fabric type: 49%cotton,51%polyester | Care instructions: Tumble Dry Low | Origin: Imported | Closure type: Drawstring | Country of Origin: China</t>
  </si>
  <si>
    <t>AUTOMET Womens Cargo Sweatpants Baggy Fleece High Waisted Joggers Sweat Pants Athletic Pants</t>
  </si>
  <si>
    <t>https://www.amazon.com/dp/B0C7QTNVKY?psc=1</t>
  </si>
  <si>
    <t>https://images-na.ssl-images-amazon.com/images/I/61FEThJ8CdL._AC_US600_.jpg</t>
  </si>
  <si>
    <t>B0CVVP4ZN3</t>
  </si>
  <si>
    <t>12</t>
  </si>
  <si>
    <t>2023-06-11</t>
  </si>
  <si>
    <t>1.17 Pounds</t>
  </si>
  <si>
    <t>530.70 g</t>
  </si>
  <si>
    <t>15.12 x 12.36 x 1.61 inches</t>
  </si>
  <si>
    <t>38.40 x 31.39 x 4.09 cm</t>
  </si>
  <si>
    <t>B0C7X7N1XW</t>
  </si>
  <si>
    <t>Size: Medium | Fit Type: Standard | Color: Combo 1</t>
  </si>
  <si>
    <t>Fabric type: 100% Polyester | Care instructions: Hand Wash Only | Origin: Imported | Closure type: Drawstring | Country of Origin: China</t>
  </si>
  <si>
    <t>BottomLine</t>
  </si>
  <si>
    <t>https://www.amazon.com/stores/BottomLine/page/961D76CE-E2B6-4E4B-BA23-7E5266AE3F50?ref_=ast_bln</t>
  </si>
  <si>
    <t>BottomLine 3 Pack Sweatpants Women, Comfortable Womens Sweatpants, Fleece Womens Joggers (Available in Plus)</t>
  </si>
  <si>
    <t>https://www.amazon.com/dp/B0C7X7N1XW?psc=1</t>
  </si>
  <si>
    <t>https://m.media-amazon.com/images/I/41bs6ZGtQYL._AC_SR600,600_.jpg</t>
  </si>
  <si>
    <t>B0CS42M6FQ</t>
  </si>
  <si>
    <t>13</t>
  </si>
  <si>
    <t>2023-06-12</t>
  </si>
  <si>
    <t>Blue Ocean Brands</t>
  </si>
  <si>
    <t xml:space="preserve">公司名称：Rag Tags LLC
办公地址：
2212 East 3rd street
Brooklyn
New York
11223
US
</t>
  </si>
  <si>
    <t>https://www.amazon.com/gp/help/seller/at-a-glance.html/ref=dp_merchant_link?seller=A36X6RFJ7XS38Y</t>
  </si>
  <si>
    <t>3.15 Pounds</t>
  </si>
  <si>
    <t>1.43 kg</t>
  </si>
  <si>
    <t>14.96 x 10.63 x 5.43 inches</t>
  </si>
  <si>
    <t>38.00 x 27.00 x 13.79 cm</t>
  </si>
  <si>
    <t>B0CDSHX3QN</t>
  </si>
  <si>
    <t>Size: Medium | Fit Type: High Rise | Color: Black Full Lengh</t>
  </si>
  <si>
    <t>Fabric type: 80% Polyester, 20% Spandex | Care instructions: Hand Wash Only | Closure type: Elastic | Rise style: High Rise</t>
  </si>
  <si>
    <t>Kcutteyg</t>
  </si>
  <si>
    <t>https://www.amazon.com/stores/Kcutteyg/page/A44BE68F-0490-492A-8440-1BF984B01569?ref_=ast_bln&amp;store_ref=bl_ast_dp_brandLogo_sto</t>
  </si>
  <si>
    <t>Kcutteyg Womens Joggers with Pockets, Lightweight Quick Dry Athletic Workout Soft Pants for Gym, Yoga, Running</t>
  </si>
  <si>
    <t>https://www.amazon.com/dp/B0CDSHX3QN?psc=1</t>
  </si>
  <si>
    <t>https://m.media-amazon.com/images/I/31+R4n4W+ZL._AC_SR600,600_.jpg</t>
  </si>
  <si>
    <t>B08RCSQY1W</t>
  </si>
  <si>
    <t>24</t>
  </si>
  <si>
    <t>700</t>
  </si>
  <si>
    <t>2020-12-26</t>
  </si>
  <si>
    <t xml:space="preserve">公司名称：Zhong Lan (jin Jiang )wen Ti Yong Pin Co., Ltd
办公地址：
晋江市金井镇
玉山村草湖铺17号
泉州市
福建
362200
CN
</t>
  </si>
  <si>
    <t>https://www.amazon.com/gp/help/seller/at-a-glance.html/ref=dp_merchant_link?seller=AUF2A00T2W48I</t>
  </si>
  <si>
    <t>women's joggers with pockets high waisted, workout</t>
  </si>
  <si>
    <t>10.23 ounces</t>
  </si>
  <si>
    <t>290.02 g</t>
  </si>
  <si>
    <t>11.89 x 9.02 x 1.1 inches</t>
  </si>
  <si>
    <t>30.20 x 22.91 x 2.79 cm</t>
  </si>
  <si>
    <t>B07MCN1NGT</t>
  </si>
  <si>
    <t>Size: X-Large | Color: Black</t>
  </si>
  <si>
    <t>Fabric type: 88% Nylon, 12% Spandex | Care instructions: Machine Wash | Origin: Imported | Closure type: Pull On | Country of Origin: Vietnam</t>
  </si>
  <si>
    <t>Skechers</t>
  </si>
  <si>
    <t>https://www.amazon.com/stores/Skechers/page/4B1ECBE0-2659-48D2-A5C3-A8252218356A?ref_=ast_bln&amp;store_ref=bl_ast_dp_brandLogo_sto</t>
  </si>
  <si>
    <t>Skechers Women's Go Walk Pant</t>
  </si>
  <si>
    <t>https://www.amazon.com/dp/B07MCN1NGT?psc=1</t>
  </si>
  <si>
    <t>https://m.media-amazon.com/images/I/21WoUzaXFrS._AC_SR600,600_.jpg</t>
  </si>
  <si>
    <t>B0DG2FZXP1</t>
  </si>
  <si>
    <t>20</t>
  </si>
  <si>
    <t>2024-09-03</t>
  </si>
  <si>
    <t>14.32 ounces</t>
  </si>
  <si>
    <t>405.96 g</t>
  </si>
  <si>
    <t>14.84 x 12.2 x 1.34 inches</t>
  </si>
  <si>
    <t>37.69 x 30.99 x 3.40 cm</t>
  </si>
  <si>
    <t>B0DJ5GZ9JB</t>
  </si>
  <si>
    <t>Caracilia</t>
  </si>
  <si>
    <t>https://www.amazon.com/stores/CARACILIAFASHION/page/21A3E20B-2471-42E0-86AB-26C1A20FB2B0?ref_=ast_bln&amp;store_ref=bl_ast_dp_brandLogo_sto</t>
  </si>
  <si>
    <t>Caracilia Women Wide Leg Baggy Sweatpants Elastic Waist Casual Loose Slouchy Curved Hem Cozy Fall Lounge Travel Sweat Pants</t>
  </si>
  <si>
    <t>https://www.amazon.com/dp/B0DJ5GZ9JB?psc=1</t>
  </si>
  <si>
    <t>https://m.media-amazon.com/images/I/31tikasu0IL._AC_SR600,600_.jpg</t>
  </si>
  <si>
    <t>Clothing, Shoes &amp; Jewelry:Women:Clothing:Pants:Casual</t>
  </si>
  <si>
    <t>Women's Casual Pants &amp; Capris</t>
  </si>
  <si>
    <t>17</t>
  </si>
  <si>
    <t>2024-07-15</t>
  </si>
  <si>
    <t xml:space="preserve">公司名称：Yiwu Yiteng Import and Export Co., LTD
办公地址：
江东街道商苑社区
青岩刘A区20幢2单元三楼
金华市
义乌市
浙江
322000
CN
</t>
  </si>
  <si>
    <t>https://www.amazon.com/gp/help/seller/at-a-glance.html/ref=dp_merchant_link?seller=AT5K7MIX35CRI</t>
  </si>
  <si>
    <t>1.04 Pounds</t>
  </si>
  <si>
    <t>471.74 g</t>
  </si>
  <si>
    <t>11.46 x 9.84 x 1.73 inches</t>
  </si>
  <si>
    <t>29.11 x 24.99 x 4.39 cm</t>
  </si>
  <si>
    <t>B0CDPGD31L</t>
  </si>
  <si>
    <t>Fabric type: 50%polyester,50%cotton | Care instructions: Hand Wash Only | Origin: Imported | Closure type: Drawstring | Country of Origin: China</t>
  </si>
  <si>
    <t>AUTOMET Womens Cargo Sweatpants Oversized Fleece Joggers Fall Fashion Outfits Y2k Clothes 2024 with Pockets</t>
  </si>
  <si>
    <t>https://www.amazon.com/dp/B0CDPGD31L?psc=1</t>
  </si>
  <si>
    <t>https://m.media-amazon.com/images/I/31B6hE1WoOL._AC_SR600,600_.jpg</t>
  </si>
  <si>
    <t>B0CDQ465K4</t>
  </si>
  <si>
    <t>15</t>
  </si>
  <si>
    <t>400</t>
  </si>
  <si>
    <t>$9.00</t>
  </si>
  <si>
    <t>2023-09-08</t>
  </si>
  <si>
    <t>1.28 Pounds</t>
  </si>
  <si>
    <t>580.60 g</t>
  </si>
  <si>
    <t>15.04 x 12.2 x 3.31 inches</t>
  </si>
  <si>
    <t>38.20 x 30.99 x 8.41 cm</t>
  </si>
  <si>
    <t>B0CGV3Z1J9</t>
  </si>
  <si>
    <t>Fabric type: 69% Cotton, 31% Polyester | Care instructions: Machine Wash | Origin: Imported | Closure type: Drawstring | Country of Origin: China</t>
  </si>
  <si>
    <t>CRZ YOGA</t>
  </si>
  <si>
    <t>https://www.amazon.com/stores/CRZYOGA/page/F2232413-0F7D-4831-81A1-9FDFCFE5C54D?ref_=ast_bln&amp;store_ref=bl_ast_dp_brandLogo_sto</t>
  </si>
  <si>
    <t>CRZ YOGA Cotton Fleece Lined Sweatpants Women Straight Leg Casual Lounge Sweat Pants for Women</t>
  </si>
  <si>
    <t>https://www.amazon.com/dp/B0CGV3Z1J9?psc=1</t>
  </si>
  <si>
    <t>https://images-na.ssl-images-amazon.com/images/I/61ev4PLw5xL._AC_US600_.jpg</t>
  </si>
  <si>
    <t>B0CGV3LQHT</t>
  </si>
  <si>
    <t>Women's Sweatpants
Women's Yoga Pants</t>
  </si>
  <si>
    <t>17
20</t>
  </si>
  <si>
    <t>600</t>
  </si>
  <si>
    <t>2023-08-28</t>
  </si>
  <si>
    <t xml:space="preserve">公司名称：GUANGZHOU CITY QIANLUO TRADING CO., LTD
办公地址：
南村镇汉溪大道东386号2401房
广州市
番禺区
广东省
511442
CN
</t>
  </si>
  <si>
    <t>https://www.amazon.com/gp/help/seller/at-a-glance.html/ref=dp_merchant_link?seller=A1CX3Y6OPGB2MO</t>
  </si>
  <si>
    <t>1.14 pounds</t>
  </si>
  <si>
    <t>517.09 g</t>
  </si>
  <si>
    <t>15.24 x 11.3 x 2.68 inches</t>
  </si>
  <si>
    <t>38.71 x 28.70 x 6.81 cm</t>
  </si>
  <si>
    <t>B0D56DKYJ5</t>
  </si>
  <si>
    <t>Size: Medium | Color: Gray</t>
  </si>
  <si>
    <t>Fabric type: 66%Polyester 34%Cotton | Care instructions: Dry Clean Only | Origin: Imported | Closure type: Drawstring | Country of Origin: China</t>
  </si>
  <si>
    <t>AUTOMET Womens Wide Leg Sweatpants High Waisted Baggy Pants Drawstring Athletic Joggers</t>
  </si>
  <si>
    <t>https://www.amazon.com/dp/B0D56DKYJ5?psc=1</t>
  </si>
  <si>
    <t>https://images-na.ssl-images-amazon.com/images/I/71QO0lU+8RL._AC_US600_.jpg</t>
  </si>
  <si>
    <t>B0D55ZWT83</t>
  </si>
  <si>
    <t>16</t>
  </si>
  <si>
    <t>20%</t>
  </si>
  <si>
    <t>2024-05-24</t>
  </si>
  <si>
    <t>1.19 Pounds</t>
  </si>
  <si>
    <t>539.77 g</t>
  </si>
  <si>
    <t>13.03 x 12.2 x 2.36 inches</t>
  </si>
  <si>
    <t>33.10 x 30.99 x 5.99 cm</t>
  </si>
  <si>
    <t>B0CJ2QM8LH</t>
  </si>
  <si>
    <t>Fabric type: 50% Polyester, 50% Cotton | Care instructions: Machine Wash | Closure type: Drawstring | Rise style: High Rise</t>
  </si>
  <si>
    <t>Aleumdr</t>
  </si>
  <si>
    <t>https://www.amazon.com/stores/Aleumdr/page/79470688-80B8-4863-82F6-18A200C81FC8?ref_=ast_bln&amp;store_ref=bl_ast_dp_brandLogo_sto</t>
  </si>
  <si>
    <t>Aleumdr Women High Waisted Drawstring Wide Leg Cargo Pants 2024 Trendy Casual Baggy Joggers Pants with Pockets</t>
  </si>
  <si>
    <t>https://www.amazon.com/dp/B0CJ2QM8LH?psc=1</t>
  </si>
  <si>
    <t>https://images-na.ssl-images-amazon.com/images/I/61zdWh+ZJDL._AC_US600_.jpg</t>
  </si>
  <si>
    <t>B0CJ2PBS5J</t>
  </si>
  <si>
    <t>18</t>
  </si>
  <si>
    <t>15%</t>
  </si>
  <si>
    <t>2023-07-13</t>
  </si>
  <si>
    <t xml:space="preserve">公司名称：Xing Cheng Shi Jin Lin Trade Co., Ltd.
电话号码：+8613636926070
办公地址：
宁远办事处桥南
葫芦岛市
兴城市
辽宁省
125100
CN
</t>
  </si>
  <si>
    <t>https://www.amazon.com/gp/help/seller/at-a-glance.html/ref=dp_merchant_link?seller=A21VT5TXUQ068P</t>
  </si>
  <si>
    <t>1.32 Pounds</t>
  </si>
  <si>
    <t>598.74 g</t>
  </si>
  <si>
    <t>15.2 x 12.87 x 2.95 inches</t>
  </si>
  <si>
    <t>38.61 x 32.69 x 7.49 cm</t>
  </si>
  <si>
    <t>B0B9T5VK32</t>
  </si>
  <si>
    <t>Size: X-Large | Special Size: Standard | Color: Set 6</t>
  </si>
  <si>
    <t>Fabric type: 100% Polyester | Care instructions: Machine Wash | Origin: Imported | Closure type: Drawstring | Country of Origin: China</t>
  </si>
  <si>
    <t>Real Essentials 3 Pack: Women's Relaxed Fit Fleece Open Bottom Sweatpants - Casual Athleisure (Available in Plus)</t>
  </si>
  <si>
    <t>https://www.amazon.com/dp/B0B9T5VK32?psc=1</t>
  </si>
  <si>
    <t>https://m.media-amazon.com/images/I/41-QT3su1GL._AC_SR600,600_.jpg</t>
  </si>
  <si>
    <t>B0DJYXH4WV</t>
  </si>
  <si>
    <t>19</t>
  </si>
  <si>
    <t>200</t>
  </si>
  <si>
    <t>2022-08-15</t>
  </si>
  <si>
    <t>B081GWWN93</t>
  </si>
  <si>
    <t>Fabric type: 87%POLYESTER,13%ELASTANE | Care instructions: Hand Wash Only | Origin: Imported | Closure type: Drawstring | Country of Origin: China</t>
  </si>
  <si>
    <t>G Gradual Women's Joggers Pants with Zipper Pockets Tapered Running Sweatpants for Women Lounge, Jogging</t>
  </si>
  <si>
    <t>https://www.amazon.com/dp/B081GWWN93?psc=1</t>
  </si>
  <si>
    <t>https://images-na.ssl-images-amazon.com/images/I/31cFPqtuGSL._AC_US600_.jpg</t>
  </si>
  <si>
    <t>B081GYBNKP</t>
  </si>
  <si>
    <t>21</t>
  </si>
  <si>
    <t>2019-11-13</t>
  </si>
  <si>
    <t>9.14 ounces</t>
  </si>
  <si>
    <t>259.11 g</t>
  </si>
  <si>
    <t>7.44 x 6.1 x 2.24 inches</t>
  </si>
  <si>
    <t>18.90 x 15.49 x 5.69 cm</t>
  </si>
  <si>
    <t>B0BVMW2D92</t>
  </si>
  <si>
    <t>Hanes Women's Midweight Fleece Jogger Sweatpants with Pockets, Plus, Floral, 30</t>
  </si>
  <si>
    <t>https://www.amazon.com/dp/B0BVMW2D92?psc=1</t>
  </si>
  <si>
    <t>https://m.media-amazon.com/images/I/419VteyTC+L._AC_SR600,600_.jpg</t>
  </si>
  <si>
    <t>300</t>
  </si>
  <si>
    <t>2024-04-26</t>
  </si>
  <si>
    <t>Amazon</t>
  </si>
  <si>
    <t>womens black sweatpants</t>
  </si>
  <si>
    <t>15.2 ounces</t>
  </si>
  <si>
    <t>430.91 g</t>
  </si>
  <si>
    <t>10.55 x 10.35 x 3.35 inches</t>
  </si>
  <si>
    <t>26.80 x 26.29 x 8.51 cm</t>
  </si>
  <si>
    <t>B00ZUNKE8A</t>
  </si>
  <si>
    <t>Size: Medium | Color: Ebony</t>
  </si>
  <si>
    <t>Fabric type: 100% Cotton | Care instructions: Machine Wash | Origin: Imported | Closure type: Elastic waist band</t>
  </si>
  <si>
    <t>Hanes Women's Sweatpants, EcoSmart Sweatpants for Women, Best Sweatpants for Women, 30"</t>
  </si>
  <si>
    <t>https://www.amazon.com/dp/B00ZUNKE8A?psc=1</t>
  </si>
  <si>
    <t>https://m.media-amazon.com/images/I/31fcy+ADzyL._AC_SR600,600_.jpg</t>
  </si>
  <si>
    <t>B00ZUNEZ7Q</t>
  </si>
  <si>
    <t>22</t>
  </si>
  <si>
    <t>2015-07-30</t>
  </si>
  <si>
    <t>First Freeway</t>
  </si>
  <si>
    <t xml:space="preserve">公司名称：CGJ SOLUTIONS SERVICES, LLC
办公地址：
1475 PINE AVE
ORLANDO
FL
32824
US
</t>
  </si>
  <si>
    <t>https://www.amazon.com/gp/help/seller/at-a-glance.html/ref=dp_merchant_link?seller=A2MVH3YSS69WMD</t>
  </si>
  <si>
    <t>8 ounces</t>
  </si>
  <si>
    <t>226.80 g</t>
  </si>
  <si>
    <t>10 x 9.6 x 2.2 inches</t>
  </si>
  <si>
    <t>25.40 x 24.38 x 5.59 cm</t>
  </si>
  <si>
    <t>B09H6541HP</t>
  </si>
  <si>
    <t>Size: X-Large | Color: Navy</t>
  </si>
  <si>
    <t>Fabric type: 92% Cotton, 8% Spandex | Care instructions: Hand Wash Only | Origin: Imported | Closure type: Drawstring | Country of Origin: China</t>
  </si>
  <si>
    <t>SANTINY</t>
  </si>
  <si>
    <t>https://www.amazon.com/stores/SANTINY/page/C8E491B5-0FA2-4D0C-979E-F3B657EE0FA5?ref_=ast_bln&amp;store_ref=bl_ast_dp_brandLogo_sto</t>
  </si>
  <si>
    <t>SANTINY Women's Cotton Sweatpants Yoga Lounge Casual Pants Open Bottom Sweat Pants for Women with Pockets</t>
  </si>
  <si>
    <t>https://www.amazon.com/dp/B09H6541HP?psc=1</t>
  </si>
  <si>
    <t>https://m.media-amazon.com/images/I/31iY9+8AkFL._AC_SR600,600_.jpg</t>
  </si>
  <si>
    <t>B09H65TD9M</t>
  </si>
  <si>
    <t>23</t>
  </si>
  <si>
    <t>2021-09-25</t>
  </si>
  <si>
    <t>Santiny</t>
  </si>
  <si>
    <t xml:space="preserve">公司名称：Jin Hua Shi Li Pu Import and Export Co., Ltd.
办公地址：
东上小区10幢17号1-2楼
金华
婺城区
浙江
321000
CN
</t>
  </si>
  <si>
    <t>https://www.amazon.com/gp/help/seller/at-a-glance.html/ref=dp_merchant_link?seller=A3E1SQM5WUB3RR</t>
  </si>
  <si>
    <t>sanity pants</t>
  </si>
  <si>
    <t>11.81 x 9.45 x 0.94 inches</t>
  </si>
  <si>
    <t>30.00 x 24.00 x 2.39 cm</t>
  </si>
  <si>
    <t>B0DF2H6G9B</t>
  </si>
  <si>
    <t>Fabric type: 63%polyester 37%cotton | Care instructions: Machine Wash | Origin: Imported | Rise style: High Rise | Country of Origin: China</t>
  </si>
  <si>
    <t>Trendy Queen</t>
  </si>
  <si>
    <t>https://www.amazon.com/stores/TrendyQueen/page/C358EA1A-E134-4D8D-90F5-BB331A2FDC37?ref_=ast_bln&amp;store_ref=bl_ast_dp_brandLogo_sto</t>
  </si>
  <si>
    <t>Trendy Queen Wide Leg Sweatpants Women Fashion High Waisted Baggy Flared Pants Loose Fit Athletic Joggers with Pockets</t>
  </si>
  <si>
    <t>https://www.amazon.com/dp/B0DF2H6G9B?psc=1</t>
  </si>
  <si>
    <t>https://m.media-amazon.com/images/I/31AAXAu+IdL._AC_SR600,600_.jpg</t>
  </si>
  <si>
    <t>B0DJPP6V3X</t>
  </si>
  <si>
    <t>25</t>
  </si>
  <si>
    <t>2024-08-22</t>
  </si>
  <si>
    <t>TrendyQueen</t>
  </si>
  <si>
    <t xml:space="preserve">公司名称：guang zhou shi qi wen ke ji wang luo ke ji you xian gong si
办公地址：
鹤龙街联边彭上大元一横路
5号1栋402
广州市
白云区
广东
510000
CN
</t>
  </si>
  <si>
    <t>https://www.amazon.com/gp/help/seller/at-a-glance.html/ref=dp_merchant_link?seller=A2R1SX4L6FB0QR</t>
  </si>
  <si>
    <t>B0CJ2PKXPK</t>
  </si>
  <si>
    <t>Fabric type: 75% Polyester, 25% Cotton | Care instructions: Hand Wash Only | Closure type: Drawstring | Rise style: High Rise</t>
  </si>
  <si>
    <t>Aleumdr Wide Leg Sweatpants for Women 2024 Trendy Fashion High Waisted Drawstring Loose Long Pants with Pockets</t>
  </si>
  <si>
    <t>https://www.amazon.com/dp/B0CJ2PKXPK?psc=1</t>
  </si>
  <si>
    <t>https://m.media-amazon.com/images/I/31-99xdsMAL._AC_SR600,600_.jpg</t>
  </si>
  <si>
    <t>B0CJ2PGVQP</t>
  </si>
  <si>
    <t>26</t>
  </si>
  <si>
    <t>2023-09-13</t>
  </si>
  <si>
    <t>12.71 x 6.14 x 2.8 inches</t>
  </si>
  <si>
    <t>32.28 x 15.60 x 7.11 cm</t>
  </si>
  <si>
    <t>B08KCZTBLP</t>
  </si>
  <si>
    <t>FULLSOFT</t>
  </si>
  <si>
    <t>https://www.amazon.com/stores/FULLSOFT/page/57CC2CC0-EB5D-4A7C-9BBC-77F4668EA664?ref_=ast_bln&amp;store_ref=bl_ast_dp_brandLogo_sto</t>
  </si>
  <si>
    <t>FULLSOFT Sweatpants for Women with Pockets -Womens Joggers Yoga Lounge Pants Relaxed-fit Leggings for Cycling Workout Running</t>
  </si>
  <si>
    <t>https://www.amazon.com/dp/B08KCZTBLP?psc=1</t>
  </si>
  <si>
    <t>https://m.media-amazon.com/images/I/31txqWhnsAL._AC_US600_.jpg</t>
  </si>
  <si>
    <t>B0DL52VYMY</t>
  </si>
  <si>
    <t>27</t>
  </si>
  <si>
    <t>2020-09-28</t>
  </si>
  <si>
    <t>WARM SEASON</t>
  </si>
  <si>
    <t xml:space="preserve">公司名称：Hangzhou Zhuanfang electronic Commerce Co., LTD
办公地址：
曹宅镇灵源街2号
美尔皮具
金华
金东区
浙江
321000
CN
</t>
  </si>
  <si>
    <t>https://www.amazon.com/gp/help/seller/at-a-glance.html/ref=dp_merchant_link?seller=ASAJM4MD6M4ZA</t>
  </si>
  <si>
    <t>0.29 Kilograms</t>
  </si>
  <si>
    <t>290.00 g</t>
  </si>
  <si>
    <t>10.16 x 7.28 x 1.34 inches</t>
  </si>
  <si>
    <t>25.81 x 18.49 x 3.40 cm</t>
  </si>
  <si>
    <t>B01N5ASNXV</t>
  </si>
  <si>
    <t>Size: Large | Fit Type: Regular | Color: Black</t>
  </si>
  <si>
    <t>Fabric type: 93.7% Cotton, 6.3% Spandex | Care instructions: Hand Wash Only | Closure type: Drawstring | Inseam: 28.5 Inches</t>
  </si>
  <si>
    <t>BALEAF</t>
  </si>
  <si>
    <t>https://www.amazon.com/stores/baleaf/page/243A5985-DEA3-405F-83ED-364B4A3733C5?ref_=ast_bln&amp;store_ref=bl_ast_dp_brandLogo_sto</t>
  </si>
  <si>
    <t>BALEAF Womens Sweatpants Cotton Joggers with Pockets Lounge Sweat Pants Tapered Casual Running Workout Yoga</t>
  </si>
  <si>
    <t>https://www.amazon.com/dp/B01N5ASNXV?psc=1</t>
  </si>
  <si>
    <t>https://images-na.ssl-images-amazon.com/images/I/517On3JKqVL._AC_US600_.jpg</t>
  </si>
  <si>
    <t>B0BV9B8JMF</t>
  </si>
  <si>
    <t>29</t>
  </si>
  <si>
    <t>2017-09-23</t>
  </si>
  <si>
    <t>Baleaf Sports</t>
  </si>
  <si>
    <t xml:space="preserve">公司名称：FREEDOM SPORTS GOODS INC.
办公地址：
41-14B Main ST G21
FLUSHING
NY
11355-3133
US
</t>
  </si>
  <si>
    <t>https://www.amazon.com/gp/help/seller/at-a-glance.html/ref=dp_merchant_link?seller=AUCI3SOXHH004</t>
  </si>
  <si>
    <t>0.44 pounds</t>
  </si>
  <si>
    <t>199.58 g</t>
  </si>
  <si>
    <t>3.9 x 3.9 x 2 inches</t>
  </si>
  <si>
    <t>9.91 x 9.91 x 5.08 cm</t>
  </si>
  <si>
    <t>B09BFD1H3C</t>
  </si>
  <si>
    <t>Size: Small | Color: Grey</t>
  </si>
  <si>
    <t>Fabric type: 65.8% Polyester, 34.2% Cotton | Care instructions: Hand Wash Only | Origin: Imported | Country of Origin: China</t>
  </si>
  <si>
    <t>Yovela</t>
  </si>
  <si>
    <t>https://www.amazon.com/stores/Yovela/page/6FD7837D-2C6D-437F-B814-1D81FF80ED11?ref_=ast_bln&amp;store_ref=bl_ast_dp_brandLogo_sto</t>
  </si>
  <si>
    <t>Yovela Sweatpants Women Baggy High Waisted Sweat Pants Fall Clothes Casual Joggers Y2k Aesthetic Warm Trousers with Pockets</t>
  </si>
  <si>
    <t>https://www.amazon.com/dp/B09BFD1H3C?psc=1</t>
  </si>
  <si>
    <t>https://images-na.ssl-images-amazon.com/images/I/71JKGqlYYRL._AC_US600_.jpg</t>
  </si>
  <si>
    <t>B09BFDBRNW</t>
  </si>
  <si>
    <t>28</t>
  </si>
  <si>
    <t>2021-07-28</t>
  </si>
  <si>
    <t>Yovela-US</t>
  </si>
  <si>
    <t xml:space="preserve">公司名称：Dongguan Yueting Knitting Co., Ltd.
办公地址：
大井头顺兴二路75号201室
东莞市
大朗镇
广东省
510440
CN
</t>
  </si>
  <si>
    <t>https://www.amazon.com/gp/help/seller/at-a-glance.html/ref=dp_merchant_link?seller=AKFXQXOCRUPSB</t>
  </si>
  <si>
    <t>stylish pants for women 2023</t>
  </si>
  <si>
    <t>0.3 pounds</t>
  </si>
  <si>
    <t>136.08 g</t>
  </si>
  <si>
    <t>11.42 x 1.93 x 0.71 inches</t>
  </si>
  <si>
    <t>29.01 x 4.90 x 1.80 cm</t>
  </si>
  <si>
    <t>B07CMQKV13</t>
  </si>
  <si>
    <t>Fabric type: Ultra Stretch Fabric : 75% Polyamide, 25% Spandex | Care instructions: Machine Wash | Origin: Imported | Closure type: Drawstring | Country of Origin: China</t>
  </si>
  <si>
    <t>CRZ YOGA Womens 4-Way Stretch Ankle Golf Pants - 7/8 Dress Work Pants Pockets Athletic Travel Casual Lounge Workout</t>
  </si>
  <si>
    <t>https://www.amazon.com/dp/B07CMQKV13?psc=1</t>
  </si>
  <si>
    <t>https://images-na.ssl-images-amazon.com/images/I/61sfTFTZddL._AC_US600_.jpg</t>
  </si>
  <si>
    <t>B0C774XCNC</t>
  </si>
  <si>
    <t>37</t>
  </si>
  <si>
    <t>2018-05-23</t>
  </si>
  <si>
    <t>crz yoga pants for women</t>
  </si>
  <si>
    <t>9.59 ounces</t>
  </si>
  <si>
    <t>271.87 g</t>
  </si>
  <si>
    <t>15.7 x 9.1 x 0.4 inches</t>
  </si>
  <si>
    <t>39.88 x 23.11 x 1.02 cm</t>
  </si>
  <si>
    <t>B08LKCK3FG</t>
  </si>
  <si>
    <t>Size: Medium | Fit Type: Regular | Color: Black</t>
  </si>
  <si>
    <t>Fabric type: 75% Nylon, 25% Spandex | Care instructions: Hand Wash Only | Closure type: Elastic | Inseam: 27.5 Inches | Country of Origin: China</t>
  </si>
  <si>
    <t>Soothfeel</t>
  </si>
  <si>
    <t>https://www.amazon.com/stores/SoothfeelOnline/page/D744595D-1AAF-431C-B85C-0E072E8A8C24?ref_=ast_bln&amp;store_ref=bl_ast_dp_brandLogo_sto</t>
  </si>
  <si>
    <t>Soothfeel Women's Joggers with Zipper Pockets High Waisted Athletic Workout Yoga Pants Joggers for Women</t>
  </si>
  <si>
    <t>https://www.amazon.com/dp/B08LKCK3FG?psc=1</t>
  </si>
  <si>
    <t>https://m.media-amazon.com/images/I/31DBpLffGiL._AC_SR600,600_.jpg</t>
  </si>
  <si>
    <t>B08LKTPNYV</t>
  </si>
  <si>
    <t>30
94</t>
  </si>
  <si>
    <t>10%</t>
  </si>
  <si>
    <t>2020-10-20</t>
  </si>
  <si>
    <t>Soothfeel Online</t>
  </si>
  <si>
    <t xml:space="preserve">公司名称：Xiamen XunDaRui Technology Co., Ltd.-Weng Qinglian
办公地址：
火炬高新区软件园三期诚毅北大街6号303-12单元
厦门
厦门
福建
361024
CN
</t>
  </si>
  <si>
    <t>https://www.amazon.com/gp/help/seller/at-a-glance.html/ref=dp_merchant_link?seller=A1O4XWHB9E2F9S</t>
  </si>
  <si>
    <t>6.35 ounces</t>
  </si>
  <si>
    <t>180.02 g</t>
  </si>
  <si>
    <t>7.87 x 3.94 x 0.39 inches</t>
  </si>
  <si>
    <t>19.99 x 10.01 x 0.99 cm</t>
  </si>
  <si>
    <t>B010CZE7VU</t>
  </si>
  <si>
    <t>Size: 3X | Color: Ebony</t>
  </si>
  <si>
    <t>Fabric type: 100% Cotton | Care instructions: Machine Wash | Origin: Imported | Closure type: Drawstring | Country of Origin: El Salvador</t>
  </si>
  <si>
    <t>JUST MY SIZE</t>
  </si>
  <si>
    <t>https://www.amazon.com/JUST-MY-SIZE/b/ref=bl_sl_s_ap_web_3032534011?ie=UTF8&amp;node=3032534011&amp;field-lbr_brands_browse-bin=JUST+MY+SIZE</t>
  </si>
  <si>
    <t>Just My Size Women's Plus-Size Fleece Sweatpant</t>
  </si>
  <si>
    <t>https://www.amazon.com/dp/B010CZE7VU?psc=1</t>
  </si>
  <si>
    <t>https://m.media-amazon.com/images/I/31atnIr5wwL._AC_SR600,600_.jpg</t>
  </si>
  <si>
    <t>B010CZCMD0</t>
  </si>
  <si>
    <t>31</t>
  </si>
  <si>
    <t>2015-10-02</t>
  </si>
  <si>
    <t>1 x 1 x 1 inches</t>
  </si>
  <si>
    <t>2.54 x 2.54 x 2.54 cm</t>
  </si>
  <si>
    <t>B08TWFPZ28</t>
  </si>
  <si>
    <t>Waitfairy</t>
  </si>
  <si>
    <t>https://www.amazon.com/stores/Waitfairy/page/BE7202CB-D6CB-43BB-B545-F679BF52EF22?ref_=ast_bln&amp;store_ref=bl_ast_dp_brandLogo_sto</t>
  </si>
  <si>
    <t>Waitfairy Womens High Waisted Sweatpants Drawstring Jogger Sweat Pants Cinch Bottom Workout Trousers</t>
  </si>
  <si>
    <t>https://www.amazon.com/dp/B08TWFPZ28?psc=1</t>
  </si>
  <si>
    <t>https://m.media-amazon.com/images/I/31jR6r73WTL._AC_SR600,600_.jpg</t>
  </si>
  <si>
    <t>43</t>
  </si>
  <si>
    <t>2021-03-31</t>
  </si>
  <si>
    <t xml:space="preserve">公司名称：xiamenhehuihengkejiyouxiangongsi
办公地址：
厦禾路269号2301室
厦门市
思明区
福建省
361001
CN
</t>
  </si>
  <si>
    <t>https://www.amazon.com/gp/help/seller/at-a-glance.html/ref=dp_merchant_link?seller=A2ATY78RI45PXL</t>
  </si>
  <si>
    <t>trending sweatpants</t>
  </si>
  <si>
    <t>14.39 ounces</t>
  </si>
  <si>
    <t>407.95 g</t>
  </si>
  <si>
    <t>9.92 x 8.23 x 1.26 inches</t>
  </si>
  <si>
    <t>25.20 x 20.90 x 3.20 cm</t>
  </si>
  <si>
    <t>B08CGRT7G5</t>
  </si>
  <si>
    <t>Fabric type: Polyester and Cotton | Care instructions: Machine Wash | Origin: Imported | Closure type: Elastic</t>
  </si>
  <si>
    <t>HeSaYep</t>
  </si>
  <si>
    <t>https://www.amazon.com/stores/HeSaYep/page/51E4D08D-FF93-4DDA-9FE5-EDBDE8093B03?ref_=ast_bln&amp;store_ref=bl_ast_dp_brandLogo_sto</t>
  </si>
  <si>
    <t>HeSaYep Women's High Waisted Sweatpants Workout Active Joggers Pants Baggy Lounge Bottoms</t>
  </si>
  <si>
    <t>https://www.amazon.com/dp/B08CGRT7G5?psc=1</t>
  </si>
  <si>
    <t>https://images-na.ssl-images-amazon.com/images/I/619IhAoylxL._AC_US600_.jpg</t>
  </si>
  <si>
    <t>B08CGYGPNY</t>
  </si>
  <si>
    <t>32</t>
  </si>
  <si>
    <t>2020-07-06</t>
  </si>
  <si>
    <t xml:space="preserve">公司名称：shenzhenshixuesidianzishangwuyouxiangongsi
办公地址：
大浪街道新石社区华宁路40号
港深创新园B栋508
深圳
龙华
广东
518109
CN
</t>
  </si>
  <si>
    <t>https://www.amazon.com/gp/help/seller/at-a-glance.html/ref=dp_merchant_link?seller=A2W4G9JRV8R0QX</t>
  </si>
  <si>
    <t>15.84 ounces</t>
  </si>
  <si>
    <t>449.06 g</t>
  </si>
  <si>
    <t>15.55 x 11.38 x 1.81 inches</t>
  </si>
  <si>
    <t>39.50 x 28.91 x 4.60 cm</t>
  </si>
  <si>
    <t>B0DBLRD5K4</t>
  </si>
  <si>
    <t>Fabric type: 50%Polyester, 50%Cotton | Care instructions: Machine Wash | Origin: Imported | Closure type: Pull On | Country of Origin: China</t>
  </si>
  <si>
    <t>Trendy Queen Womens Wide Leg Sweatpants High Waisted Baggy Lounge Pants Drawstring Athletic Flared Joggers with Pockets</t>
  </si>
  <si>
    <t>https://www.amazon.com/dp/B0DBLRD5K4?psc=1</t>
  </si>
  <si>
    <t>https://images-na.ssl-images-amazon.com/images/I/61E0s9lrkCL._AC_US600_.jpg</t>
  </si>
  <si>
    <t>B0DBLMJGYL</t>
  </si>
  <si>
    <t>33</t>
  </si>
  <si>
    <t>2024-07-29</t>
  </si>
  <si>
    <t>1.1 Pounds</t>
  </si>
  <si>
    <t>498.95 g</t>
  </si>
  <si>
    <t>14.13 x 12.91 x 2.56 inches</t>
  </si>
  <si>
    <t>35.89 x 32.79 x 6.50 cm</t>
  </si>
  <si>
    <t>B0C6RB895P</t>
  </si>
  <si>
    <t>Size: Medium | Color: Dark Charcoal Heather - With Pockets</t>
  </si>
  <si>
    <t>Fabric type: 60% Cotton, 40% Polyester | Care instructions: Machine Wash | Origin: Imported | Country of Origin: Pakistan</t>
  </si>
  <si>
    <t>U.S. Polo Assn.</t>
  </si>
  <si>
    <t>https://www.amazon.com/U-S-Polo-Assn/b/ref=bl_sl_s_ap_web_2603064011?ie=UTF8&amp;node=2603064011&amp;field-lbr_brands_browse-bin=U.S.+Polo+Assn.</t>
  </si>
  <si>
    <t>U.S. Polo Assn. Womens Sweatpants with Pockets, French Terry Womens Joggers or Wide Leg Sweatpants for Women</t>
  </si>
  <si>
    <t>https://www.amazon.com/dp/B0C6RB895P?psc=1</t>
  </si>
  <si>
    <t>https://m.media-amazon.com/images/I/31cnWAlgIJL._AC_SR600,600_.jpg</t>
  </si>
  <si>
    <t>B0CXP5D7ML</t>
  </si>
  <si>
    <t>34</t>
  </si>
  <si>
    <t>2023-10-31</t>
  </si>
  <si>
    <t>U.S. Polo Intimates &amp; Sleepwear</t>
  </si>
  <si>
    <t xml:space="preserve">公司名称：DTC Marketing Enterprise LLC
办公地址：
320 Fifth Avenue
2nd Floor
NEW YORK
NY
10001
US
</t>
  </si>
  <si>
    <t>https://www.amazon.com/gp/help/seller/at-a-glance.html/ref=dp_merchant_link?seller=A1BM62752C3YWX</t>
  </si>
  <si>
    <t>12 ounces</t>
  </si>
  <si>
    <t>340.19 g</t>
  </si>
  <si>
    <t>0.75 x 9 x 12 inches</t>
  </si>
  <si>
    <t>1.91 x 22.86 x 30.48 cm</t>
  </si>
  <si>
    <t>B0CF56BBZC</t>
  </si>
  <si>
    <t>Size: Medium | Fit Type: Sweatpants | Color: 1#black</t>
  </si>
  <si>
    <t>GAYHAY</t>
  </si>
  <si>
    <t>https://www.amazon.com/stores/GAYHAY/page/F76EA664-9511-4AF2-93C5-F1E1DF2F3893?ref_=ast_bln&amp;store_ref=bl_ast_dp_brandLogo_sto</t>
  </si>
  <si>
    <t>GAYHAY Fleece Lined Sweatpants Women- Winter Warm Sherpa Lined Athletic Joggers Pants with Pockets</t>
  </si>
  <si>
    <t>https://www.amazon.com/dp/B0CF56BBZC?psc=1</t>
  </si>
  <si>
    <t>https://images-na.ssl-images-amazon.com/images/I/61BO6x0SgaL._AC_US600_.jpg</t>
  </si>
  <si>
    <t>B0D8Q1CJ5Z</t>
  </si>
  <si>
    <t>35</t>
  </si>
  <si>
    <t>2023-09-15</t>
  </si>
  <si>
    <t>US YUNSHU</t>
  </si>
  <si>
    <t xml:space="preserve">公司名称：DONGYANG YUNSHU E-COMMERCE CO.,LTD
办公地址：
东阳市白云街道蓝天社区世贸大道88号
黎晶湾1幢1单元2楼257室
金华市
浙江
322100
CN
</t>
  </si>
  <si>
    <t>https://www.amazon.com/gp/help/seller/at-a-glance.html/ref=dp_merchant_link?seller=A1E123VYUDMRG0</t>
  </si>
  <si>
    <t>1.48 Pounds</t>
  </si>
  <si>
    <t>671.32 g</t>
  </si>
  <si>
    <t>10 x 8.43 x 2.52 inches</t>
  </si>
  <si>
    <t>25.40 x 21.41 x 6.40 cm</t>
  </si>
  <si>
    <t>B0BTTQD6XH</t>
  </si>
  <si>
    <t>Fabric type: 100% Cotton | Care instructions: Machine Wash | Origin: Imported | Closure type: Drawstring | Country of Origin: Honduras</t>
  </si>
  <si>
    <t>Hanes Women's Essential Jogger Pants, Drawstring Sweatpants For Women, 100% Cotton Jersey, 29</t>
  </si>
  <si>
    <t>https://www.amazon.com/dp/B0BTTQD6XH?psc=1</t>
  </si>
  <si>
    <t>https://m.media-amazon.com/images/I/315r0nE259L._AC_SR600,600_.jpg</t>
  </si>
  <si>
    <t>B0D2VCJZM9</t>
  </si>
  <si>
    <t>36</t>
  </si>
  <si>
    <t>7.23 ounces</t>
  </si>
  <si>
    <t>204.97 g</t>
  </si>
  <si>
    <t>11.1 x 9.37 x 1.81 inches</t>
  </si>
  <si>
    <t>28.19 x 23.80 x 4.60 cm</t>
  </si>
  <si>
    <t>B0CZ9B55WN</t>
  </si>
  <si>
    <t>Aleumdr Women's High Waisted Drawstring Waist Wide Leg Sweatpants with Pockets Casual Loose Yoga Pants</t>
  </si>
  <si>
    <t>https://www.amazon.com/dp/B0CZ9B55WN?psc=1</t>
  </si>
  <si>
    <t>https://m.media-amazon.com/images/I/31hHA3t0pqL._AC_SR600,600_.jpg</t>
  </si>
  <si>
    <t>39</t>
  </si>
  <si>
    <t>2023-06-19</t>
  </si>
  <si>
    <t>1.34 Pounds</t>
  </si>
  <si>
    <t>607.81 g</t>
  </si>
  <si>
    <t>12.4 x 5.43 x 3.9 inches</t>
  </si>
  <si>
    <t>31.50 x 13.79 x 9.91 cm</t>
  </si>
  <si>
    <t>B094TRGG2C</t>
  </si>
  <si>
    <t>https://www.amazon.com/stores/USPoloAssn/page/61FE5EFD-B4EE-4411-BCE7-87C0C3AC9A1A?ref_=ast_bln</t>
  </si>
  <si>
    <t>U.S. Polo Assn. Womens Sweatpants - Womens Joggers Sweats with Logo Print - French Terry Poly-Cotton Sweatpants for Women</t>
  </si>
  <si>
    <t>https://www.amazon.com/dp/B094TRGG2C?psc=1</t>
  </si>
  <si>
    <t>https://m.media-amazon.com/images/I/41EIYbg9ASL._AC_SR600,600_.jpg</t>
  </si>
  <si>
    <t>Clothing, Shoes &amp; Jewelry:Women:Clothing:Lingerie, Sleep &amp; Lounge:Sleep &amp; Lounge:Bottoms</t>
  </si>
  <si>
    <t>Women's Pajama Bottoms</t>
  </si>
  <si>
    <t>2023-11-28</t>
  </si>
  <si>
    <t>pink sweat pants for women</t>
  </si>
  <si>
    <t>0.75 pounds</t>
  </si>
  <si>
    <t>B0B5528K7L</t>
  </si>
  <si>
    <t>Fabric type: Fabric: 87% Polyester, 13% Spandex. | Care instructions: Hand Wash Only | Origin: Imported | Closure type: Drawstring</t>
  </si>
  <si>
    <t>G Gradual Women's Joggers Pants with Zipper Pockets Stretch Tapered Athletic Joggers for Women Lounge, Jogging, Workout</t>
  </si>
  <si>
    <t>https://www.amazon.com/dp/B0B5528K7L?psc=1</t>
  </si>
  <si>
    <t>https://m.media-amazon.com/images/I/31QKvnSSd3L._AC_SR600,600_.jpg</t>
  </si>
  <si>
    <t>B0B5588Z9V</t>
  </si>
  <si>
    <t>40</t>
  </si>
  <si>
    <t>2022-11-14</t>
  </si>
  <si>
    <t>9.91 ounces</t>
  </si>
  <si>
    <t>280.94 g</t>
  </si>
  <si>
    <t>7.87 x 6.1 x 2.76 inches</t>
  </si>
  <si>
    <t>19.99 x 15.49 x 7.01 cm</t>
  </si>
  <si>
    <t>B07W5V3FX6</t>
  </si>
  <si>
    <t>Fabric type: 75% Nylon, 25% Spandex | Care instructions: Machine Wash | Origin: Imported | Closure type: Drawstring</t>
  </si>
  <si>
    <t>AJISAI</t>
  </si>
  <si>
    <t>https://www.amazon.com/stores/AJISAI/page/37D7BB64-3680-453D-BD9A-6E61AD311529?ref_=ast_bln&amp;store_ref=bl_ast_dp_brandLogo_sto</t>
  </si>
  <si>
    <t>AJISAI Women's Regular/Petite Joggers Pants Drawstring Running Sweatpants with Pockets Lounge Wear</t>
  </si>
  <si>
    <t>https://www.amazon.com/dp/B07W5V3FX6?psc=1</t>
  </si>
  <si>
    <t>https://m.media-amazon.com/images/I/31wvO6BMF6L._AC_SR600,600_.jpg</t>
  </si>
  <si>
    <t>B07WBZX79F</t>
  </si>
  <si>
    <t>41</t>
  </si>
  <si>
    <t>2019-08-07</t>
  </si>
  <si>
    <t>Ajisai</t>
  </si>
  <si>
    <t xml:space="preserve">公司名称：XIAMEN AJISAI SPORTS GOODS CO.,LTD.
办公地址：
前埔东路555号810室
厦门
思明区
福建
361008
CN
</t>
  </si>
  <si>
    <t>https://www.amazon.com/gp/help/seller/at-a-glance.html/ref=dp_merchant_link?seller=A3FZRPDHD9EJ2Q</t>
  </si>
  <si>
    <t>womens dress joggers</t>
  </si>
  <si>
    <t>9.61 x 9.21 x 1.46 inches</t>
  </si>
  <si>
    <t>24.41 x 23.39 x 3.71 cm</t>
  </si>
  <si>
    <t>B0B5H7NH5Q</t>
  </si>
  <si>
    <t>Fabric type: 70%polyester,30%cotton | Care instructions: Machine Wash | Origin: Imported | Country of Origin: China</t>
  </si>
  <si>
    <t>AUTOMET Women's Casual Baggy Fleece Sweatpants</t>
  </si>
  <si>
    <t>https://www.amazon.com/dp/B0B5H7NH5Q?psc=1</t>
  </si>
  <si>
    <t>https://m.media-amazon.com/images/I/31-Qow6r1AL._AC_SR600,600_.jpg</t>
  </si>
  <si>
    <t>B0CVVXRTGG</t>
  </si>
  <si>
    <t>42</t>
  </si>
  <si>
    <t>2022-06-29</t>
  </si>
  <si>
    <t>11.2 ounces</t>
  </si>
  <si>
    <t>317.51 g</t>
  </si>
  <si>
    <t>13 x 9.8 x 0.8 inches</t>
  </si>
  <si>
    <t>33.02 x 24.89 x 2.03 cm</t>
  </si>
  <si>
    <t>B0D7LQD3KK</t>
  </si>
  <si>
    <t>Fabric type: Comfy &amp; Lightweight Material: 94%Polyester, 6%Spandex | Care instructions: Machine Wash | Origin: Imported | Closure type: Drawstring | Country of Origin: China</t>
  </si>
  <si>
    <t>PINSPARK</t>
  </si>
  <si>
    <t>https://www.amazon.com/stores/Pinspark/page/73638A0C-799E-4A9E-BD52-A76030463125?ref_=ast_bln&amp;store_ref=bl_ast_dp_brandLogo_sto</t>
  </si>
  <si>
    <t>PINSPARK Wide Leg Sweat Pants for Womens High Waisted Baggy Sweatpants Casual Drawstring Workout Pants with Pockets</t>
  </si>
  <si>
    <t>https://www.amazon.com/dp/B0D7LQD3KK?psc=1</t>
  </si>
  <si>
    <t>https://images-na.ssl-images-amazon.com/images/I/61HlDu+Qv+L._AC_US600_.jpg</t>
  </si>
  <si>
    <t>B0D7M6JD2H</t>
  </si>
  <si>
    <t>44</t>
  </si>
  <si>
    <t>25%</t>
  </si>
  <si>
    <t>2024-07-31</t>
  </si>
  <si>
    <t xml:space="preserve">公司名称：dongguanshiqiufengshangmaoyouxiangongsi
办公地址：
蚬涌苏屋路三街1号105室
东莞市
万江街道
广东省
523000
CN
</t>
  </si>
  <si>
    <t>https://www.amazon.com/gp/help/seller/at-a-glance.html/ref=dp_merchant_link?seller=A154O6JL5L5T2Z</t>
  </si>
  <si>
    <t>0.77 pounds</t>
  </si>
  <si>
    <t>349.27 g</t>
  </si>
  <si>
    <t>13.19 x 10.43 x 1.18 inches</t>
  </si>
  <si>
    <t>33.50 x 26.49 x 3.00 cm</t>
  </si>
  <si>
    <t>B0CW3FDZ4L</t>
  </si>
  <si>
    <t>CRZ YOGA Lightweight Workout Pants for Women Casual Ruched Straight Leg Pants Work Gym Athletic Pants with Pockets</t>
  </si>
  <si>
    <t>https://www.amazon.com/dp/B0CW3FDZ4L?psc=1</t>
  </si>
  <si>
    <t>https://m.media-amazon.com/images/I/31JvXWCnsAL._AC_SR600,600_.jpg</t>
  </si>
  <si>
    <t>Women's Athletic Pants</t>
  </si>
  <si>
    <t>61</t>
  </si>
  <si>
    <t>2024-03-19</t>
  </si>
  <si>
    <t>NA</t>
  </si>
  <si>
    <t>5.86 ounces</t>
  </si>
  <si>
    <t>166.13 g</t>
  </si>
  <si>
    <t>14.13 x 10 x 2.05 inches</t>
  </si>
  <si>
    <t>35.89 x 25.40 x 5.21 cm</t>
  </si>
  <si>
    <t>B0D6VP2RJG</t>
  </si>
  <si>
    <t>ANRABESS</t>
  </si>
  <si>
    <t>https://www.amazon.com/stores/ANRABESS/page/937C5045-E1CD-46BB-99F1-38FA5C0E3B27?ref_=ast_bln&amp;store_ref=bl_ast_dp_brandLogo_sto</t>
  </si>
  <si>
    <t>ANRABESS Women's Wide Leg Sweatpants High Waist Baggy Flared Pants Drawstring Athletic Joggers Sweat Pants</t>
  </si>
  <si>
    <t>https://www.amazon.com/dp/B0D6VP2RJG?psc=1</t>
  </si>
  <si>
    <t>https://images-na.ssl-images-amazon.com/images/I/61QQcDd2aYL._AC_US600_.jpg</t>
  </si>
  <si>
    <t>2024-06-11</t>
  </si>
  <si>
    <t xml:space="preserve">公司名称：Yiwu Ceteng e-commerce firm
办公地址：
稠江街道楼下村四区22幢3单元205室
金华市
义乌市
浙江省
322001
CN
</t>
  </si>
  <si>
    <t>https://www.amazon.com/gp/help/seller/at-a-glance.html/ref=dp_merchant_link?seller=ADPI9LE50EUV</t>
  </si>
  <si>
    <t>13.58 x 10.79 x 1.97 inches</t>
  </si>
  <si>
    <t>34.49 x 27.41 x 5.00 cm</t>
  </si>
  <si>
    <t>B0D1TNV5QJ</t>
  </si>
  <si>
    <t>ATHMILE Baggy Sweatpants for Women with Pockets-Lounge Womens Pajams Pants-Womens Running Joggers Fall Clothes Outfits 2024</t>
  </si>
  <si>
    <t>https://www.amazon.com/dp/B0D1TNV5QJ?psc=1</t>
  </si>
  <si>
    <t>https://images-na.ssl-images-amazon.com/images/I/51e9+uuXOlL._AC_US600_.jpg</t>
  </si>
  <si>
    <t>48</t>
  </si>
  <si>
    <t>2024-04-15</t>
  </si>
  <si>
    <t>11.99 ounces</t>
  </si>
  <si>
    <t>339.91 g</t>
  </si>
  <si>
    <t>11.57 x 10.39 x 0.67 inches</t>
  </si>
  <si>
    <t>29.39 x 26.39 x 1.70 cm</t>
  </si>
  <si>
    <t>B0BVQV8KMV</t>
  </si>
  <si>
    <t>FULLSOFT 3 Pack Sweatpants for Women-Womens Joggers with Pockets Athletic Leggings for Workout Yoga Running</t>
  </si>
  <si>
    <t>https://www.amazon.com/dp/B0BVQV8KMV?psc=1</t>
  </si>
  <si>
    <t>https://m.media-amazon.com/images/I/41CjGkgP3bL._AC_US600_.jpg</t>
  </si>
  <si>
    <t>46</t>
  </si>
  <si>
    <t>2023-02-13</t>
  </si>
  <si>
    <t>Women's Sweatpants by FULLSOFT</t>
  </si>
  <si>
    <t>0.72 Kilograms</t>
  </si>
  <si>
    <t>720.00 g</t>
  </si>
  <si>
    <t>13.89 x 9.96 x 3.46 inches</t>
  </si>
  <si>
    <t>35.28 x 25.30 x 8.79 cm</t>
  </si>
  <si>
    <t>B0D6W6XDDN</t>
  </si>
  <si>
    <t>PINSPARK Wide Leg Sweatpants Women High Waisted Baggy Sweat Pants Elastic Elevated Seams Loose Active Pants with Pockets</t>
  </si>
  <si>
    <t>https://www.amazon.com/dp/B0D6W6XDDN?psc=1</t>
  </si>
  <si>
    <t>https://m.media-amazon.com/images/I/31NXOUj2vQL._AC_SR600,600_.jpg</t>
  </si>
  <si>
    <t>49</t>
  </si>
  <si>
    <t>2024-07-26</t>
  </si>
  <si>
    <t>13.05 ounces</t>
  </si>
  <si>
    <t>369.96 g</t>
  </si>
  <si>
    <t>12.6 x 10.63 x 0.71 inches</t>
  </si>
  <si>
    <t>32.00 x 27.00 x 1.80 cm</t>
  </si>
  <si>
    <t>B0D7CH9NVP</t>
  </si>
  <si>
    <t>PINSPARK Fleece Sweat Pants for Womens Straight Legs Winter Sweatpants High Waisted Workout Pants with 4 Pockets</t>
  </si>
  <si>
    <t>https://www.amazon.com/dp/B0D7CH9NVP?psc=1</t>
  </si>
  <si>
    <t>https://m.media-amazon.com/images/I/318TcwzzINL._AC_SR600,600_.jpg</t>
  </si>
  <si>
    <t>2024-08-03</t>
  </si>
  <si>
    <t>14.82 ounces</t>
  </si>
  <si>
    <t>420.14 g</t>
  </si>
  <si>
    <t>13.78 x 11.42 x 0.71 inches</t>
  </si>
  <si>
    <t>35.00 x 29.01 x 1.80 cm</t>
  </si>
  <si>
    <t>B0D89ZF61M</t>
  </si>
  <si>
    <t>Fabric type: 50%Polyester+45%Viscose+5%Elastane, Soft and Comfortable. | Care instructions: Hand Wash Only | Origin: Imported | Closure type: Elastic | Country of Origin: China</t>
  </si>
  <si>
    <t>Aleumdr Women's High Waisted Sweatpants with Pockets Workout Running Jogger Pants Baggy Lounge Sweat Pants</t>
  </si>
  <si>
    <t>https://www.amazon.com/dp/B0D89ZF61M?psc=1</t>
  </si>
  <si>
    <t>https://m.media-amazon.com/images/I/31T5d2aCTFL._AC_SR600,600_.jpg</t>
  </si>
  <si>
    <t>B0D8B9G2J2</t>
  </si>
  <si>
    <t>50%</t>
  </si>
  <si>
    <t>2024-06-27</t>
  </si>
  <si>
    <t>3.53 ounces</t>
  </si>
  <si>
    <t>100.07 g</t>
  </si>
  <si>
    <t>11.89 x 5.39 x 2.95 inches</t>
  </si>
  <si>
    <t>30.20 x 13.69 x 7.49 cm</t>
  </si>
  <si>
    <t>B0CQZRR9J5</t>
  </si>
  <si>
    <t>Neer</t>
  </si>
  <si>
    <t>https://www.amazon.com/stores/Neer/page/DBB3A484-372F-4F2C-98DF-B24D1BF2A648?ref_=ast_bln</t>
  </si>
  <si>
    <t>Neer 3 Pack Women's Baggy Sweatpants with Pockets, Wide Leg Yoga Pants Cozy Thick Lounge Pants Drawstring Casual Loose Jogger</t>
  </si>
  <si>
    <t>https://www.amazon.com/dp/B0CQZRR9J5?psc=1</t>
  </si>
  <si>
    <t>https://images-na.ssl-images-amazon.com/images/I/8183VqnXndL._AC_US600_.jpg</t>
  </si>
  <si>
    <t>87</t>
  </si>
  <si>
    <t>2023-10-09</t>
  </si>
  <si>
    <t>Danguahuey</t>
  </si>
  <si>
    <t xml:space="preserve">公司名称：hefeihuidanxinxijishuyouxiangongsi
办公地址：
大连路北518号南翔汽车城A区13栋127号
合肥市
包河区
安徽省
230000
CN
</t>
  </si>
  <si>
    <t>https://www.amazon.com/gp/help/seller/at-a-glance.html/ref=dp_merchant_link?seller=A10PPOCUPJ1OGG</t>
  </si>
  <si>
    <t>3.11 Pounds</t>
  </si>
  <si>
    <t>1.41 kg</t>
  </si>
  <si>
    <t>9.84 x 9.84 x 4.13 inches</t>
  </si>
  <si>
    <t>24.99 x 24.99 x 10.49 cm</t>
  </si>
  <si>
    <t>B0BB88X32S</t>
  </si>
  <si>
    <t>Hanes Women's Originals Cotton Joggers, 100% Cotton Jersey Sweatpants For Women, 29 Inseam</t>
  </si>
  <si>
    <t>https://www.amazon.com/dp/B0BB88X32S?psc=1</t>
  </si>
  <si>
    <t>https://m.media-amazon.com/images/I/41FFYX5NNgL._AC_SR600,600_.jpg</t>
  </si>
  <si>
    <t>55</t>
  </si>
  <si>
    <t>hanes cotton joggers women</t>
  </si>
  <si>
    <t>5.95 ounces</t>
  </si>
  <si>
    <t>168.68 g</t>
  </si>
  <si>
    <t>11.69 x 11.14 x 1.89 inches</t>
  </si>
  <si>
    <t>29.69 x 28.30 x 4.80 cm</t>
  </si>
  <si>
    <t>B0CD2DQWPZ</t>
  </si>
  <si>
    <t>CAMPSNAIL</t>
  </si>
  <si>
    <t>https://www.amazon.com/stores/CAMPSNAIL/page/B1FA9936-655F-4851-AB2E-981C5A378DA3?ref_=ast_bln&amp;store_ref=bl_ast_dp_brandLogo_sto</t>
  </si>
  <si>
    <t>CAMPSNAIL Fleece Lined Sweatpants Women - Joggers for Women with Pockets High Waisted Thermal Winter Warm Pants for Snow</t>
  </si>
  <si>
    <t>https://www.amazon.com/dp/B0CD2DQWPZ?psc=1</t>
  </si>
  <si>
    <t>https://images-na.ssl-images-amazon.com/images/I/61YFo0tgwLL._AC_US600_.jpg</t>
  </si>
  <si>
    <t>78</t>
  </si>
  <si>
    <t>2023-09-27</t>
  </si>
  <si>
    <t>San.J Studio</t>
  </si>
  <si>
    <t xml:space="preserve">公司名称：Dongyang Shi Sanjing E-Commerce Co.,Ltd
办公地址：
白云街道
蓝天社区世贸大道100号国际汽配城A1-503B
金华市
东阳市
浙江
322103
CN
</t>
  </si>
  <si>
    <t>https://www.amazon.com/gp/help/seller/at-a-glance.html/ref=dp_merchant_link?seller=A3RLCBOE4WGURF</t>
  </si>
  <si>
    <t>pantalones termicos de mujer para el frio</t>
  </si>
  <si>
    <t>1.37 Pounds</t>
  </si>
  <si>
    <t>621.42 g</t>
  </si>
  <si>
    <t>9.65 x 8.11 x 2.56 inches</t>
  </si>
  <si>
    <t>24.51 x 20.60 x 6.50 cm</t>
  </si>
  <si>
    <t>B089SWR6ND</t>
  </si>
  <si>
    <t>SEVEGO</t>
  </si>
  <si>
    <t>https://www.amazon.com/stores/SEVEGO/page/F39FD0D5-16B2-4D94-8BF6-8202708FA4AA?ref_=ast_bln</t>
  </si>
  <si>
    <t>SEVEGO Lightweight Women's 30"/32"/34"/36" Tall Inseam Cotton Soft Jogger with Zipper Pockets Cargo Pants</t>
  </si>
  <si>
    <t>https://www.amazon.com/dp/B089SWR6ND?psc=1</t>
  </si>
  <si>
    <t>https://m.media-amazon.com/images/I/31dSBBi0mqL._AC_SR600,600_.jpg</t>
  </si>
  <si>
    <t>56</t>
  </si>
  <si>
    <t>2020-06-07</t>
  </si>
  <si>
    <t>Sevego Store</t>
  </si>
  <si>
    <t xml:space="preserve">公司名称：XIAMEN OLT CO., LTD
办公地址：
同龙二路950号1号楼501室
厦门市
火炬高新区翔安产业区
福建省
361008
CN
</t>
  </si>
  <si>
    <t>https://www.amazon.com/gp/help/seller/at-a-glance.html/ref=dp_merchant_link?seller=A2WWIV91DF3R76</t>
  </si>
  <si>
    <t>sevego women's 32"/34"/36" inseam tall lightweight</t>
  </si>
  <si>
    <t>13.55 ounces</t>
  </si>
  <si>
    <t>384.14 g</t>
  </si>
  <si>
    <t>12.2 x 2.83 x 1.69 inches</t>
  </si>
  <si>
    <t>30.99 x 7.19 x 4.29 cm</t>
  </si>
  <si>
    <t>B0BKY4Q8JG</t>
  </si>
  <si>
    <t>Mgput</t>
  </si>
  <si>
    <t>https://www.amazon.com/Mgput/b/ref=bl_sl_s_ap_web_36785345011?ie=UTF8&amp;node=36785345011&amp;field-lbr_brands_browse-bin=Mgput</t>
  </si>
  <si>
    <t>Mgput 4 Pack Women's Lightweight Sweatpants with Pockets for Running Yoga Workout</t>
  </si>
  <si>
    <t>https://www.amazon.com/dp/B0BKY4Q8JG?psc=1</t>
  </si>
  <si>
    <t>https://m.media-amazon.com/images/I/5132i3ZflVL._AC_SR600,600_.jpg</t>
  </si>
  <si>
    <t>2022-10-29</t>
  </si>
  <si>
    <t>Tuoyang</t>
  </si>
  <si>
    <t xml:space="preserve">公司名称：Yiwu Tuoyang Electronics Co., Ltd.
办公地址：
福田四区21栋5号502室
义乌市
福田街道
浙江省
322000
CN
</t>
  </si>
  <si>
    <t>https://www.amazon.com/gp/help/seller/at-a-glance.html/ref=dp_merchant_link?seller=A14L38X79TLT5W</t>
  </si>
  <si>
    <t>thin sweatpants women</t>
  </si>
  <si>
    <t>2.1 Pounds</t>
  </si>
  <si>
    <t>952.54 g</t>
  </si>
  <si>
    <t>12.56 x 9.53 x 3.11 inches</t>
  </si>
  <si>
    <t>31.90 x 24.21 x 7.90 cm</t>
  </si>
  <si>
    <t>B01L9J98X0</t>
  </si>
  <si>
    <t>Hanes womens O4875</t>
  </si>
  <si>
    <t>https://www.amazon.com/dp/B01L9J98X0?psc=1</t>
  </si>
  <si>
    <t>https://images-na.ssl-images-amazon.com/images/I/71b+cq9QeXL._AC_US600_.jpg</t>
  </si>
  <si>
    <t>2017-05-04</t>
  </si>
  <si>
    <t>hanes fleece sweatpants women</t>
  </si>
  <si>
    <t>B010D2IAYM</t>
  </si>
  <si>
    <t>JUST MY SIZE Women's Plus-Size EcoSmart Sweatpants-Petite Length</t>
  </si>
  <si>
    <t>https://www.amazon.com/dp/B010D2IAYM?psc=1</t>
  </si>
  <si>
    <t>54</t>
  </si>
  <si>
    <t>2023-10-24</t>
  </si>
  <si>
    <t>womens plus size pants petite length</t>
  </si>
  <si>
    <t>B0CQXK3JMQ</t>
  </si>
  <si>
    <t>Rrosseyz</t>
  </si>
  <si>
    <t>https://www.amazon.com/stores/Rrosseyz/page/8E1288A9-8363-4585-9557-D5A5A70AF8ED?ref_=ast_bln&amp;store_ref=bl_ast_dp_brandLogo_sto</t>
  </si>
  <si>
    <t>Rrosseyz Joggers Pants for Women-Quick Dry Sweatpants with Pockets for Travel Athletics Casual Outdoor</t>
  </si>
  <si>
    <t>https://www.amazon.com/dp/B0CQXK3JMQ?psc=1</t>
  </si>
  <si>
    <t>https://m.media-amazon.com/images/I/31YrDPIw1dL._AC_SR600,600_.jpg</t>
  </si>
  <si>
    <t>57</t>
  </si>
  <si>
    <t>2023-12-24</t>
  </si>
  <si>
    <t xml:space="preserve">公司名称：Jinjiang Yifu Garments Co.,Ltd.
办公地址：
晋江市金井镇塘东工业区11号
晋江市
福州
362251
CN
</t>
  </si>
  <si>
    <t>https://www.amazon.com/gp/help/seller/at-a-glance.html/ref=dp_merchant_link?seller=A3KT667YJ28XI9</t>
  </si>
  <si>
    <t>11 x 8 x 0.4 inches</t>
  </si>
  <si>
    <t>27.94 x 20.32 x 1.02 cm</t>
  </si>
  <si>
    <t>B0D9LP3BJL</t>
  </si>
  <si>
    <t>Stelle</t>
  </si>
  <si>
    <t>https://www.amazon.com/stores/StelleAthletica/page/92A01961-B5D1-4EA4-A438-84B406B2808B?ref_=ast_bln&amp;store_ref=bl_ast_dp_brandLogo_sto</t>
  </si>
  <si>
    <t>Stelle Womens 28" High Waist Drawstring Jogger Athletic Lounge Sweatpants with Pockets</t>
  </si>
  <si>
    <t>https://www.amazon.com/dp/B0D9LP3BJL?psc=1</t>
  </si>
  <si>
    <t>https://images-na.ssl-images-amazon.com/images/I/61aVNfbMiKL._AC_US600_.jpg</t>
  </si>
  <si>
    <t>58</t>
  </si>
  <si>
    <t>2024-07-16</t>
  </si>
  <si>
    <t>Stelle Athletica</t>
  </si>
  <si>
    <t xml:space="preserve">公司名称：CA
电话号码：510-397-1725
办公地址：
21068 Cabot Blvd
HAYWARD
CA
94545
US
</t>
  </si>
  <si>
    <t>https://www.amazon.com/gp/help/seller/at-a-glance.html/ref=dp_merchant_link?seller=A1ACJK2TICWQAI</t>
  </si>
  <si>
    <t>12.63 ounces</t>
  </si>
  <si>
    <t>358.05 g</t>
  </si>
  <si>
    <t>11.57 x 9.33 x 1.77 inches</t>
  </si>
  <si>
    <t>29.39 x 23.70 x 4.50 cm</t>
  </si>
  <si>
    <t>B0D7724HNR</t>
  </si>
  <si>
    <t>Gvraslvet</t>
  </si>
  <si>
    <t>https://www.amazon.com/Gvraslvet/b/ref=bl_sl_s_ap_web_120702769011?ie=UTF8&amp;node=120702769011&amp;field-lbr_brands_browse-bin=Gvraslvet</t>
  </si>
  <si>
    <t>Gvraslvet Cinch Bottom Sweatpants with Pockets</t>
  </si>
  <si>
    <t>https://www.amazon.com/dp/B0D7724HNR?psc=1</t>
  </si>
  <si>
    <t>https://images-na.ssl-images-amazon.com/images/I/71og925UdrL._AC_US600_.jpg</t>
  </si>
  <si>
    <t>72</t>
  </si>
  <si>
    <t>2024-07-02</t>
  </si>
  <si>
    <t>FAZHONG</t>
  </si>
  <si>
    <t xml:space="preserve">公司名称：Guangzhou Fazhong Trading Co., Ltd
办公地址：
鹤泰路
韦业大厦三三号楼三零三A
广州市
白云区
广东省
510420
CN
</t>
  </si>
  <si>
    <t>https://www.amazon.com/gp/help/seller/at-a-glance.html/ref=dp_merchant_link?seller=A3F3GY4HSOD2WM</t>
  </si>
  <si>
    <t>14.21 x 11.81 x 2.13 inches</t>
  </si>
  <si>
    <t>36.09 x 30.00 x 5.41 cm</t>
  </si>
  <si>
    <t>B0BGW6LDHN</t>
  </si>
  <si>
    <t>Under Armour</t>
  </si>
  <si>
    <t>https://www.amazon.com/stores/UnderArmour/page/4750579C-0CF4-4BF9-B7E8-F782E52D7683?ref_=ast_bln&amp;store_ref=bl_ast_dp_brandLogo_sto</t>
  </si>
  <si>
    <t>Under Armour Women's Rival Fleece Joggers</t>
  </si>
  <si>
    <t>https://www.amazon.com/dp/B0BGW6LDHN?psc=1</t>
  </si>
  <si>
    <t>https://images-na.ssl-images-amazon.com/images/I/21xWdlgq6oL._AC_US600_.jpg</t>
  </si>
  <si>
    <t>60</t>
  </si>
  <si>
    <t>2020-01-14</t>
  </si>
  <si>
    <t>FBM</t>
  </si>
  <si>
    <t>AG2 Supplies</t>
  </si>
  <si>
    <t xml:space="preserve">公司名称：Anthony Gonzalez
办公地址：
398 East Ave
PERTH AMBOY
NJ
08861
US
</t>
  </si>
  <si>
    <t>https://www.amazon.com/gp/help/seller/at-a-glance.html/ref=dp_merchant_link?seller=A8T1RP95N3Q8U</t>
  </si>
  <si>
    <t>11 x 15 x 3 inches</t>
  </si>
  <si>
    <t>27.94 x 38.10 x 7.62 cm</t>
  </si>
  <si>
    <t>B09PF6GWFY</t>
  </si>
  <si>
    <t>Champion</t>
  </si>
  <si>
    <t>https://www.amazon.com/stores/Champion/page/9315F82B-8BDF-4711-8450-2428416D0F96?ref_=ast_bln&amp;store_ref=bl_ast_dp_brandLogo_sto</t>
  </si>
  <si>
    <t>Champion Women's Joggers, Powerblend, Fleece Joggers, Comfortable Pants for Women, 29" (Plus Size Available)</t>
  </si>
  <si>
    <t>https://www.amazon.com/dp/B09PF6GWFY?psc=1</t>
  </si>
  <si>
    <t>https://images-na.ssl-images-amazon.com/images/I/71sc-NJvmWL._AC_US600_.jpg</t>
  </si>
  <si>
    <t>59</t>
  </si>
  <si>
    <t>2022-09-28</t>
  </si>
  <si>
    <t>0.89 pounds</t>
  </si>
  <si>
    <t>403.70 g</t>
  </si>
  <si>
    <t>14.02 x 11.22 x 2.32 inches</t>
  </si>
  <si>
    <t>35.61 x 28.50 x 5.89 cm</t>
  </si>
  <si>
    <t>B0D6YRBPQ3</t>
  </si>
  <si>
    <t>Aleumdr Womens Sweatpants Cargo Joggers Baggy Sweat Fall Pants Athletic Cotton Fleece Lined Casual Pants with Pockets</t>
  </si>
  <si>
    <t>https://www.amazon.com/dp/B0D6YRBPQ3?psc=1</t>
  </si>
  <si>
    <t>https://images-na.ssl-images-amazon.com/images/I/51kC+dIF+vL._AC_US600_.jpg</t>
  </si>
  <si>
    <t>2024-07-21</t>
  </si>
  <si>
    <t>0.22 pounds</t>
  </si>
  <si>
    <t>99.79 g</t>
  </si>
  <si>
    <t>9 x 7 x 1 inches</t>
  </si>
  <si>
    <t>22.86 x 17.78 x 2.54 cm</t>
  </si>
  <si>
    <t>B083TZG1LS</t>
  </si>
  <si>
    <t>CRZ YOGA Athletic High Waisted Joggers for Women 27.5" - Lightweight Workout Travel Casual Outdoor Hiking Pants with Pockets</t>
  </si>
  <si>
    <t>https://www.amazon.com/dp/B083TZG1LS?psc=1</t>
  </si>
  <si>
    <t>https://m.media-amazon.com/images/I/31Ue1QSjk-L._AC_SR600,600_.jpg</t>
  </si>
  <si>
    <t>62</t>
  </si>
  <si>
    <t>2021-12-27</t>
  </si>
  <si>
    <t>8.82 ounces</t>
  </si>
  <si>
    <t>250.04 g</t>
  </si>
  <si>
    <t>10.24 x 8.66 x 0.79 inches</t>
  </si>
  <si>
    <t>26.01 x 22.00 x 2.01 cm</t>
  </si>
  <si>
    <t>B0D6VZ7F6B</t>
  </si>
  <si>
    <t>Herseas</t>
  </si>
  <si>
    <t>https://www.amazon.com/stores/Herseas/page/9E3BC66E-260A-40AC-8CF9-070558139283?ref_=ast_bln&amp;store_ref=bl_ast_dp_brandLogo_sto</t>
  </si>
  <si>
    <t>Herseas Women's V Crossover Waist Sweatpants Baggy Y2K Jogger Pants Wide Leg Fleeced Lounge Pants</t>
  </si>
  <si>
    <t>https://www.amazon.com/dp/B0D6VZ7F6B?psc=1</t>
  </si>
  <si>
    <t>https://m.media-amazon.com/images/I/31WqLK77M0L._AC_SR600,600_.jpg</t>
  </si>
  <si>
    <t>64</t>
  </si>
  <si>
    <t>Herseas Flagship Shop</t>
  </si>
  <si>
    <t xml:space="preserve">公司名称：Huang hongmeng
办公地址：
东海街道
法石社区成洲路201号
泉州市
丰泽区
福建省
362000
CN
</t>
  </si>
  <si>
    <t>https://www.amazon.com/gp/help/seller/at-a-glance.html/ref=dp_merchant_link?seller=A1E71VVK8KB6E0</t>
  </si>
  <si>
    <t>14.11 ounces</t>
  </si>
  <si>
    <t>400.01 g</t>
  </si>
  <si>
    <t>3.94 x 1.18 x 0.79 inches</t>
  </si>
  <si>
    <t>10.01 x 3.00 x 2.01 cm</t>
  </si>
  <si>
    <t>B0D3KT3H64</t>
  </si>
  <si>
    <t>PINSPARK Women's Fleece Lined Sweatpants Winter Joggers Athletic Pants Casual Thick Warm Trousers Pockets</t>
  </si>
  <si>
    <t>https://www.amazon.com/dp/B0D3KT3H64?psc=1</t>
  </si>
  <si>
    <t>https://m.media-amazon.com/images/I/41WHOXDgcaL._AC_SR600,600_.jpg</t>
  </si>
  <si>
    <t>67</t>
  </si>
  <si>
    <t>2023-08-20</t>
  </si>
  <si>
    <t>13.78 x 9.84 x 0.71 inches</t>
  </si>
  <si>
    <t>35.00 x 24.99 x 1.80 cm</t>
  </si>
  <si>
    <t>B0D7M1V9TM</t>
  </si>
  <si>
    <t>CAMPSNAIL Joggers for Women with Pockets - Lightweight Sweatpants Soft Drawstring Athletic for Lounge Workout Running</t>
  </si>
  <si>
    <t>https://www.amazon.com/dp/B0D7M1V9TM?psc=1</t>
  </si>
  <si>
    <t>https://m.media-amazon.com/images/I/31Tr2AjpKnL._AC_SR600,600_.jpg</t>
  </si>
  <si>
    <t>63</t>
  </si>
  <si>
    <t>2024-08-13</t>
  </si>
  <si>
    <t>11.68 ounces</t>
  </si>
  <si>
    <t>331.12 g</t>
  </si>
  <si>
    <t>10.28 x 7.76 x 2.36 inches</t>
  </si>
  <si>
    <t>26.11 x 19.71 x 5.99 cm</t>
  </si>
  <si>
    <t>B0CCJ987LY</t>
  </si>
  <si>
    <t>YYIDATON</t>
  </si>
  <si>
    <t>https://www.amazon.com/stores/YYIDATON/page/117CD96B-F63B-4A7F-8F56-59E69C9F6393?ref_=ast_bln&amp;store_ref=bl_ast_dp_brandLogo_sto</t>
  </si>
  <si>
    <t>Women Fleece Cargo Sweatpants High Waisted Casual Baggy Joggers Pants</t>
  </si>
  <si>
    <t>https://www.amazon.com/dp/B0CCJ987LY?psc=1</t>
  </si>
  <si>
    <t>https://m.media-amazon.com/images/I/4144nyugJ4L._AC_SR600,600_.jpg</t>
  </si>
  <si>
    <t>65</t>
  </si>
  <si>
    <t>2023-07-20</t>
  </si>
  <si>
    <t>Loyalty Prime</t>
  </si>
  <si>
    <t xml:space="preserve">公司名称：Zhang Xinyue
办公地址：
南坑北一巷三号805
深圳市
龙岗区坂田街道
广东省
518000
CN
</t>
  </si>
  <si>
    <t>https://www.amazon.com/gp/help/seller/at-a-glance.html/ref=dp_merchant_link?seller=A3DIO1PML7X4T</t>
  </si>
  <si>
    <t>cargo sweatpants for women</t>
  </si>
  <si>
    <t>14.61 x 11.54 x 2.2 inches</t>
  </si>
  <si>
    <t>37.11 x 29.31 x 5.59 cm</t>
  </si>
  <si>
    <t>B0CKVQ1M9Y</t>
  </si>
  <si>
    <t>AUTOMET Womens Cargo Sweatpants Wide Leg Fleece Lined Y2k Pants Fall Winter Baggy Joggers with Pockets</t>
  </si>
  <si>
    <t>https://www.amazon.com/dp/B0CKVQ1M9Y?psc=1</t>
  </si>
  <si>
    <t>https://images-na.ssl-images-amazon.com/images/I/61XGSg60z7L._AC_US600_.jpg</t>
  </si>
  <si>
    <t>69</t>
  </si>
  <si>
    <t>2023-10-10</t>
  </si>
  <si>
    <t>Popular Brand Pick</t>
  </si>
  <si>
    <t>1.15 Pounds</t>
  </si>
  <si>
    <t>521.63 g</t>
  </si>
  <si>
    <t>14.21 x 12.17 x 1.73 inches</t>
  </si>
  <si>
    <t>36.09 x 30.91 x 4.39 cm</t>
  </si>
  <si>
    <t>B0BTQ3BJKH</t>
  </si>
  <si>
    <t>Fruit of the Loom</t>
  </si>
  <si>
    <t>https://www.amazon.com/stores/FruitoftheLoom/page/49CA8368-8015-4877-8B4C-BC147469F952?ref_=ast_bln&amp;store_ref=bl_ast_dp_brandLogo_sto</t>
  </si>
  <si>
    <t>Fruit of the Loom Women's Crafted Comfort Fleece Sweatshirts &amp; Hoodies, Crewneck &amp; Pullover Sweatshirt for Women</t>
  </si>
  <si>
    <t>https://www.amazon.com/dp/B0BTQ3BJKH?psc=1</t>
  </si>
  <si>
    <t>https://m.media-amazon.com/images/I/31gVJHVDklL._AC_SR600,600_.jpg</t>
  </si>
  <si>
    <t>83</t>
  </si>
  <si>
    <t>2023-04-05</t>
  </si>
  <si>
    <t>12.91 x 12.01 x 1.81 inches</t>
  </si>
  <si>
    <t>32.79 x 30.51 x 4.60 cm</t>
  </si>
  <si>
    <t>B0CQYV5KGC</t>
  </si>
  <si>
    <t>HeSaYep Women's Wide Leg Sweatpants 2024 Trendy Interior Drawstring Baggy Sweatpants High Waisted Casual Trousers Jogger Pant</t>
  </si>
  <si>
    <t>https://www.amazon.com/dp/B0CQYV5KGC?psc=1</t>
  </si>
  <si>
    <t>https://m.media-amazon.com/images/I/310uOCI3y+L._AC_SR600,600_.jpg</t>
  </si>
  <si>
    <t>66</t>
  </si>
  <si>
    <t>2023-12-25</t>
  </si>
  <si>
    <t>11.81 x 7.87 x 0.79 inches</t>
  </si>
  <si>
    <t>30.00 x 19.99 x 2.01 cm</t>
  </si>
  <si>
    <t>B0D91Z32RM</t>
  </si>
  <si>
    <t>PINSPARK Womens Fleece Sweatpants Cinch Bottom Winter Sweat Pants High Waisted Joggers Pants with Pockets</t>
  </si>
  <si>
    <t>https://www.amazon.com/dp/B0D91Z32RM?psc=1</t>
  </si>
  <si>
    <t>https://m.media-amazon.com/images/I/31tlmxERudL._AC_SR600,600_.jpg</t>
  </si>
  <si>
    <t>2024-09-02</t>
  </si>
  <si>
    <t>12.4 x 11.34 x 1.65 inches</t>
  </si>
  <si>
    <t>31.50 x 28.80 x 4.19 cm</t>
  </si>
  <si>
    <t>B08BLJ3QF7</t>
  </si>
  <si>
    <t>Weintee</t>
  </si>
  <si>
    <t>https://www.amazon.com/stores/WEINTEE/page/BDFFEB78-558F-4838-A393-381B86E21926?ref_=ast_bln&amp;store_ref=bl_ast_dp_brandLogo_sto</t>
  </si>
  <si>
    <t>Weintee Women's Cotton Sweatpants with Pockets</t>
  </si>
  <si>
    <t>https://www.amazon.com/dp/B08BLJ3QF7?psc=1</t>
  </si>
  <si>
    <t>https://images-na.ssl-images-amazon.com/images/I/81DSl9Y5IvL._AC_US600_.jpg</t>
  </si>
  <si>
    <t>2019-08-06</t>
  </si>
  <si>
    <t xml:space="preserve">公司名称：Guang Zhou Le Jia Fu Shi You Xian Gong Si
办公地址：
南村镇兴业大道1127号丽柏楼405
广州市
番禺区
广东省
510000
CN
</t>
  </si>
  <si>
    <t>https://www.amazon.com/gp/help/seller/at-a-glance.html/ref=dp_merchant_link?seller=A1ZTD38X0OJU83</t>
  </si>
  <si>
    <t>14.46 ounces</t>
  </si>
  <si>
    <t>409.93 g</t>
  </si>
  <si>
    <t>14.17 x 11.02 x 0.79 inches</t>
  </si>
  <si>
    <t>35.99 x 27.99 x 2.01 cm</t>
  </si>
  <si>
    <t>B0CJY1LYY5</t>
  </si>
  <si>
    <t>CRZ YOGA Cotton Fleece Lined Sweatpants Women High Waisted Warm Casual Lounge Jogger Pants with Pockets</t>
  </si>
  <si>
    <t>https://www.amazon.com/dp/B0CJY1LYY5?psc=1</t>
  </si>
  <si>
    <t>https://images-na.ssl-images-amazon.com/images/I/61HWKLOWVzL._AC_US600_.jpg</t>
  </si>
  <si>
    <t>75
78</t>
  </si>
  <si>
    <t>2023-09-26</t>
  </si>
  <si>
    <t>0.63 ounces</t>
  </si>
  <si>
    <t>17.86 g</t>
  </si>
  <si>
    <t>15.2 x 10.24 x 3.35 inches</t>
  </si>
  <si>
    <t>38.61 x 26.01 x 8.51 cm</t>
  </si>
  <si>
    <t>B08RMR8FNX</t>
  </si>
  <si>
    <t>Nike</t>
  </si>
  <si>
    <t>https://www.amazon.com/Nike/b/ref=bl_sl_s_ap_web_119088564011?ie=UTF8&amp;node=119088564011&amp;field-lbr_brands_browse-bin=Nike</t>
  </si>
  <si>
    <t>Nike Womens Club Fleece Jogger Sweatpants</t>
  </si>
  <si>
    <t>https://www.amazon.com/dp/B08RMR8FNX?psc=1</t>
  </si>
  <si>
    <t>https://m.media-amazon.com/images/I/31FD75FdXBL._AC_SR600,600_.jpg</t>
  </si>
  <si>
    <t>2023-02-22</t>
  </si>
  <si>
    <t>Best Books &amp; More!</t>
  </si>
  <si>
    <t xml:space="preserve">公司名称：JWC HOLDINGS CO
办公地址：
4333 S Sage Cir
Millcreek
UT
84124
US
</t>
  </si>
  <si>
    <t>https://www.amazon.com/gp/help/seller/at-a-glance.html/ref=dp_merchant_link?seller=A2WKLCQK84XIK6</t>
  </si>
  <si>
    <t>12.8 ounces</t>
  </si>
  <si>
    <t>362.87 g</t>
  </si>
  <si>
    <t>5 x 5 x 2 inches</t>
  </si>
  <si>
    <t>12.70 x 12.70 x 5.08 cm</t>
  </si>
  <si>
    <t>B0DF58WZ72</t>
  </si>
  <si>
    <t>PUMIEY</t>
  </si>
  <si>
    <t>https://www.amazon.com/stores/PUMIEY/page/72EBA44F-B6AB-473E-BE8E-FEAFEEBEB48E?ref_=ast_bln&amp;store_ref=bl_ast_dp_brandLogo_sto</t>
  </si>
  <si>
    <t>PUMIEY Women's Sweatpants High Waisted Baggy Sweat Pants Workout Casual Joggers Pants Airy Collection</t>
  </si>
  <si>
    <t>https://www.amazon.com/dp/B0DF58WZ72?psc=1</t>
  </si>
  <si>
    <t>https://m.media-amazon.com/images/I/31eYHCGa1LL._AC_SR600,600_.jpg</t>
  </si>
  <si>
    <t>74</t>
  </si>
  <si>
    <t>2024-08-23</t>
  </si>
  <si>
    <t>PUMIEY-US</t>
  </si>
  <si>
    <t xml:space="preserve">公司名称：kang zhang
办公地址：
义乌市嘉禾广场3栋4单元1809
金华市
义乌
浙江
322000
CN
</t>
  </si>
  <si>
    <t>https://www.amazon.com/gp/help/seller/at-a-glance.html/ref=dp_merchant_link?seller=A1XF03I4GYPIG1</t>
  </si>
  <si>
    <t>1.3 Pounds</t>
  </si>
  <si>
    <t>589.67 g</t>
  </si>
  <si>
    <t>11.97 x 10.67 x 1.97 inches</t>
  </si>
  <si>
    <t>30.40 x 27.10 x 5.00 cm</t>
  </si>
  <si>
    <t>B0D7GK9WCL</t>
  </si>
  <si>
    <t>ANRABESS Women Wide Leg Baggy Cargo Sweatpants Y2K Trendy High Waist Sweat Pants Trousers with Pockets</t>
  </si>
  <si>
    <t>https://www.amazon.com/dp/B0D7GK9WCL?psc=1</t>
  </si>
  <si>
    <t>https://m.media-amazon.com/images/I/31TB-HdzoCL._AC_SR600,600_.jpg</t>
  </si>
  <si>
    <t>73</t>
  </si>
  <si>
    <t>50</t>
  </si>
  <si>
    <t>2024-06-18</t>
  </si>
  <si>
    <t>12.24 x 10.87 x 2.64 inches</t>
  </si>
  <si>
    <t>31.09 x 27.61 x 6.71 cm</t>
  </si>
  <si>
    <t>B07WVPGPMF</t>
  </si>
  <si>
    <t>BALEAF Women's Track Pants Athletic Jogging Sweatpants Zipper Pockets Warm-Up Sports Running Pants</t>
  </si>
  <si>
    <t>https://www.amazon.com/dp/B07WVPGPMF?psc=1</t>
  </si>
  <si>
    <t>https://m.media-amazon.com/images/I/31B6GM7f2WL._AC_SR600,600_.jpg</t>
  </si>
  <si>
    <t>2021-09-28</t>
  </si>
  <si>
    <t>womens running pants with zipper pockets</t>
  </si>
  <si>
    <t>9.72 x 9.25 x 1.97 inches</t>
  </si>
  <si>
    <t>24.69 x 23.50 x 5.00 cm</t>
  </si>
  <si>
    <t>B0D8GT3TQV</t>
  </si>
  <si>
    <t>PINSPARK Womens Fleece Wide Leg Sweatpants High Waisted Athletic Sweat Pants Winter Baggy Workout Pant with Pocket</t>
  </si>
  <si>
    <t>https://www.amazon.com/dp/B0D8GT3TQV?psc=1</t>
  </si>
  <si>
    <t>https://m.media-amazon.com/images/I/31G-mdzhBLL._AC_SR600,600_.jpg</t>
  </si>
  <si>
    <t>79</t>
  </si>
  <si>
    <t>2024-08-31</t>
  </si>
  <si>
    <t>14.88 x 11.18 x 1.57 inches</t>
  </si>
  <si>
    <t>37.80 x 28.40 x 3.99 cm</t>
  </si>
  <si>
    <t>B0DF5288MR</t>
  </si>
  <si>
    <t>PUMIEY Women's Wide Leg Sweatpants Straight Baggy Sweat Pants High Waisted Lounge Pants Airy Collection</t>
  </si>
  <si>
    <t>https://www.amazon.com/dp/B0DF5288MR?psc=1</t>
  </si>
  <si>
    <t>https://m.media-amazon.com/images/I/31OT2AVysrL._AC_SR600,600_.jpg</t>
  </si>
  <si>
    <t>B07SW3C329</t>
  </si>
  <si>
    <t>SPECIALMAGIC</t>
  </si>
  <si>
    <t>https://www.amazon.com/stores/SpecialMagic/page/2E1453ED-330F-4564-A17B-F18D9FD0200D?ref_=ast_bln&amp;store_ref=bl_ast_dp_brandLogo_sto</t>
  </si>
  <si>
    <t>SPECIALMAGIC Women's Sweatpants Capri Pants Cropped Jogger Running Pants Lounge Loose Fit Drawstring Waist with Side Pockets</t>
  </si>
  <si>
    <t>https://www.amazon.com/dp/B07SW3C329?psc=1</t>
  </si>
  <si>
    <t>https://images-na.ssl-images-amazon.com/images/I/71a3zy0KANS._AC_US600_.jpg</t>
  </si>
  <si>
    <t>2019-07-08</t>
  </si>
  <si>
    <t xml:space="preserve">公司名称：Hang Zhou Xiang Tian Gong Ying Lian Guan Li You Xian Gong Si
办公地址：
拱墅区湖州街 18 号18 幢2 楼205室
杭州
浙江
浙江
310015
CN
</t>
  </si>
  <si>
    <t>https://www.amazon.com/gp/help/seller/at-a-glance.html/ref=dp_merchant_link?seller=A2KCA46FZJ0GQS</t>
  </si>
  <si>
    <t>madepants</t>
  </si>
  <si>
    <t>12.8 x 8.9 x 2 inches</t>
  </si>
  <si>
    <t>32.51 x 22.61 x 5.08 cm</t>
  </si>
  <si>
    <t>B0C64C6N43</t>
  </si>
  <si>
    <t>Size: Medium | Fit Type: 30" Inseam Straight Leg | Color: Black</t>
  </si>
  <si>
    <t>Fabric type: Butter Texture Fabric:51%polyester, 43%rayon,6%spandex | Care instructions: Machine Wash | Origin: Imported | Closure type: Drawstring | Country of Origin: China</t>
  </si>
  <si>
    <t>PINSPARK Womens Straight Leg Sweatpants Casual Athletic Workout Pants Stretch Soft Lounge Pants with Pockets</t>
  </si>
  <si>
    <t>https://www.amazon.com/dp/B0C64C6N43?psc=1</t>
  </si>
  <si>
    <t>https://images-na.ssl-images-amazon.com/images/I/61RBRJ35-NL._AC_US600_.jpg</t>
  </si>
  <si>
    <t>B0D41BMTPK</t>
  </si>
  <si>
    <t>82</t>
  </si>
  <si>
    <t>2023-09-30</t>
  </si>
  <si>
    <t>B083JCQXJG</t>
  </si>
  <si>
    <t>CRZ YOGA 4-Way Stretch Workout Joggers for Women 28" - Casual Travel Pants Lounge Athletic Joggers with Pockets</t>
  </si>
  <si>
    <t>https://www.amazon.com/dp/B083JCQXJG?psc=1</t>
  </si>
  <si>
    <t>https://m.media-amazon.com/images/I/31vfH7075hL._AC_SR600,600_.jpg</t>
  </si>
  <si>
    <t>76</t>
  </si>
  <si>
    <t>2021-12-15</t>
  </si>
  <si>
    <t>airplane travel outfits for women</t>
  </si>
  <si>
    <t>9.17 ounces</t>
  </si>
  <si>
    <t>259.96 g</t>
  </si>
  <si>
    <t>10.24 x 9.06 x 0.39 inches</t>
  </si>
  <si>
    <t>26.01 x 23.01 x 0.99 cm</t>
  </si>
  <si>
    <t>B0CC4Y6QRV</t>
  </si>
  <si>
    <t>SUNBS</t>
  </si>
  <si>
    <t>https://www.amazon.com/stores/SUNBS/page/DD99CA62-FDBF-4FAC-80E5-4BA198AE7121?ref_=ast_bln</t>
  </si>
  <si>
    <t>SUNBS 3 Packs Womens Sweatpants Baggy Comfy Lounge Pants Yoga Joggers Workout Pajamas Clothes Casual Fall Fashion 2024</t>
  </si>
  <si>
    <t>https://www.amazon.com/dp/B0CC4Y6QRV?psc=1</t>
  </si>
  <si>
    <t>https://m.media-amazon.com/images/I/41qbSoi7RZL._AC_SR600,600_.jpg</t>
  </si>
  <si>
    <t>89</t>
  </si>
  <si>
    <t>2023-07-17</t>
  </si>
  <si>
    <t xml:space="preserve">公司名称：Guangzhou Dafeng Clothing Trading Co., Ltd.
办公地址：
嘉禾街鹤龙二路259号
14栋310室
广州市
白云区
广东省
510000
CN
</t>
  </si>
  <si>
    <t>https://www.amazon.com/gp/help/seller/at-a-glance.html/ref=dp_merchant_link?seller=APBXA98MO0TWP</t>
  </si>
  <si>
    <t>2.09 Pounds</t>
  </si>
  <si>
    <t>948.01 g</t>
  </si>
  <si>
    <t>14.8 x 11.5 x 4.53 inches</t>
  </si>
  <si>
    <t>37.59 x 29.21 x 11.51 cm</t>
  </si>
  <si>
    <t>B0CWCWN3MW</t>
  </si>
  <si>
    <t>BTFBM</t>
  </si>
  <si>
    <t>https://www.amazon.com/stores/BTFBM/page/F5DB1F57-0171-4D2E-BD4E-5C4A8D024498?ref_=ast_bln&amp;store_ref=bl_ast_dp_brandLogo_sto</t>
  </si>
  <si>
    <t>BTFBM Womens Wide Leg Sweatpants Casual Loose Solid Color Pants Comfy Lounge Joggers Baggy Sweatpants Pockets</t>
  </si>
  <si>
    <t>https://www.amazon.com/dp/B0CWCWN3MW?psc=1</t>
  </si>
  <si>
    <t>https://m.media-amazon.com/images/I/31CTs9EOddL._AC_SR600,600_.jpg</t>
  </si>
  <si>
    <t>85</t>
  </si>
  <si>
    <t>2024-03-31</t>
  </si>
  <si>
    <t>Zadeeso</t>
  </si>
  <si>
    <t xml:space="preserve">公司名称：Foshan Jianxi Clothing Co., Ltd.
办公地址：
罗村下柏大道吉祥路10号吉祥工业园一栋3楼B自编2号
佛山市
狮山镇
广东
528299
CN
</t>
  </si>
  <si>
    <t>https://www.amazon.com/gp/help/seller/at-a-glance.html/ref=dp_merchant_link?seller=A16JH42LGBJNLY</t>
  </si>
  <si>
    <t>1.12 Pounds</t>
  </si>
  <si>
    <t>508.02 g</t>
  </si>
  <si>
    <t>13.23 x 11.42 x 1.3 inches</t>
  </si>
  <si>
    <t>33.60 x 29.01 x 3.30 cm</t>
  </si>
  <si>
    <t>B09G6VDHTZ</t>
  </si>
  <si>
    <t>AUTOMET Women’s Winter Casual Baggy Fleece Lined Sweatpants Fashion High Waisted Joggers Pants Athletic Clothes with Pockets</t>
  </si>
  <si>
    <t>https://www.amazon.com/dp/B09G6VDHTZ?psc=1</t>
  </si>
  <si>
    <t>https://m.media-amazon.com/images/I/31lzCwoHMbL._AC_SR600,600_.jpg</t>
  </si>
  <si>
    <t>2021-09-13</t>
  </si>
  <si>
    <t>cream sweatpants women</t>
  </si>
  <si>
    <t>1.06 Pounds</t>
  </si>
  <si>
    <t>480.81 g</t>
  </si>
  <si>
    <t>14.17 x 10.75 x 2.44 inches</t>
  </si>
  <si>
    <t>35.99 x 27.31 x 6.20 cm</t>
  </si>
  <si>
    <t>B0B2JJQFHV</t>
  </si>
  <si>
    <t>ZENEX</t>
  </si>
  <si>
    <t>https://www.amazon.com/ZENEX/b/ref=bl_sl_s_ap_web_119664532011?ie=UTF8&amp;node=119664532011&amp;field-lbr_brands_browse-bin=ZENEX</t>
  </si>
  <si>
    <t>ZENEX Women's Sweatpants with Pockets, Soft Lightweight Jogger Pants for Running Yoga Workout Lounge Pants</t>
  </si>
  <si>
    <t>https://www.amazon.com/dp/B0B2JJQFHV?psc=1</t>
  </si>
  <si>
    <t>https://m.media-amazon.com/images/I/41E3JM9XcDL._AC_SR600,600_.jpg</t>
  </si>
  <si>
    <t>2023-10-12</t>
  </si>
  <si>
    <t>weirui store</t>
  </si>
  <si>
    <t xml:space="preserve">公司名称：yiwushiweiruidianzishangwuyouxiangongsi
办公地址：
下朱C区3栋2单元501室
义乌市
江东街道
浙江省
322000
CN
</t>
  </si>
  <si>
    <t>https://www.amazon.com/gp/help/seller/at-a-glance.html/ref=dp_merchant_link?seller=AX9GHO4D4XKMP</t>
  </si>
  <si>
    <t>zenex</t>
  </si>
  <si>
    <t>1.72 Pounds</t>
  </si>
  <si>
    <t>780.18 g</t>
  </si>
  <si>
    <t>10.67 x 9.57 x 2.83 inches</t>
  </si>
  <si>
    <t>27.10 x 24.31 x 7.19 cm</t>
  </si>
  <si>
    <t>B0DF2BJDN3</t>
  </si>
  <si>
    <t>Trendy Queen Womens Striped Ribbed Wide Leg Pants Casual Drawstring Elastic Waist Baggy Sweatpants with Pockets</t>
  </si>
  <si>
    <t>https://www.amazon.com/dp/B0DF2BJDN3?psc=1</t>
  </si>
  <si>
    <t>https://m.media-amazon.com/images/I/51aga38cJWL._AC_SR600,600_.jpg</t>
  </si>
  <si>
    <t>86</t>
  </si>
  <si>
    <t>2024-10-14</t>
  </si>
  <si>
    <t>13.44 ounces</t>
  </si>
  <si>
    <t>14.09 x 10.04 x 2.09 inches</t>
  </si>
  <si>
    <t>35.79 x 25.50 x 5.31 cm</t>
  </si>
  <si>
    <t>B0CCS7MN8F</t>
  </si>
  <si>
    <t>Kamo Fitness</t>
  </si>
  <si>
    <t>https://www.amazon.com/stores/KamoFitness/page/B2A8CFF8-A118-4939-93FA-36E3EBC5EA58?ref_=ast_bln&amp;store_ref=bl_ast_dp_brandLogo_sto</t>
  </si>
  <si>
    <t>Kamo Fitness CozyTec High-Waisted Sweatpants for Women Baggy: Comfy Lounge Pants with Pockets Crafted from Soft Thick Fleece</t>
  </si>
  <si>
    <t>https://www.amazon.com/dp/B0CCS7MN8F?psc=1</t>
  </si>
  <si>
    <t>https://m.media-amazon.com/images/I/31jSeXMvTOL._AC_SR600,600_.jpg</t>
  </si>
  <si>
    <t>95</t>
  </si>
  <si>
    <t>2023-07-23</t>
  </si>
  <si>
    <t>RO</t>
  </si>
  <si>
    <t xml:space="preserve">公司名称：Brand Box Concept
办公地址：
Ale. Magnoliilor, Nr. 5, Sat Smeura
Mosoaia
Arges
117512
RO
</t>
  </si>
  <si>
    <t>https://www.amazon.com/gp/help/seller/at-a-glance.html/ref=dp_merchant_link?seller=A2C0HO9BOJLXPH</t>
  </si>
  <si>
    <t>18 x 13.5 x 1.5 inches</t>
  </si>
  <si>
    <t>45.72 x 34.29 x 3.81 cm</t>
  </si>
  <si>
    <t>B0BCQL5TQV</t>
  </si>
  <si>
    <t>SANTINY Women's Fleece Lined Joggers Water Resistant High Waisted Thermal Sweatpants Winter Pants Hiking Running Pockets</t>
  </si>
  <si>
    <t>https://www.amazon.com/dp/B0BCQL5TQV?psc=1</t>
  </si>
  <si>
    <t>https://images-na.ssl-images-amazon.com/images/I/615FCb04dNL._AC_US600_.jpg</t>
  </si>
  <si>
    <t>107</t>
  </si>
  <si>
    <t>2022-08-31</t>
  </si>
  <si>
    <t>fleece pants women hiking</t>
  </si>
  <si>
    <t>6 ounces</t>
  </si>
  <si>
    <t>170.10 g</t>
  </si>
  <si>
    <t>11.81 x 7.87 x 0.47 inches</t>
  </si>
  <si>
    <t>30.00 x 19.99 x 1.19 cm</t>
  </si>
  <si>
    <t>B075M3NVG9</t>
  </si>
  <si>
    <t>Fruit of the Loom Women's Crafted Comfort Crafted Comfort Joggers &amp; Open Bottom Pants</t>
  </si>
  <si>
    <t>https://www.amazon.com/dp/B075M3NVG9?psc=1</t>
  </si>
  <si>
    <t>https://m.media-amazon.com/images/I/31vl+5gPoDL._AC_SR600,600_.jpg</t>
  </si>
  <si>
    <t>99</t>
  </si>
  <si>
    <t>2023-03-16</t>
  </si>
  <si>
    <t>Dagger Deals</t>
  </si>
  <si>
    <t xml:space="preserve">公司名称：JDCA inc
办公地址：
1254 E 23rd St
BROOKLYN
NY
11210
US
</t>
  </si>
  <si>
    <t>https://www.amazon.com/gp/help/seller/at-a-glance.html/ref=dp_merchant_link?seller=ALAZ3M7Q9510E</t>
  </si>
  <si>
    <t>ladies sweat pants straight leg</t>
  </si>
  <si>
    <t>11.32 ounces</t>
  </si>
  <si>
    <t>320.92 g</t>
  </si>
  <si>
    <t>12.13 x 11.18 x 2.36 inches</t>
  </si>
  <si>
    <t>30.81 x 28.40 x 5.99 cm</t>
  </si>
  <si>
    <t>B0C6TCV2T1</t>
  </si>
  <si>
    <t>Stanpetix</t>
  </si>
  <si>
    <t>https://www.amazon.com/stores/Stanpetix/page/4EFE32C2-1EDC-4807-A155-1E34875CDDC3?ref_=ast_bln&amp;store_ref=bl_ast_dp_brandLogo_sto</t>
  </si>
  <si>
    <t>Stanpetix Womens Sweatpants with Pockets - Joggers for Women Sport Pants Trousers for Women</t>
  </si>
  <si>
    <t>https://www.amazon.com/dp/B0C6TCV2T1?psc=1</t>
  </si>
  <si>
    <t>https://m.media-amazon.com/images/I/31pDEDbY0wL._AC_SR600,600_.jpg</t>
  </si>
  <si>
    <t>98</t>
  </si>
  <si>
    <t>2024-01-23</t>
  </si>
  <si>
    <t>TrendsWay</t>
  </si>
  <si>
    <t xml:space="preserve">公司名称：Jinhua Shunwei Wangluo Keji Youxian Gongsi
办公地址：
师大街
334号一楼
金华市
婺城区
浙江
321000
CN
</t>
  </si>
  <si>
    <t>https://www.amazon.com/gp/help/seller/at-a-glance.html/ref=dp_merchant_link?seller=A3QZXWZEQSX736</t>
  </si>
  <si>
    <t>jogging pants womens</t>
  </si>
  <si>
    <t>7.37 ounces</t>
  </si>
  <si>
    <t>208.94 g</t>
  </si>
  <si>
    <t>10.47 x 7.4 x 1.89 inches</t>
  </si>
  <si>
    <t>26.59 x 18.80 x 4.80 cm</t>
  </si>
  <si>
    <t>B0D5HT16VR</t>
  </si>
  <si>
    <t>AUTOMET Womens Sweatpants Wide Leg Cargo Pants Fall Fashion Outfits Sweats Baggy Winter Clothes Parachute Joggers</t>
  </si>
  <si>
    <t>https://www.amazon.com/dp/B0D5HT16VR?psc=1</t>
  </si>
  <si>
    <t>https://m.media-amazon.com/images/I/31cXgIv4U7L._AC_SR600,600_.jpg</t>
  </si>
  <si>
    <t>128</t>
  </si>
  <si>
    <t>14.53 x 12.24 x 2.17 inches</t>
  </si>
  <si>
    <t>36.91 x 31.09 x 5.51 cm</t>
  </si>
  <si>
    <t>B07K1R95WB</t>
  </si>
  <si>
    <t>Flygo</t>
  </si>
  <si>
    <t>https://www.amazon.com/stores/Flygo/page/14C668C1-7D05-4C14-AC73-A1BD46A77537?ref_=ast_bln&amp;store_ref=bl_ast_dp_brandLogo_sto</t>
  </si>
  <si>
    <t>Flygo Women's Winter Warm Fleece Joggers Pants Sherpa Lined Athletic Active Sweatpants</t>
  </si>
  <si>
    <t>https://www.amazon.com/dp/B07K1R95WB?psc=1</t>
  </si>
  <si>
    <t>https://m.media-amazon.com/images/I/31TGdmxkcqL._AC_SR600,600_.jpg</t>
  </si>
  <si>
    <t>2020-06-10</t>
  </si>
  <si>
    <t>Zhusheng-US</t>
  </si>
  <si>
    <t xml:space="preserve">公司名称：Anhui Beilunbei Trading Co., Ltd
电话号码：+8618712199168
办公地址：
6楼601室
蜀山区稻香路226号综合楼
合肥
安徽
230000
CN
</t>
  </si>
  <si>
    <t>https://www.amazon.com/gp/help/seller/at-a-glance.html/ref=dp_merchant_link?seller=A2RPNVZ64595KM</t>
  </si>
  <si>
    <t>cozy women sweatpants</t>
  </si>
  <si>
    <t>B0BN8JFRCH</t>
  </si>
  <si>
    <t>URATOT</t>
  </si>
  <si>
    <t>https://www.amazon.com/stores/URATOT/page/A864889C-E5D3-4BA5-841F-7D4A1A795E44?ref_=ast_bln&amp;store_ref=bl_ast_dp_brandLogo_sto</t>
  </si>
  <si>
    <t>URATOT 2 Pack Women's Sherpa Lined Sweatpants with Pockets Winter Warm Jogger Sweatpants Athletic Fleece Lined Pants</t>
  </si>
  <si>
    <t>https://www.amazon.com/dp/B0BN8JFRCH?psc=1</t>
  </si>
  <si>
    <t>https://images-na.ssl-images-amazon.com/images/I/81SNpUCdLAL._AC_US600_.jpg</t>
  </si>
  <si>
    <t>143</t>
  </si>
  <si>
    <t>2022-11-23</t>
  </si>
  <si>
    <t>URATOT Direct</t>
  </si>
  <si>
    <t xml:space="preserve">公司名称：Hefei XunTi Technology Co., Ltd.
办公地址：
清溪路333号
奥林花园三期40栋205室
合肥市
蜀山区
安徽
230000
CN
</t>
  </si>
  <si>
    <t>https://www.amazon.com/gp/help/seller/at-a-glance.html/ref=dp_merchant_link?seller=AIS7XGERQO816</t>
  </si>
  <si>
    <t>2.27 Pounds</t>
  </si>
  <si>
    <t>1.03 kg</t>
  </si>
  <si>
    <t>11.85 x 10 x 3.35 inches</t>
  </si>
  <si>
    <t>30.10 x 25.40 x 8.51 cm</t>
  </si>
  <si>
    <t>B09B2JV7L4</t>
  </si>
  <si>
    <t>Inno</t>
  </si>
  <si>
    <t>https://www.amazon.com/stores/Inno/page/C145ECB9-A096-4073-8D4E-F19E08DD0535?ref_=ast_bln&amp;store_ref=bl_ast_dp_brandLogo_sto</t>
  </si>
  <si>
    <t>Inno 28" 31" 34" 36" Women's Baby Polar Fleece Lined Jogger Pants Warm Sweatpants Thermal Athletic Lounge</t>
  </si>
  <si>
    <t>https://www.amazon.com/dp/B09B2JV7L4?psc=1</t>
  </si>
  <si>
    <t>https://m.media-amazon.com/images/I/313VGEb2LiL._AC_SR600,600_.jpg</t>
  </si>
  <si>
    <t>117</t>
  </si>
  <si>
    <t>2023-04-20</t>
  </si>
  <si>
    <t>INNO Choice</t>
  </si>
  <si>
    <t xml:space="preserve">公司名称：WANWUWEIXIN(XIAMEN)WENHUAKEJIYOUXIANGONGSI
办公地址：
12号803室
海山路，湖里区
厦门市
福建
361000
CN
</t>
  </si>
  <si>
    <t>https://www.amazon.com/gp/help/seller/at-a-glance.html/ref=dp_merchant_link?seller=A2Q88JXUJAOZIT</t>
  </si>
  <si>
    <t>fleece sweatpants women long/tall length</t>
  </si>
  <si>
    <t>11.81 x 1.18 x 7.87 inches</t>
  </si>
  <si>
    <t>30.00 x 3.00 x 19.99 cm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</si>
  <si>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</si>
  <si>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</si>
  <si>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</si>
  <si>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</si>
  <si>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插件视频教程：https://www.sellersprite.com/cn/help/tour-of-sellersprite-extension</t>
  </si>
  <si>
    <t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</si>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</sst>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%"/>
    <numFmt numFmtId="177" formatCode="#,##0.0"/>
    <numFmt numFmtId="178" formatCode="#,##0.00%"/>
  </numFmts>
  <fonts count="25">
    <font>
      <sz val="11"/>
      <color theme="1"/>
      <name val="宋体"/>
      <charset val="134"/>
      <scheme val="minor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5"/>
      <color rgb="FFFFFFFF"/>
      <name val="微软雅黑"/>
      <charset val="134"/>
    </font>
    <font>
      <sz val="11"/>
      <color rgb="FFFEFEFE"/>
      <name val="等线"/>
      <charset val="134"/>
    </font>
    <font>
      <sz val="1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5" borderId="4" applyNumberFormat="0" applyAlignment="0" applyProtection="0">
      <alignment vertical="center"/>
    </xf>
    <xf numFmtId="0" fontId="17" fillId="6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3" fontId="4" fillId="2" borderId="0" xfId="0" applyNumberFormat="1" applyFont="1" applyFill="1" applyAlignment="1">
      <alignment horizontal="center" vertical="center"/>
    </xf>
    <xf numFmtId="176" fontId="4" fillId="2" borderId="0" xfId="0" applyNumberFormat="1" applyFont="1" applyFill="1" applyAlignment="1">
      <alignment horizontal="center" vertical="center"/>
    </xf>
    <xf numFmtId="3" fontId="5" fillId="0" borderId="0" xfId="0" applyNumberFormat="1" applyFont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left" vertical="center" wrapText="1"/>
    </xf>
    <xf numFmtId="4" fontId="4" fillId="2" borderId="0" xfId="0" applyNumberFormat="1" applyFont="1" applyFill="1" applyAlignment="1">
      <alignment horizontal="center" vertical="center"/>
    </xf>
    <xf numFmtId="3" fontId="5" fillId="0" borderId="0" xfId="0" applyNumberFormat="1" applyFont="1" applyAlignment="1">
      <alignment horizontal="right" vertical="center" wrapText="1"/>
    </xf>
    <xf numFmtId="0" fontId="5" fillId="0" borderId="0" xfId="0" applyFont="1" applyAlignment="1">
      <alignment horizontal="right" vertical="center"/>
    </xf>
    <xf numFmtId="3" fontId="5" fillId="0" borderId="0" xfId="0" applyNumberFormat="1" applyFont="1" applyAlignment="1">
      <alignment horizontal="center" vertical="center"/>
    </xf>
    <xf numFmtId="4" fontId="5" fillId="0" borderId="0" xfId="0" applyNumberFormat="1" applyFont="1" applyAlignment="1">
      <alignment horizontal="right" vertical="center"/>
    </xf>
    <xf numFmtId="177" fontId="4" fillId="2" borderId="0" xfId="0" applyNumberFormat="1" applyFont="1" applyFill="1" applyAlignment="1">
      <alignment horizontal="center" vertical="center"/>
    </xf>
    <xf numFmtId="178" fontId="4" fillId="2" borderId="0" xfId="0" applyNumberFormat="1" applyFont="1" applyFill="1" applyAlignment="1">
      <alignment horizontal="center" vertical="center"/>
    </xf>
    <xf numFmtId="177" fontId="5" fillId="0" borderId="0" xfId="0" applyNumberFormat="1" applyFont="1" applyAlignment="1">
      <alignment horizontal="right" vertical="center"/>
    </xf>
    <xf numFmtId="178" fontId="5" fillId="0" borderId="0" xfId="0" applyNumberFormat="1" applyFont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9" Type="http://schemas.openxmlformats.org/officeDocument/2006/relationships/image" Target="media/image100.jpeg"/><Relationship Id="rId98" Type="http://schemas.openxmlformats.org/officeDocument/2006/relationships/image" Target="media/image99.jpeg"/><Relationship Id="rId97" Type="http://schemas.openxmlformats.org/officeDocument/2006/relationships/image" Target="media/image98.jpeg"/><Relationship Id="rId96" Type="http://schemas.openxmlformats.org/officeDocument/2006/relationships/image" Target="media/image97.jpeg"/><Relationship Id="rId95" Type="http://schemas.openxmlformats.org/officeDocument/2006/relationships/image" Target="media/image96.jpeg"/><Relationship Id="rId94" Type="http://schemas.openxmlformats.org/officeDocument/2006/relationships/image" Target="media/image95.jpeg"/><Relationship Id="rId93" Type="http://schemas.openxmlformats.org/officeDocument/2006/relationships/image" Target="media/image94.jpeg"/><Relationship Id="rId92" Type="http://schemas.openxmlformats.org/officeDocument/2006/relationships/image" Target="media/image93.jpeg"/><Relationship Id="rId91" Type="http://schemas.openxmlformats.org/officeDocument/2006/relationships/image" Target="media/image92.jpeg"/><Relationship Id="rId90" Type="http://schemas.openxmlformats.org/officeDocument/2006/relationships/image" Target="media/image91.jpeg"/><Relationship Id="rId9" Type="http://schemas.openxmlformats.org/officeDocument/2006/relationships/image" Target="media/image10.jpeg"/><Relationship Id="rId89" Type="http://schemas.openxmlformats.org/officeDocument/2006/relationships/image" Target="media/image90.jpeg"/><Relationship Id="rId88" Type="http://schemas.openxmlformats.org/officeDocument/2006/relationships/image" Target="media/image89.jpeg"/><Relationship Id="rId87" Type="http://schemas.openxmlformats.org/officeDocument/2006/relationships/image" Target="media/image88.jpeg"/><Relationship Id="rId86" Type="http://schemas.openxmlformats.org/officeDocument/2006/relationships/image" Target="media/image87.jpeg"/><Relationship Id="rId85" Type="http://schemas.openxmlformats.org/officeDocument/2006/relationships/image" Target="media/image86.jpeg"/><Relationship Id="rId84" Type="http://schemas.openxmlformats.org/officeDocument/2006/relationships/image" Target="media/image85.jpeg"/><Relationship Id="rId83" Type="http://schemas.openxmlformats.org/officeDocument/2006/relationships/image" Target="media/image84.jpeg"/><Relationship Id="rId82" Type="http://schemas.openxmlformats.org/officeDocument/2006/relationships/image" Target="media/image83.jpeg"/><Relationship Id="rId81" Type="http://schemas.openxmlformats.org/officeDocument/2006/relationships/image" Target="media/image82.jpeg"/><Relationship Id="rId80" Type="http://schemas.openxmlformats.org/officeDocument/2006/relationships/image" Target="media/image81.jpeg"/><Relationship Id="rId8" Type="http://schemas.openxmlformats.org/officeDocument/2006/relationships/image" Target="media/image9.jpeg"/><Relationship Id="rId79" Type="http://schemas.openxmlformats.org/officeDocument/2006/relationships/image" Target="media/image80.jpeg"/><Relationship Id="rId78" Type="http://schemas.openxmlformats.org/officeDocument/2006/relationships/image" Target="media/image79.jpeg"/><Relationship Id="rId77" Type="http://schemas.openxmlformats.org/officeDocument/2006/relationships/image" Target="media/image78.jpeg"/><Relationship Id="rId76" Type="http://schemas.openxmlformats.org/officeDocument/2006/relationships/image" Target="media/image77.jpeg"/><Relationship Id="rId75" Type="http://schemas.openxmlformats.org/officeDocument/2006/relationships/image" Target="media/image76.jpeg"/><Relationship Id="rId74" Type="http://schemas.openxmlformats.org/officeDocument/2006/relationships/image" Target="media/image75.jpeg"/><Relationship Id="rId73" Type="http://schemas.openxmlformats.org/officeDocument/2006/relationships/image" Target="media/image74.jpeg"/><Relationship Id="rId72" Type="http://schemas.openxmlformats.org/officeDocument/2006/relationships/image" Target="media/image73.jpeg"/><Relationship Id="rId71" Type="http://schemas.openxmlformats.org/officeDocument/2006/relationships/image" Target="media/image72.jpeg"/><Relationship Id="rId70" Type="http://schemas.openxmlformats.org/officeDocument/2006/relationships/image" Target="media/image71.jpeg"/><Relationship Id="rId7" Type="http://schemas.openxmlformats.org/officeDocument/2006/relationships/image" Target="media/image8.jpeg"/><Relationship Id="rId69" Type="http://schemas.openxmlformats.org/officeDocument/2006/relationships/image" Target="media/image70.jpeg"/><Relationship Id="rId68" Type="http://schemas.openxmlformats.org/officeDocument/2006/relationships/image" Target="media/image69.jpeg"/><Relationship Id="rId67" Type="http://schemas.openxmlformats.org/officeDocument/2006/relationships/image" Target="media/image68.jpeg"/><Relationship Id="rId66" Type="http://schemas.openxmlformats.org/officeDocument/2006/relationships/image" Target="media/image67.jpeg"/><Relationship Id="rId65" Type="http://schemas.openxmlformats.org/officeDocument/2006/relationships/image" Target="media/image66.jpeg"/><Relationship Id="rId64" Type="http://schemas.openxmlformats.org/officeDocument/2006/relationships/image" Target="media/image65.jpeg"/><Relationship Id="rId63" Type="http://schemas.openxmlformats.org/officeDocument/2006/relationships/image" Target="media/image64.jpeg"/><Relationship Id="rId62" Type="http://schemas.openxmlformats.org/officeDocument/2006/relationships/image" Target="media/image63.jpeg"/><Relationship Id="rId61" Type="http://schemas.openxmlformats.org/officeDocument/2006/relationships/image" Target="media/image62.jpeg"/><Relationship Id="rId60" Type="http://schemas.openxmlformats.org/officeDocument/2006/relationships/image" Target="media/image61.jpeg"/><Relationship Id="rId6" Type="http://schemas.openxmlformats.org/officeDocument/2006/relationships/image" Target="media/image7.jpeg"/><Relationship Id="rId59" Type="http://schemas.openxmlformats.org/officeDocument/2006/relationships/image" Target="media/image60.jpeg"/><Relationship Id="rId58" Type="http://schemas.openxmlformats.org/officeDocument/2006/relationships/image" Target="media/image59.jpeg"/><Relationship Id="rId57" Type="http://schemas.openxmlformats.org/officeDocument/2006/relationships/image" Target="media/image58.jpeg"/><Relationship Id="rId56" Type="http://schemas.openxmlformats.org/officeDocument/2006/relationships/image" Target="media/image57.jpeg"/><Relationship Id="rId55" Type="http://schemas.openxmlformats.org/officeDocument/2006/relationships/image" Target="media/image56.jpeg"/><Relationship Id="rId54" Type="http://schemas.openxmlformats.org/officeDocument/2006/relationships/image" Target="media/image55.jpeg"/><Relationship Id="rId53" Type="http://schemas.openxmlformats.org/officeDocument/2006/relationships/image" Target="media/image54.jpeg"/><Relationship Id="rId52" Type="http://schemas.openxmlformats.org/officeDocument/2006/relationships/image" Target="media/image53.jpeg"/><Relationship Id="rId51" Type="http://schemas.openxmlformats.org/officeDocument/2006/relationships/image" Target="media/image52.jpeg"/><Relationship Id="rId50" Type="http://schemas.openxmlformats.org/officeDocument/2006/relationships/image" Target="media/image51.jpeg"/><Relationship Id="rId5" Type="http://schemas.openxmlformats.org/officeDocument/2006/relationships/image" Target="media/image6.jpeg"/><Relationship Id="rId49" Type="http://schemas.openxmlformats.org/officeDocument/2006/relationships/image" Target="media/image50.jpeg"/><Relationship Id="rId48" Type="http://schemas.openxmlformats.org/officeDocument/2006/relationships/image" Target="media/image49.jpeg"/><Relationship Id="rId47" Type="http://schemas.openxmlformats.org/officeDocument/2006/relationships/image" Target="media/image48.jpeg"/><Relationship Id="rId46" Type="http://schemas.openxmlformats.org/officeDocument/2006/relationships/image" Target="media/image47.jpeg"/><Relationship Id="rId45" Type="http://schemas.openxmlformats.org/officeDocument/2006/relationships/image" Target="media/image46.jpeg"/><Relationship Id="rId44" Type="http://schemas.openxmlformats.org/officeDocument/2006/relationships/image" Target="media/image45.jpeg"/><Relationship Id="rId43" Type="http://schemas.openxmlformats.org/officeDocument/2006/relationships/image" Target="media/image44.jpeg"/><Relationship Id="rId42" Type="http://schemas.openxmlformats.org/officeDocument/2006/relationships/image" Target="media/image43.jpeg"/><Relationship Id="rId41" Type="http://schemas.openxmlformats.org/officeDocument/2006/relationships/image" Target="media/image42.jpeg"/><Relationship Id="rId40" Type="http://schemas.openxmlformats.org/officeDocument/2006/relationships/image" Target="media/image41.jpeg"/><Relationship Id="rId4" Type="http://schemas.openxmlformats.org/officeDocument/2006/relationships/image" Target="media/image5.jpeg"/><Relationship Id="rId39" Type="http://schemas.openxmlformats.org/officeDocument/2006/relationships/image" Target="media/image40.jpeg"/><Relationship Id="rId38" Type="http://schemas.openxmlformats.org/officeDocument/2006/relationships/image" Target="media/image39.jpeg"/><Relationship Id="rId37" Type="http://schemas.openxmlformats.org/officeDocument/2006/relationships/image" Target="media/image38.jpeg"/><Relationship Id="rId36" Type="http://schemas.openxmlformats.org/officeDocument/2006/relationships/image" Target="media/image37.jpeg"/><Relationship Id="rId35" Type="http://schemas.openxmlformats.org/officeDocument/2006/relationships/image" Target="media/image36.jpeg"/><Relationship Id="rId34" Type="http://schemas.openxmlformats.org/officeDocument/2006/relationships/image" Target="media/image35.jpeg"/><Relationship Id="rId33" Type="http://schemas.openxmlformats.org/officeDocument/2006/relationships/image" Target="media/image34.jpeg"/><Relationship Id="rId32" Type="http://schemas.openxmlformats.org/officeDocument/2006/relationships/image" Target="media/image33.jpeg"/><Relationship Id="rId31" Type="http://schemas.openxmlformats.org/officeDocument/2006/relationships/image" Target="media/image32.jpeg"/><Relationship Id="rId30" Type="http://schemas.openxmlformats.org/officeDocument/2006/relationships/image" Target="media/image31.jpeg"/><Relationship Id="rId3" Type="http://schemas.openxmlformats.org/officeDocument/2006/relationships/image" Target="media/image4.jpeg"/><Relationship Id="rId29" Type="http://schemas.openxmlformats.org/officeDocument/2006/relationships/image" Target="media/image30.jpeg"/><Relationship Id="rId28" Type="http://schemas.openxmlformats.org/officeDocument/2006/relationships/image" Target="media/image29.jpeg"/><Relationship Id="rId27" Type="http://schemas.openxmlformats.org/officeDocument/2006/relationships/image" Target="media/image28.jpeg"/><Relationship Id="rId26" Type="http://schemas.openxmlformats.org/officeDocument/2006/relationships/image" Target="media/image27.jpeg"/><Relationship Id="rId25" Type="http://schemas.openxmlformats.org/officeDocument/2006/relationships/image" Target="media/image26.jpeg"/><Relationship Id="rId24" Type="http://schemas.openxmlformats.org/officeDocument/2006/relationships/image" Target="media/image25.jpeg"/><Relationship Id="rId23" Type="http://schemas.openxmlformats.org/officeDocument/2006/relationships/image" Target="media/image24.jpeg"/><Relationship Id="rId22" Type="http://schemas.openxmlformats.org/officeDocument/2006/relationships/image" Target="media/image23.jpeg"/><Relationship Id="rId21" Type="http://schemas.openxmlformats.org/officeDocument/2006/relationships/image" Target="media/image22.jpeg"/><Relationship Id="rId20" Type="http://schemas.openxmlformats.org/officeDocument/2006/relationships/image" Target="media/image21.jpeg"/><Relationship Id="rId2" Type="http://schemas.openxmlformats.org/officeDocument/2006/relationships/image" Target="media/image3.jpeg"/><Relationship Id="rId19" Type="http://schemas.openxmlformats.org/officeDocument/2006/relationships/image" Target="media/image20.jpeg"/><Relationship Id="rId18" Type="http://schemas.openxmlformats.org/officeDocument/2006/relationships/image" Target="media/image19.jpeg"/><Relationship Id="rId17" Type="http://schemas.openxmlformats.org/officeDocument/2006/relationships/image" Target="media/image18.jpeg"/><Relationship Id="rId16" Type="http://schemas.openxmlformats.org/officeDocument/2006/relationships/image" Target="media/image17.jpeg"/><Relationship Id="rId15" Type="http://schemas.openxmlformats.org/officeDocument/2006/relationships/image" Target="media/image16.jpeg"/><Relationship Id="rId14" Type="http://schemas.openxmlformats.org/officeDocument/2006/relationships/image" Target="media/image15.jpeg"/><Relationship Id="rId13" Type="http://schemas.openxmlformats.org/officeDocument/2006/relationships/image" Target="media/image14.jpeg"/><Relationship Id="rId12" Type="http://schemas.openxmlformats.org/officeDocument/2006/relationships/image" Target="media/image13.jpeg"/><Relationship Id="rId11" Type="http://schemas.openxmlformats.org/officeDocument/2006/relationships/image" Target="media/image12.jpeg"/><Relationship Id="rId100" Type="http://schemas.openxmlformats.org/officeDocument/2006/relationships/image" Target="media/image101.jpeg"/><Relationship Id="rId10" Type="http://schemas.openxmlformats.org/officeDocument/2006/relationships/image" Target="media/image11.jpeg"/><Relationship Id="rId1" Type="http://schemas.openxmlformats.org/officeDocument/2006/relationships/image" Target="media/image2.jpeg"/></Relationships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633600</xdr:colOff>
      <xdr:row>2</xdr:row>
      <xdr:rowOff>150000</xdr:rowOff>
    </xdr:from>
    <xdr:ext cx="952500" cy="952500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633095" y="1292860"/>
          <a:ext cx="952500" cy="952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amazon.com/dp/B081GYBNKP" TargetMode="External"/><Relationship Id="rId98" Type="http://schemas.openxmlformats.org/officeDocument/2006/relationships/hyperlink" Target="https://images-na.ssl-images-amazon.com/images/I/31cFPqtuGSL._AC_US600_.jpg" TargetMode="External"/><Relationship Id="rId97" Type="http://schemas.openxmlformats.org/officeDocument/2006/relationships/hyperlink" Target="https://www.amazon.com/dp/B081GWWN93?psc=1" TargetMode="External"/><Relationship Id="rId96" Type="http://schemas.openxmlformats.org/officeDocument/2006/relationships/hyperlink" Target="https://www.amazon.com/dp/B081GWWN93" TargetMode="External"/><Relationship Id="rId95" Type="http://schemas.openxmlformats.org/officeDocument/2006/relationships/hyperlink" Target="https://www.amazon.com/dp/B0DJYXH4WV" TargetMode="External"/><Relationship Id="rId94" Type="http://schemas.openxmlformats.org/officeDocument/2006/relationships/hyperlink" Target="https://m.media-amazon.com/images/I/41-QT3su1GL._AC_SR600,600_.jpg" TargetMode="External"/><Relationship Id="rId93" Type="http://schemas.openxmlformats.org/officeDocument/2006/relationships/hyperlink" Target="https://www.amazon.com/dp/B0B9T5VK32?psc=1" TargetMode="External"/><Relationship Id="rId92" Type="http://schemas.openxmlformats.org/officeDocument/2006/relationships/hyperlink" Target="https://www.amazon.com/dp/B0B9T5VK32" TargetMode="External"/><Relationship Id="rId91" Type="http://schemas.openxmlformats.org/officeDocument/2006/relationships/hyperlink" Target="https://www.amazon.com/gp/help/seller/at-a-glance.html/ref=dp_merchant_link?seller=A1CX3Y6OPGB2MO" TargetMode="External"/><Relationship Id="rId90" Type="http://schemas.openxmlformats.org/officeDocument/2006/relationships/hyperlink" Target="https://www.amazon.com/dp/B0CGV3LQHT" TargetMode="External"/><Relationship Id="rId9" Type="http://schemas.openxmlformats.org/officeDocument/2006/relationships/hyperlink" Target="https://www.amazon.com/stores/AUTOMET/page/FCCD3AC0-B62A-45A7-BF7C-452CD65FDF26?ref_=ast_bln&amp;store_ref=bl_ast_dp_brandLogo_sto" TargetMode="External"/><Relationship Id="rId89" Type="http://schemas.openxmlformats.org/officeDocument/2006/relationships/hyperlink" Target="https://images-na.ssl-images-amazon.com/images/I/61ev4PLw5xL._AC_US600_.jpg" TargetMode="External"/><Relationship Id="rId88" Type="http://schemas.openxmlformats.org/officeDocument/2006/relationships/hyperlink" Target="https://www.amazon.com/dp/B0CGV3Z1J9?psc=1" TargetMode="External"/><Relationship Id="rId87" Type="http://schemas.openxmlformats.org/officeDocument/2006/relationships/hyperlink" Target="https://www.amazon.com/stores/CRZYOGA/page/F2232413-0F7D-4831-81A1-9FDFCFE5C54D?ref_=ast_bln&amp;store_ref=bl_ast_dp_brandLogo_sto" TargetMode="External"/><Relationship Id="rId86" Type="http://schemas.openxmlformats.org/officeDocument/2006/relationships/hyperlink" Target="https://www.amazon.com/dp/B0CGV3Z1J9" TargetMode="External"/><Relationship Id="rId85" Type="http://schemas.openxmlformats.org/officeDocument/2006/relationships/hyperlink" Target="https://www.amazon.com/dp/B0D55ZWT83" TargetMode="External"/><Relationship Id="rId84" Type="http://schemas.openxmlformats.org/officeDocument/2006/relationships/hyperlink" Target="https://images-na.ssl-images-amazon.com/images/I/71QO0lU+8RL._AC_US600_.jpg" TargetMode="External"/><Relationship Id="rId83" Type="http://schemas.openxmlformats.org/officeDocument/2006/relationships/hyperlink" Target="https://www.amazon.com/dp/B0D56DKYJ5?psc=1" TargetMode="External"/><Relationship Id="rId82" Type="http://schemas.openxmlformats.org/officeDocument/2006/relationships/hyperlink" Target="https://www.amazon.com/dp/B0D56DKYJ5" TargetMode="External"/><Relationship Id="rId81" Type="http://schemas.openxmlformats.org/officeDocument/2006/relationships/hyperlink" Target="https://www.amazon.com/dp/B08LBF6PZZ" TargetMode="External"/><Relationship Id="rId80" Type="http://schemas.openxmlformats.org/officeDocument/2006/relationships/hyperlink" Target="https://m.media-amazon.com/images/I/31kz7NZE+VL._AC_SR600,600_.jpg" TargetMode="External"/><Relationship Id="rId8" Type="http://schemas.openxmlformats.org/officeDocument/2006/relationships/hyperlink" Target="https://www.amazon.com/dp/B08XXMQ32C" TargetMode="External"/><Relationship Id="rId79" Type="http://schemas.openxmlformats.org/officeDocument/2006/relationships/hyperlink" Target="https://www.amazon.com/dp/B08LBG6G3L?psc=1" TargetMode="External"/><Relationship Id="rId78" Type="http://schemas.openxmlformats.org/officeDocument/2006/relationships/hyperlink" Target="https://www.amazon.com/dp/B08LBG6G3L" TargetMode="External"/><Relationship Id="rId77" Type="http://schemas.openxmlformats.org/officeDocument/2006/relationships/hyperlink" Target="https://www.amazon.com/dp/B0CDQ465K4" TargetMode="External"/><Relationship Id="rId76" Type="http://schemas.openxmlformats.org/officeDocument/2006/relationships/hyperlink" Target="https://m.media-amazon.com/images/I/31B6hE1WoOL._AC_SR600,600_.jpg" TargetMode="External"/><Relationship Id="rId75" Type="http://schemas.openxmlformats.org/officeDocument/2006/relationships/hyperlink" Target="https://www.amazon.com/dp/B0CDPGD31L?psc=1" TargetMode="External"/><Relationship Id="rId74" Type="http://schemas.openxmlformats.org/officeDocument/2006/relationships/hyperlink" Target="https://www.amazon.com/dp/B0CDPGD31L" TargetMode="External"/><Relationship Id="rId73" Type="http://schemas.openxmlformats.org/officeDocument/2006/relationships/hyperlink" Target="https://www.amazon.com/gp/bestsellers/private-brands" TargetMode="External"/><Relationship Id="rId72" Type="http://schemas.openxmlformats.org/officeDocument/2006/relationships/hyperlink" Target="https://www.amazon.com/dp/B0D3ZJ6YKD" TargetMode="External"/><Relationship Id="rId71" Type="http://schemas.openxmlformats.org/officeDocument/2006/relationships/hyperlink" Target="https://m.media-amazon.com/images/I/31vgm9jF+rL._AC_SR600,600_.jpg" TargetMode="External"/><Relationship Id="rId70" Type="http://schemas.openxmlformats.org/officeDocument/2006/relationships/hyperlink" Target="https://www.amazon.com/dp/B07BJ8G4D1?psc=1" TargetMode="External"/><Relationship Id="rId7" Type="http://schemas.openxmlformats.org/officeDocument/2006/relationships/hyperlink" Target="https://www.amazon.com/gp/bestsellers/fashion" TargetMode="External"/><Relationship Id="rId69" Type="http://schemas.openxmlformats.org/officeDocument/2006/relationships/hyperlink" Target="https://www.amazon.com/stores/AmazonEssentials/page/F8FB6F3C-F896-455C-BC52-7879F4CEF0CF?ref_=ast_bln&amp;store_ref=bl_ast_dp_brandLogo_sto" TargetMode="External"/><Relationship Id="rId68" Type="http://schemas.openxmlformats.org/officeDocument/2006/relationships/hyperlink" Target="https://www.amazon.com/dp/B07BJ8G4D1" TargetMode="External"/><Relationship Id="rId67" Type="http://schemas.openxmlformats.org/officeDocument/2006/relationships/hyperlink" Target="https://www.amazon.com/gp/help/seller/at-a-glance.html/ref=dp_merchant_link?seller=A36X6RFJ7XS38Y" TargetMode="External"/><Relationship Id="rId66" Type="http://schemas.openxmlformats.org/officeDocument/2006/relationships/hyperlink" Target="https://www.amazon.com/dp/B0CS42M6FQ" TargetMode="External"/><Relationship Id="rId65" Type="http://schemas.openxmlformats.org/officeDocument/2006/relationships/hyperlink" Target="https://m.media-amazon.com/images/I/41bs6ZGtQYL._AC_SR600,600_.jpg" TargetMode="External"/><Relationship Id="rId64" Type="http://schemas.openxmlformats.org/officeDocument/2006/relationships/hyperlink" Target="https://www.amazon.com/dp/B0C7X7N1XW?psc=1" TargetMode="External"/><Relationship Id="rId63" Type="http://schemas.openxmlformats.org/officeDocument/2006/relationships/hyperlink" Target="https://www.amazon.com/stores/BottomLine/page/961D76CE-E2B6-4E4B-BA23-7E5266AE3F50?ref_=ast_bln" TargetMode="External"/><Relationship Id="rId62" Type="http://schemas.openxmlformats.org/officeDocument/2006/relationships/hyperlink" Target="https://www.amazon.com/dp/B0C7X7N1XW" TargetMode="External"/><Relationship Id="rId61" Type="http://schemas.openxmlformats.org/officeDocument/2006/relationships/hyperlink" Target="https://www.amazon.com/gp/help/seller/at-a-glance.html/ref=dp_merchant_link?seller=A3NZPOMD22XCCN" TargetMode="External"/><Relationship Id="rId60" Type="http://schemas.openxmlformats.org/officeDocument/2006/relationships/hyperlink" Target="https://www.amazon.com/dp/B0DK5HF2PN" TargetMode="External"/><Relationship Id="rId6" Type="http://schemas.openxmlformats.org/officeDocument/2006/relationships/hyperlink" Target="https://www.amazon.com/b?node=1250423011" TargetMode="External"/><Relationship Id="rId59" Type="http://schemas.openxmlformats.org/officeDocument/2006/relationships/hyperlink" Target="https://images-na.ssl-images-amazon.com/images/I/61+LL+2CZvL._AC_US600_.jpg" TargetMode="External"/><Relationship Id="rId58" Type="http://schemas.openxmlformats.org/officeDocument/2006/relationships/hyperlink" Target="https://www.amazon.com/dp/B08T68Y8YM?psc=1" TargetMode="External"/><Relationship Id="rId57" Type="http://schemas.openxmlformats.org/officeDocument/2006/relationships/hyperlink" Target="https://www.amazon.com/stores/Libin/page/9518B9E7-5E52-4CB0-9CC5-DC685B152BC9?ref_=ast_bln&amp;store_ref=bl_ast_dp_brandLogo_sto" TargetMode="External"/><Relationship Id="rId56" Type="http://schemas.openxmlformats.org/officeDocument/2006/relationships/hyperlink" Target="https://www.amazon.com/dp/B08T68Y8YM" TargetMode="External"/><Relationship Id="rId55" Type="http://schemas.openxmlformats.org/officeDocument/2006/relationships/hyperlink" Target="https://www.amazon.com/dp/B0CVVP4ZN3" TargetMode="External"/><Relationship Id="rId54" Type="http://schemas.openxmlformats.org/officeDocument/2006/relationships/hyperlink" Target="https://images-na.ssl-images-amazon.com/images/I/61FEThJ8CdL._AC_US600_.jpg" TargetMode="External"/><Relationship Id="rId53" Type="http://schemas.openxmlformats.org/officeDocument/2006/relationships/hyperlink" Target="https://www.amazon.com/dp/B0C7QTNVKY?psc=1" TargetMode="External"/><Relationship Id="rId52" Type="http://schemas.openxmlformats.org/officeDocument/2006/relationships/hyperlink" Target="https://www.amazon.com/dp/B0C7QTNVKY" TargetMode="External"/><Relationship Id="rId51" Type="http://schemas.openxmlformats.org/officeDocument/2006/relationships/hyperlink" Target="https://www.amazon.com/dp/B0CVVP3LSW" TargetMode="External"/><Relationship Id="rId50" Type="http://schemas.openxmlformats.org/officeDocument/2006/relationships/hyperlink" Target="https://m.media-amazon.com/images/I/31u55NjnMwL._AC_SR600,600_.jpg" TargetMode="External"/><Relationship Id="rId5" Type="http://schemas.openxmlformats.org/officeDocument/2006/relationships/hyperlink" Target="https://www.amazon.com/dp/B0CXYBN5BZ" TargetMode="External"/><Relationship Id="rId49" Type="http://schemas.openxmlformats.org/officeDocument/2006/relationships/hyperlink" Target="https://www.amazon.com/dp/B0BGKCM23M?psc=1" TargetMode="External"/><Relationship Id="rId48" Type="http://schemas.openxmlformats.org/officeDocument/2006/relationships/hyperlink" Target="https://www.amazon.com/dp/B0BGKCM23M" TargetMode="External"/><Relationship Id="rId47" Type="http://schemas.openxmlformats.org/officeDocument/2006/relationships/hyperlink" Target="https://www.amazon.com/gp/help/seller/at-a-glance.html/ref=dp_merchant_link?seller=A2T7LQ02S6L1QM" TargetMode="External"/><Relationship Id="rId46" Type="http://schemas.openxmlformats.org/officeDocument/2006/relationships/hyperlink" Target="https://www.amazon.com/dp/B0D5HJRNP2" TargetMode="External"/><Relationship Id="rId451" Type="http://schemas.openxmlformats.org/officeDocument/2006/relationships/hyperlink" Target="https://www.amazon.com/gp/help/seller/at-a-glance.html/ref=dp_merchant_link?seller=A2C0HO9BOJLXPH" TargetMode="External"/><Relationship Id="rId450" Type="http://schemas.openxmlformats.org/officeDocument/2006/relationships/hyperlink" Target="https://m.media-amazon.com/images/I/31jSeXMvTOL._AC_SR600,600_.jpg" TargetMode="External"/><Relationship Id="rId45" Type="http://schemas.openxmlformats.org/officeDocument/2006/relationships/hyperlink" Target="https://m.media-amazon.com/images/I/31sEt18AvFL._AC_SR600,600_.jpg" TargetMode="External"/><Relationship Id="rId449" Type="http://schemas.openxmlformats.org/officeDocument/2006/relationships/hyperlink" Target="https://www.amazon.com/dp/B0CCS7MN8F?psc=1" TargetMode="External"/><Relationship Id="rId448" Type="http://schemas.openxmlformats.org/officeDocument/2006/relationships/hyperlink" Target="https://www.amazon.com/stores/KamoFitness/page/B2A8CFF8-A118-4939-93FA-36E3EBC5EA58?ref_=ast_bln&amp;store_ref=bl_ast_dp_brandLogo_sto" TargetMode="External"/><Relationship Id="rId447" Type="http://schemas.openxmlformats.org/officeDocument/2006/relationships/hyperlink" Target="https://www.amazon.com/dp/B0CCS7MN8F" TargetMode="External"/><Relationship Id="rId446" Type="http://schemas.openxmlformats.org/officeDocument/2006/relationships/hyperlink" Target="https://www.amazon.com/gp/help/seller/at-a-glance.html/ref=dp_merchant_link?seller=APBXA98MO0TWP" TargetMode="External"/><Relationship Id="rId445" Type="http://schemas.openxmlformats.org/officeDocument/2006/relationships/hyperlink" Target="https://m.media-amazon.com/images/I/41qbSoi7RZL._AC_SR600,600_.jpg" TargetMode="External"/><Relationship Id="rId444" Type="http://schemas.openxmlformats.org/officeDocument/2006/relationships/hyperlink" Target="https://www.amazon.com/dp/B0CC4Y6QRV?psc=1" TargetMode="External"/><Relationship Id="rId443" Type="http://schemas.openxmlformats.org/officeDocument/2006/relationships/hyperlink" Target="https://www.amazon.com/stores/SUNBS/page/DD99CA62-FDBF-4FAC-80E5-4BA198AE7121?ref_=ast_bln" TargetMode="External"/><Relationship Id="rId442" Type="http://schemas.openxmlformats.org/officeDocument/2006/relationships/hyperlink" Target="https://www.amazon.com/dp/B0CC4Y6QRV" TargetMode="External"/><Relationship Id="rId441" Type="http://schemas.openxmlformats.org/officeDocument/2006/relationships/hyperlink" Target="https://www.amazon.com/gp/help/seller/at-a-glance.html/ref=dp_merchant_link?seller=A2RPNVZ64595KM" TargetMode="External"/><Relationship Id="rId440" Type="http://schemas.openxmlformats.org/officeDocument/2006/relationships/hyperlink" Target="https://m.media-amazon.com/images/I/31TGdmxkcqL._AC_SR600,600_.jpg" TargetMode="External"/><Relationship Id="rId44" Type="http://schemas.openxmlformats.org/officeDocument/2006/relationships/hyperlink" Target="https://www.amazon.com/dp/B0D5HKJFJJ?psc=1" TargetMode="External"/><Relationship Id="rId439" Type="http://schemas.openxmlformats.org/officeDocument/2006/relationships/hyperlink" Target="https://www.amazon.com/dp/B07K1R95WB?psc=1" TargetMode="External"/><Relationship Id="rId438" Type="http://schemas.openxmlformats.org/officeDocument/2006/relationships/hyperlink" Target="https://www.amazon.com/stores/Flygo/page/14C668C1-7D05-4C14-AC73-A1BD46A77537?ref_=ast_bln&amp;store_ref=bl_ast_dp_brandLogo_sto" TargetMode="External"/><Relationship Id="rId437" Type="http://schemas.openxmlformats.org/officeDocument/2006/relationships/hyperlink" Target="https://www.amazon.com/dp/B07K1R95WB" TargetMode="External"/><Relationship Id="rId436" Type="http://schemas.openxmlformats.org/officeDocument/2006/relationships/hyperlink" Target="https://www.amazon.com/gp/help/seller/at-a-glance.html/ref=dp_merchant_link?seller=AX9GHO4D4XKMP" TargetMode="External"/><Relationship Id="rId435" Type="http://schemas.openxmlformats.org/officeDocument/2006/relationships/hyperlink" Target="https://m.media-amazon.com/images/I/41E3JM9XcDL._AC_SR600,600_.jpg" TargetMode="External"/><Relationship Id="rId434" Type="http://schemas.openxmlformats.org/officeDocument/2006/relationships/hyperlink" Target="https://www.amazon.com/dp/B0B2JJQFHV?psc=1" TargetMode="External"/><Relationship Id="rId433" Type="http://schemas.openxmlformats.org/officeDocument/2006/relationships/hyperlink" Target="https://www.amazon.com/ZENEX/b/ref=bl_sl_s_ap_web_119664532011?ie=UTF8&amp;node=119664532011&amp;field-lbr_brands_browse-bin=ZENEX" TargetMode="External"/><Relationship Id="rId432" Type="http://schemas.openxmlformats.org/officeDocument/2006/relationships/hyperlink" Target="https://www.amazon.com/dp/B0B2JJQFHV" TargetMode="External"/><Relationship Id="rId431" Type="http://schemas.openxmlformats.org/officeDocument/2006/relationships/hyperlink" Target="https://images-na.ssl-images-amazon.com/images/I/71b+cq9QeXL._AC_US600_.jpg" TargetMode="External"/><Relationship Id="rId430" Type="http://schemas.openxmlformats.org/officeDocument/2006/relationships/hyperlink" Target="https://www.amazon.com/dp/B01L9J98X0?psc=1" TargetMode="External"/><Relationship Id="rId43" Type="http://schemas.openxmlformats.org/officeDocument/2006/relationships/hyperlink" Target="https://www.amazon.com/stores/ATHMILE/page/4E137DE3-CE99-4A51-A7DA-FC98898E0D58?ref_=ast_bln&amp;store_ref=bl_ast_dp_brandLogo_sto" TargetMode="External"/><Relationship Id="rId429" Type="http://schemas.openxmlformats.org/officeDocument/2006/relationships/hyperlink" Target="https://www.amazon.com/dp/B01L9J98X0" TargetMode="External"/><Relationship Id="rId428" Type="http://schemas.openxmlformats.org/officeDocument/2006/relationships/hyperlink" Target="https://www.amazon.com/gp/help/seller/at-a-glance.html/ref=dp_merchant_link?seller=A2Q88JXUJAOZIT" TargetMode="External"/><Relationship Id="rId427" Type="http://schemas.openxmlformats.org/officeDocument/2006/relationships/hyperlink" Target="https://m.media-amazon.com/images/I/313VGEb2LiL._AC_SR600,600_.jpg" TargetMode="External"/><Relationship Id="rId426" Type="http://schemas.openxmlformats.org/officeDocument/2006/relationships/hyperlink" Target="https://www.amazon.com/dp/B09B2JV7L4?psc=1" TargetMode="External"/><Relationship Id="rId425" Type="http://schemas.openxmlformats.org/officeDocument/2006/relationships/hyperlink" Target="https://www.amazon.com/stores/Inno/page/C145ECB9-A096-4073-8D4E-F19E08DD0535?ref_=ast_bln&amp;store_ref=bl_ast_dp_brandLogo_sto" TargetMode="External"/><Relationship Id="rId424" Type="http://schemas.openxmlformats.org/officeDocument/2006/relationships/hyperlink" Target="https://www.amazon.com/dp/B09B2JV7L4" TargetMode="External"/><Relationship Id="rId423" Type="http://schemas.openxmlformats.org/officeDocument/2006/relationships/hyperlink" Target="https://m.media-amazon.com/images/I/31OT2AVysrL._AC_SR600,600_.jpg" TargetMode="External"/><Relationship Id="rId422" Type="http://schemas.openxmlformats.org/officeDocument/2006/relationships/hyperlink" Target="https://www.amazon.com/dp/B0DF5288MR?psc=1" TargetMode="External"/><Relationship Id="rId421" Type="http://schemas.openxmlformats.org/officeDocument/2006/relationships/hyperlink" Target="https://www.amazon.com/dp/B0DF5288MR" TargetMode="External"/><Relationship Id="rId420" Type="http://schemas.openxmlformats.org/officeDocument/2006/relationships/hyperlink" Target="https://images-na.ssl-images-amazon.com/images/I/615FCb04dNL._AC_US600_.jpg" TargetMode="External"/><Relationship Id="rId42" Type="http://schemas.openxmlformats.org/officeDocument/2006/relationships/hyperlink" Target="https://www.amazon.com/dp/B0D5HKJFJJ" TargetMode="External"/><Relationship Id="rId419" Type="http://schemas.openxmlformats.org/officeDocument/2006/relationships/hyperlink" Target="https://www.amazon.com/dp/B0BCQL5TQV?psc=1" TargetMode="External"/><Relationship Id="rId418" Type="http://schemas.openxmlformats.org/officeDocument/2006/relationships/hyperlink" Target="https://www.amazon.com/dp/B0BCQL5TQV" TargetMode="External"/><Relationship Id="rId417" Type="http://schemas.openxmlformats.org/officeDocument/2006/relationships/hyperlink" Target="https://www.amazon.com/b?node=1044896" TargetMode="External"/><Relationship Id="rId416" Type="http://schemas.openxmlformats.org/officeDocument/2006/relationships/hyperlink" Target="https://m.media-amazon.com/images/I/41EIYbg9ASL._AC_SR600,600_.jpg" TargetMode="External"/><Relationship Id="rId415" Type="http://schemas.openxmlformats.org/officeDocument/2006/relationships/hyperlink" Target="https://www.amazon.com/dp/B094TRGG2C?psc=1" TargetMode="External"/><Relationship Id="rId414" Type="http://schemas.openxmlformats.org/officeDocument/2006/relationships/hyperlink" Target="https://www.amazon.com/stores/USPoloAssn/page/61FE5EFD-B4EE-4411-BCE7-87C0C3AC9A1A?ref_=ast_bln" TargetMode="External"/><Relationship Id="rId413" Type="http://schemas.openxmlformats.org/officeDocument/2006/relationships/hyperlink" Target="https://www.amazon.com/dp/B094TRGG2C" TargetMode="External"/><Relationship Id="rId412" Type="http://schemas.openxmlformats.org/officeDocument/2006/relationships/hyperlink" Target="https://m.media-amazon.com/images/I/51aga38cJWL._AC_SR600,600_.jpg" TargetMode="External"/><Relationship Id="rId411" Type="http://schemas.openxmlformats.org/officeDocument/2006/relationships/hyperlink" Target="https://www.amazon.com/dp/B0DF2BJDN3?psc=1" TargetMode="External"/><Relationship Id="rId410" Type="http://schemas.openxmlformats.org/officeDocument/2006/relationships/hyperlink" Target="https://www.amazon.com/dp/B0DF2BJDN3" TargetMode="External"/><Relationship Id="rId41" Type="http://schemas.openxmlformats.org/officeDocument/2006/relationships/hyperlink" Target="https://www.amazon.com/gp/help/seller/at-a-glance.html/ref=dp_merchant_link?seller=A2ZO1F0HRSC2G3" TargetMode="External"/><Relationship Id="rId409" Type="http://schemas.openxmlformats.org/officeDocument/2006/relationships/hyperlink" Target="https://www.amazon.com/gp/help/seller/at-a-glance.html/ref=dp_merchant_link?seller=ALAZ3M7Q9510E" TargetMode="External"/><Relationship Id="rId408" Type="http://schemas.openxmlformats.org/officeDocument/2006/relationships/hyperlink" Target="https://m.media-amazon.com/images/I/31vl+5gPoDL._AC_SR600,600_.jpg" TargetMode="External"/><Relationship Id="rId407" Type="http://schemas.openxmlformats.org/officeDocument/2006/relationships/hyperlink" Target="https://www.amazon.com/dp/B075M3NVG9?psc=1" TargetMode="External"/><Relationship Id="rId406" Type="http://schemas.openxmlformats.org/officeDocument/2006/relationships/hyperlink" Target="https://www.amazon.com/dp/B075M3NVG9" TargetMode="External"/><Relationship Id="rId405" Type="http://schemas.openxmlformats.org/officeDocument/2006/relationships/hyperlink" Target="https://www.amazon.com/gp/help/seller/at-a-glance.html/ref=dp_merchant_link?seller=A10PPOCUPJ1OGG" TargetMode="External"/><Relationship Id="rId404" Type="http://schemas.openxmlformats.org/officeDocument/2006/relationships/hyperlink" Target="https://images-na.ssl-images-amazon.com/images/I/8183VqnXndL._AC_US600_.jpg" TargetMode="External"/><Relationship Id="rId403" Type="http://schemas.openxmlformats.org/officeDocument/2006/relationships/hyperlink" Target="https://www.amazon.com/dp/B0CQZRR9J5?psc=1" TargetMode="External"/><Relationship Id="rId402" Type="http://schemas.openxmlformats.org/officeDocument/2006/relationships/hyperlink" Target="https://www.amazon.com/stores/Neer/page/DBB3A484-372F-4F2C-98DF-B24D1BF2A648?ref_=ast_bln" TargetMode="External"/><Relationship Id="rId401" Type="http://schemas.openxmlformats.org/officeDocument/2006/relationships/hyperlink" Target="https://www.amazon.com/dp/B0CQZRR9J5" TargetMode="External"/><Relationship Id="rId400" Type="http://schemas.openxmlformats.org/officeDocument/2006/relationships/hyperlink" Target="https://www.amazon.com/gp/help/seller/at-a-glance.html/ref=dp_merchant_link?seller=AIS7XGERQO816" TargetMode="External"/><Relationship Id="rId40" Type="http://schemas.openxmlformats.org/officeDocument/2006/relationships/hyperlink" Target="https://www.amazon.com/dp/B0CP4FNCN5" TargetMode="External"/><Relationship Id="rId4" Type="http://schemas.openxmlformats.org/officeDocument/2006/relationships/hyperlink" Target="https://m.media-amazon.com/images/I/31qe-4OGLcL._AC_SR600,600_.jpg" TargetMode="External"/><Relationship Id="rId399" Type="http://schemas.openxmlformats.org/officeDocument/2006/relationships/hyperlink" Target="https://images-na.ssl-images-amazon.com/images/I/81SNpUCdLAL._AC_US600_.jpg" TargetMode="External"/><Relationship Id="rId398" Type="http://schemas.openxmlformats.org/officeDocument/2006/relationships/hyperlink" Target="https://www.amazon.com/dp/B0BN8JFRCH?psc=1" TargetMode="External"/><Relationship Id="rId397" Type="http://schemas.openxmlformats.org/officeDocument/2006/relationships/hyperlink" Target="https://www.amazon.com/stores/URATOT/page/A864889C-E5D3-4BA5-841F-7D4A1A795E44?ref_=ast_bln&amp;store_ref=bl_ast_dp_brandLogo_sto" TargetMode="External"/><Relationship Id="rId396" Type="http://schemas.openxmlformats.org/officeDocument/2006/relationships/hyperlink" Target="https://www.amazon.com/dp/B0BN8JFRCH" TargetMode="External"/><Relationship Id="rId395" Type="http://schemas.openxmlformats.org/officeDocument/2006/relationships/hyperlink" Target="https://www.amazon.com/gp/help/seller/at-a-glance.html/ref=dp_merchant_link?seller=A2WKLCQK84XIK6" TargetMode="External"/><Relationship Id="rId394" Type="http://schemas.openxmlformats.org/officeDocument/2006/relationships/hyperlink" Target="https://m.media-amazon.com/images/I/31FD75FdXBL._AC_SR600,600_.jpg" TargetMode="External"/><Relationship Id="rId393" Type="http://schemas.openxmlformats.org/officeDocument/2006/relationships/hyperlink" Target="https://www.amazon.com/dp/B08RMR8FNX?psc=1" TargetMode="External"/><Relationship Id="rId392" Type="http://schemas.openxmlformats.org/officeDocument/2006/relationships/hyperlink" Target="https://www.amazon.com/Nike/b/ref=bl_sl_s_ap_web_119088564011?ie=UTF8&amp;node=119088564011&amp;field-lbr_brands_browse-bin=Nike" TargetMode="External"/><Relationship Id="rId391" Type="http://schemas.openxmlformats.org/officeDocument/2006/relationships/hyperlink" Target="https://www.amazon.com/dp/B08RMR8FNX" TargetMode="External"/><Relationship Id="rId390" Type="http://schemas.openxmlformats.org/officeDocument/2006/relationships/hyperlink" Target="https://m.media-amazon.com/images/I/31B6GM7f2WL._AC_SR600,600_.jpg" TargetMode="External"/><Relationship Id="rId39" Type="http://schemas.openxmlformats.org/officeDocument/2006/relationships/hyperlink" Target="https://m.media-amazon.com/images/I/41z+1B9EuuL._AC_SR600,600_.jpg" TargetMode="External"/><Relationship Id="rId389" Type="http://schemas.openxmlformats.org/officeDocument/2006/relationships/hyperlink" Target="https://www.amazon.com/dp/B07WVPGPMF?psc=1" TargetMode="External"/><Relationship Id="rId388" Type="http://schemas.openxmlformats.org/officeDocument/2006/relationships/hyperlink" Target="https://www.amazon.com/dp/B07WVPGPMF" TargetMode="External"/><Relationship Id="rId387" Type="http://schemas.openxmlformats.org/officeDocument/2006/relationships/hyperlink" Target="https://www.amazon.com/gp/help/seller/at-a-glance.html/ref=dp_merchant_link?seller=A3QZXWZEQSX736" TargetMode="External"/><Relationship Id="rId386" Type="http://schemas.openxmlformats.org/officeDocument/2006/relationships/hyperlink" Target="https://m.media-amazon.com/images/I/31pDEDbY0wL._AC_SR600,600_.jpg" TargetMode="External"/><Relationship Id="rId385" Type="http://schemas.openxmlformats.org/officeDocument/2006/relationships/hyperlink" Target="https://www.amazon.com/dp/B0C6TCV2T1?psc=1" TargetMode="External"/><Relationship Id="rId384" Type="http://schemas.openxmlformats.org/officeDocument/2006/relationships/hyperlink" Target="https://www.amazon.com/stores/Stanpetix/page/4EFE32C2-1EDC-4807-A155-1E34875CDDC3?ref_=ast_bln&amp;store_ref=bl_ast_dp_brandLogo_sto" TargetMode="External"/><Relationship Id="rId383" Type="http://schemas.openxmlformats.org/officeDocument/2006/relationships/hyperlink" Target="https://www.amazon.com/dp/B0C6TCV2T1" TargetMode="External"/><Relationship Id="rId382" Type="http://schemas.openxmlformats.org/officeDocument/2006/relationships/hyperlink" Target="https://m.media-amazon.com/images/I/419VteyTC+L._AC_SR600,600_.jpg" TargetMode="External"/><Relationship Id="rId381" Type="http://schemas.openxmlformats.org/officeDocument/2006/relationships/hyperlink" Target="https://www.amazon.com/dp/B0BVMW2D92?psc=1" TargetMode="External"/><Relationship Id="rId380" Type="http://schemas.openxmlformats.org/officeDocument/2006/relationships/hyperlink" Target="https://www.amazon.com/dp/B0BVMW2D92" TargetMode="External"/><Relationship Id="rId38" Type="http://schemas.openxmlformats.org/officeDocument/2006/relationships/hyperlink" Target="https://www.amazon.com/dp/B08X996KM7?psc=1" TargetMode="External"/><Relationship Id="rId379" Type="http://schemas.openxmlformats.org/officeDocument/2006/relationships/hyperlink" Target="https://m.media-amazon.com/images/I/31cXgIv4U7L._AC_SR600,600_.jpg" TargetMode="External"/><Relationship Id="rId378" Type="http://schemas.openxmlformats.org/officeDocument/2006/relationships/hyperlink" Target="https://www.amazon.com/dp/B0D5HT16VR?psc=1" TargetMode="External"/><Relationship Id="rId377" Type="http://schemas.openxmlformats.org/officeDocument/2006/relationships/hyperlink" Target="https://www.amazon.com/dp/B0D5HT16VR" TargetMode="External"/><Relationship Id="rId376" Type="http://schemas.openxmlformats.org/officeDocument/2006/relationships/hyperlink" Target="https://m.media-amazon.com/images/I/310uOCI3y+L._AC_SR600,600_.jpg" TargetMode="External"/><Relationship Id="rId375" Type="http://schemas.openxmlformats.org/officeDocument/2006/relationships/hyperlink" Target="https://www.amazon.com/dp/B0CQYV5KGC?psc=1" TargetMode="External"/><Relationship Id="rId374" Type="http://schemas.openxmlformats.org/officeDocument/2006/relationships/hyperlink" Target="https://www.amazon.com/dp/B0CQYV5KGC" TargetMode="External"/><Relationship Id="rId373" Type="http://schemas.openxmlformats.org/officeDocument/2006/relationships/hyperlink" Target="https://www.amazon.com/gp/help/seller/at-a-glance.html/ref=dp_merchant_link?seller=A1XF03I4GYPIG1" TargetMode="External"/><Relationship Id="rId372" Type="http://schemas.openxmlformats.org/officeDocument/2006/relationships/hyperlink" Target="https://m.media-amazon.com/images/I/31eYHCGa1LL._AC_SR600,600_.jpg" TargetMode="External"/><Relationship Id="rId371" Type="http://schemas.openxmlformats.org/officeDocument/2006/relationships/hyperlink" Target="https://www.amazon.com/dp/B0DF58WZ72?psc=1" TargetMode="External"/><Relationship Id="rId370" Type="http://schemas.openxmlformats.org/officeDocument/2006/relationships/hyperlink" Target="https://www.amazon.com/stores/PUMIEY/page/72EBA44F-B6AB-473E-BE8E-FEAFEEBEB48E?ref_=ast_bln&amp;store_ref=bl_ast_dp_brandLogo_sto" TargetMode="External"/><Relationship Id="rId37" Type="http://schemas.openxmlformats.org/officeDocument/2006/relationships/hyperlink" Target="https://www.amazon.com/stores/RealEssentials/page/FBE83AF6-EE5D-4217-AB93-7822B24A96FB?ref_=ast_bln&amp;store_ref=bl_ast_dp_brandLogo_sto" TargetMode="External"/><Relationship Id="rId369" Type="http://schemas.openxmlformats.org/officeDocument/2006/relationships/hyperlink" Target="https://www.amazon.com/dp/B0DF58WZ72" TargetMode="External"/><Relationship Id="rId368" Type="http://schemas.openxmlformats.org/officeDocument/2006/relationships/hyperlink" Target="https://www.amazon.com/dp/B0D41BMTPK" TargetMode="External"/><Relationship Id="rId367" Type="http://schemas.openxmlformats.org/officeDocument/2006/relationships/hyperlink" Target="https://images-na.ssl-images-amazon.com/images/I/61RBRJ35-NL._AC_US600_.jpg" TargetMode="External"/><Relationship Id="rId366" Type="http://schemas.openxmlformats.org/officeDocument/2006/relationships/hyperlink" Target="https://www.amazon.com/dp/B0C64C6N43?psc=1" TargetMode="External"/><Relationship Id="rId365" Type="http://schemas.openxmlformats.org/officeDocument/2006/relationships/hyperlink" Target="https://www.amazon.com/dp/B0C64C6N43" TargetMode="External"/><Relationship Id="rId364" Type="http://schemas.openxmlformats.org/officeDocument/2006/relationships/hyperlink" Target="https://www.amazon.com/gp/help/seller/at-a-glance.html/ref=dp_merchant_link?seller=A2KCA46FZJ0GQS" TargetMode="External"/><Relationship Id="rId363" Type="http://schemas.openxmlformats.org/officeDocument/2006/relationships/hyperlink" Target="https://images-na.ssl-images-amazon.com/images/I/71a3zy0KANS._AC_US600_.jpg" TargetMode="External"/><Relationship Id="rId362" Type="http://schemas.openxmlformats.org/officeDocument/2006/relationships/hyperlink" Target="https://www.amazon.com/dp/B07SW3C329?psc=1" TargetMode="External"/><Relationship Id="rId361" Type="http://schemas.openxmlformats.org/officeDocument/2006/relationships/hyperlink" Target="https://www.amazon.com/stores/SpecialMagic/page/2E1453ED-330F-4564-A17B-F18D9FD0200D?ref_=ast_bln&amp;store_ref=bl_ast_dp_brandLogo_sto" TargetMode="External"/><Relationship Id="rId360" Type="http://schemas.openxmlformats.org/officeDocument/2006/relationships/hyperlink" Target="https://www.amazon.com/dp/B07SW3C329" TargetMode="External"/><Relationship Id="rId36" Type="http://schemas.openxmlformats.org/officeDocument/2006/relationships/hyperlink" Target="https://www.amazon.com/dp/B08X996KM7" TargetMode="External"/><Relationship Id="rId359" Type="http://schemas.openxmlformats.org/officeDocument/2006/relationships/hyperlink" Target="https://m.media-amazon.com/images/I/31G-mdzhBLL._AC_SR600,600_.jpg" TargetMode="External"/><Relationship Id="rId358" Type="http://schemas.openxmlformats.org/officeDocument/2006/relationships/hyperlink" Target="https://www.amazon.com/dp/B0D8GT3TQV?psc=1" TargetMode="External"/><Relationship Id="rId357" Type="http://schemas.openxmlformats.org/officeDocument/2006/relationships/hyperlink" Target="https://www.amazon.com/dp/B0D8GT3TQV" TargetMode="External"/><Relationship Id="rId356" Type="http://schemas.openxmlformats.org/officeDocument/2006/relationships/hyperlink" Target="https://www.amazon.com/gp/help/seller/at-a-glance.html/ref=dp_merchant_link?seller=A1ZTD38X0OJU83" TargetMode="External"/><Relationship Id="rId355" Type="http://schemas.openxmlformats.org/officeDocument/2006/relationships/hyperlink" Target="https://images-na.ssl-images-amazon.com/images/I/81DSl9Y5IvL._AC_US600_.jpg" TargetMode="External"/><Relationship Id="rId354" Type="http://schemas.openxmlformats.org/officeDocument/2006/relationships/hyperlink" Target="https://www.amazon.com/dp/B08BLJ3QF7?psc=1" TargetMode="External"/><Relationship Id="rId353" Type="http://schemas.openxmlformats.org/officeDocument/2006/relationships/hyperlink" Target="https://www.amazon.com/stores/WEINTEE/page/BDFFEB78-558F-4838-A393-381B86E21926?ref_=ast_bln&amp;store_ref=bl_ast_dp_brandLogo_sto" TargetMode="External"/><Relationship Id="rId352" Type="http://schemas.openxmlformats.org/officeDocument/2006/relationships/hyperlink" Target="https://www.amazon.com/dp/B08BLJ3QF7" TargetMode="External"/><Relationship Id="rId351" Type="http://schemas.openxmlformats.org/officeDocument/2006/relationships/hyperlink" Target="https://images-na.ssl-images-amazon.com/images/I/61HWKLOWVzL._AC_US600_.jpg" TargetMode="External"/><Relationship Id="rId350" Type="http://schemas.openxmlformats.org/officeDocument/2006/relationships/hyperlink" Target="https://www.amazon.com/dp/B0CJY1LYY5?psc=1" TargetMode="External"/><Relationship Id="rId35" Type="http://schemas.openxmlformats.org/officeDocument/2006/relationships/hyperlink" Target="https://www.amazon.com/dp/B0CVVQWRL4" TargetMode="External"/><Relationship Id="rId349" Type="http://schemas.openxmlformats.org/officeDocument/2006/relationships/hyperlink" Target="https://www.amazon.com/dp/B0CJY1LYY5" TargetMode="External"/><Relationship Id="rId348" Type="http://schemas.openxmlformats.org/officeDocument/2006/relationships/hyperlink" Target="https://m.media-amazon.com/images/I/31gVJHVDklL._AC_SR600,600_.jpg" TargetMode="External"/><Relationship Id="rId347" Type="http://schemas.openxmlformats.org/officeDocument/2006/relationships/hyperlink" Target="https://www.amazon.com/dp/B0BTQ3BJKH?psc=1" TargetMode="External"/><Relationship Id="rId346" Type="http://schemas.openxmlformats.org/officeDocument/2006/relationships/hyperlink" Target="https://www.amazon.com/stores/FruitoftheLoom/page/49CA8368-8015-4877-8B4C-BC147469F952?ref_=ast_bln&amp;store_ref=bl_ast_dp_brandLogo_sto" TargetMode="External"/><Relationship Id="rId345" Type="http://schemas.openxmlformats.org/officeDocument/2006/relationships/hyperlink" Target="https://www.amazon.com/dp/B0BTQ3BJKH" TargetMode="External"/><Relationship Id="rId344" Type="http://schemas.openxmlformats.org/officeDocument/2006/relationships/hyperlink" Target="https://m.media-amazon.com/images/I/31JvXWCnsAL._AC_SR600,600_.jpg" TargetMode="External"/><Relationship Id="rId343" Type="http://schemas.openxmlformats.org/officeDocument/2006/relationships/hyperlink" Target="https://www.amazon.com/dp/B0CW3FDZ4L?psc=1" TargetMode="External"/><Relationship Id="rId342" Type="http://schemas.openxmlformats.org/officeDocument/2006/relationships/hyperlink" Target="https://www.amazon.com/dp/B0CW3FDZ4L" TargetMode="External"/><Relationship Id="rId341" Type="http://schemas.openxmlformats.org/officeDocument/2006/relationships/hyperlink" Target="https://www.amazon.com/gp/help/seller/at-a-glance.html/ref=dp_merchant_link?seller=A1E71VVK8KB6E0" TargetMode="External"/><Relationship Id="rId340" Type="http://schemas.openxmlformats.org/officeDocument/2006/relationships/hyperlink" Target="https://m.media-amazon.com/images/I/31WqLK77M0L._AC_SR600,600_.jpg" TargetMode="External"/><Relationship Id="rId34" Type="http://schemas.openxmlformats.org/officeDocument/2006/relationships/hyperlink" Target="https://images-na.ssl-images-amazon.com/images/I/61NI1Im3HyL._AC_US600_.jpg" TargetMode="External"/><Relationship Id="rId339" Type="http://schemas.openxmlformats.org/officeDocument/2006/relationships/hyperlink" Target="https://www.amazon.com/dp/B0D6VZ7F6B?psc=1" TargetMode="External"/><Relationship Id="rId338" Type="http://schemas.openxmlformats.org/officeDocument/2006/relationships/hyperlink" Target="https://www.amazon.com/stores/Herseas/page/9E3BC66E-260A-40AC-8CF9-070558139283?ref_=ast_bln&amp;store_ref=bl_ast_dp_brandLogo_sto" TargetMode="External"/><Relationship Id="rId337" Type="http://schemas.openxmlformats.org/officeDocument/2006/relationships/hyperlink" Target="https://www.amazon.com/dp/B0D6VZ7F6B" TargetMode="External"/><Relationship Id="rId336" Type="http://schemas.openxmlformats.org/officeDocument/2006/relationships/hyperlink" Target="https://m.media-amazon.com/images/I/31TB-HdzoCL._AC_SR600,600_.jpg" TargetMode="External"/><Relationship Id="rId335" Type="http://schemas.openxmlformats.org/officeDocument/2006/relationships/hyperlink" Target="https://www.amazon.com/dp/B0D7GK9WCL?psc=1" TargetMode="External"/><Relationship Id="rId334" Type="http://schemas.openxmlformats.org/officeDocument/2006/relationships/hyperlink" Target="https://www.amazon.com/dp/B0D7GK9WCL" TargetMode="External"/><Relationship Id="rId333" Type="http://schemas.openxmlformats.org/officeDocument/2006/relationships/hyperlink" Target="https://m.media-amazon.com/images/I/41WHOXDgcaL._AC_SR600,600_.jpg" TargetMode="External"/><Relationship Id="rId332" Type="http://schemas.openxmlformats.org/officeDocument/2006/relationships/hyperlink" Target="https://www.amazon.com/dp/B0D3KT3H64?psc=1" TargetMode="External"/><Relationship Id="rId331" Type="http://schemas.openxmlformats.org/officeDocument/2006/relationships/hyperlink" Target="https://www.amazon.com/dp/B0D3KT3H64" TargetMode="External"/><Relationship Id="rId330" Type="http://schemas.openxmlformats.org/officeDocument/2006/relationships/hyperlink" Target="https://www.amazon.com/gp/help/seller/at-a-glance.html/ref=dp_merchant_link?seller=A16JH42LGBJNLY" TargetMode="External"/><Relationship Id="rId33" Type="http://schemas.openxmlformats.org/officeDocument/2006/relationships/hyperlink" Target="https://www.amazon.com/dp/B0915NGKRZ?psc=1" TargetMode="External"/><Relationship Id="rId329" Type="http://schemas.openxmlformats.org/officeDocument/2006/relationships/hyperlink" Target="https://m.media-amazon.com/images/I/31CTs9EOddL._AC_SR600,600_.jpg" TargetMode="External"/><Relationship Id="rId328" Type="http://schemas.openxmlformats.org/officeDocument/2006/relationships/hyperlink" Target="https://www.amazon.com/dp/B0CWCWN3MW?psc=1" TargetMode="External"/><Relationship Id="rId327" Type="http://schemas.openxmlformats.org/officeDocument/2006/relationships/hyperlink" Target="https://www.amazon.com/stores/BTFBM/page/F5DB1F57-0171-4D2E-BD4E-5C4A8D024498?ref_=ast_bln&amp;store_ref=bl_ast_dp_brandLogo_sto" TargetMode="External"/><Relationship Id="rId326" Type="http://schemas.openxmlformats.org/officeDocument/2006/relationships/hyperlink" Target="https://www.amazon.com/dp/B0CWCWN3MW" TargetMode="External"/><Relationship Id="rId325" Type="http://schemas.openxmlformats.org/officeDocument/2006/relationships/hyperlink" Target="https://www.amazon.com/gp/help/seller/at-a-glance.html/ref=dp_merchant_link?seller=A3KT667YJ28XI9" TargetMode="External"/><Relationship Id="rId324" Type="http://schemas.openxmlformats.org/officeDocument/2006/relationships/hyperlink" Target="https://m.media-amazon.com/images/I/31YrDPIw1dL._AC_SR600,600_.jpg" TargetMode="External"/><Relationship Id="rId323" Type="http://schemas.openxmlformats.org/officeDocument/2006/relationships/hyperlink" Target="https://www.amazon.com/dp/B0CQXK3JMQ?psc=1" TargetMode="External"/><Relationship Id="rId322" Type="http://schemas.openxmlformats.org/officeDocument/2006/relationships/hyperlink" Target="https://www.amazon.com/stores/Rrosseyz/page/8E1288A9-8363-4585-9557-D5A5A70AF8ED?ref_=ast_bln&amp;store_ref=bl_ast_dp_brandLogo_sto" TargetMode="External"/><Relationship Id="rId321" Type="http://schemas.openxmlformats.org/officeDocument/2006/relationships/hyperlink" Target="https://www.amazon.com/dp/B0CQXK3JMQ" TargetMode="External"/><Relationship Id="rId320" Type="http://schemas.openxmlformats.org/officeDocument/2006/relationships/hyperlink" Target="https://m.media-amazon.com/images/I/31vfH7075hL._AC_SR600,600_.jpg" TargetMode="External"/><Relationship Id="rId32" Type="http://schemas.openxmlformats.org/officeDocument/2006/relationships/hyperlink" Target="https://www.amazon.com/dp/B0915NGKRZ" TargetMode="External"/><Relationship Id="rId319" Type="http://schemas.openxmlformats.org/officeDocument/2006/relationships/hyperlink" Target="https://www.amazon.com/dp/B083JCQXJG?psc=1" TargetMode="External"/><Relationship Id="rId318" Type="http://schemas.openxmlformats.org/officeDocument/2006/relationships/hyperlink" Target="https://www.amazon.com/dp/B083JCQXJG" TargetMode="External"/><Relationship Id="rId317" Type="http://schemas.openxmlformats.org/officeDocument/2006/relationships/hyperlink" Target="https://m.media-amazon.com/images/I/31lzCwoHMbL._AC_SR600,600_.jpg" TargetMode="External"/><Relationship Id="rId316" Type="http://schemas.openxmlformats.org/officeDocument/2006/relationships/hyperlink" Target="https://www.amazon.com/dp/B09G6VDHTZ?psc=1" TargetMode="External"/><Relationship Id="rId315" Type="http://schemas.openxmlformats.org/officeDocument/2006/relationships/hyperlink" Target="https://www.amazon.com/dp/B09G6VDHTZ" TargetMode="External"/><Relationship Id="rId314" Type="http://schemas.openxmlformats.org/officeDocument/2006/relationships/hyperlink" Target="https://images-na.ssl-images-amazon.com/images/I/51kC+dIF+vL._AC_US600_.jpg" TargetMode="External"/><Relationship Id="rId313" Type="http://schemas.openxmlformats.org/officeDocument/2006/relationships/hyperlink" Target="https://www.amazon.com/dp/B0D6YRBPQ3?psc=1" TargetMode="External"/><Relationship Id="rId312" Type="http://schemas.openxmlformats.org/officeDocument/2006/relationships/hyperlink" Target="https://www.amazon.com/dp/B0D6YRBPQ3" TargetMode="External"/><Relationship Id="rId311" Type="http://schemas.openxmlformats.org/officeDocument/2006/relationships/hyperlink" Target="https://m.media-amazon.com/images/I/31Ue1QSjk-L._AC_SR600,600_.jpg" TargetMode="External"/><Relationship Id="rId310" Type="http://schemas.openxmlformats.org/officeDocument/2006/relationships/hyperlink" Target="https://www.amazon.com/dp/B083TZG1LS?psc=1" TargetMode="External"/><Relationship Id="rId31" Type="http://schemas.openxmlformats.org/officeDocument/2006/relationships/hyperlink" Target="https://www.amazon.com/gp/help/seller/at-a-glance.html/ref=dp_merchant_link?seller=A3J1UQ06EUSAGL" TargetMode="External"/><Relationship Id="rId309" Type="http://schemas.openxmlformats.org/officeDocument/2006/relationships/hyperlink" Target="https://www.amazon.com/dp/B083TZG1LS" TargetMode="External"/><Relationship Id="rId308" Type="http://schemas.openxmlformats.org/officeDocument/2006/relationships/hyperlink" Target="https://m.media-amazon.com/images/I/31tlmxERudL._AC_SR600,600_.jpg" TargetMode="External"/><Relationship Id="rId307" Type="http://schemas.openxmlformats.org/officeDocument/2006/relationships/hyperlink" Target="https://www.amazon.com/dp/B0D91Z32RM?psc=1" TargetMode="External"/><Relationship Id="rId306" Type="http://schemas.openxmlformats.org/officeDocument/2006/relationships/hyperlink" Target="https://www.amazon.com/dp/B0D91Z32RM" TargetMode="External"/><Relationship Id="rId305" Type="http://schemas.openxmlformats.org/officeDocument/2006/relationships/hyperlink" Target="https://images-na.ssl-images-amazon.com/images/I/61XGSg60z7L._AC_US600_.jpg" TargetMode="External"/><Relationship Id="rId304" Type="http://schemas.openxmlformats.org/officeDocument/2006/relationships/hyperlink" Target="https://www.amazon.com/dp/B0CKVQ1M9Y?psc=1" TargetMode="External"/><Relationship Id="rId303" Type="http://schemas.openxmlformats.org/officeDocument/2006/relationships/hyperlink" Target="https://www.amazon.com/dp/B0CKVQ1M9Y" TargetMode="External"/><Relationship Id="rId302" Type="http://schemas.openxmlformats.org/officeDocument/2006/relationships/hyperlink" Target="https://www.amazon.com/gp/help/seller/at-a-glance.html/ref=dp_merchant_link?seller=A3F3GY4HSOD2WM" TargetMode="External"/><Relationship Id="rId301" Type="http://schemas.openxmlformats.org/officeDocument/2006/relationships/hyperlink" Target="https://images-na.ssl-images-amazon.com/images/I/71og925UdrL._AC_US600_.jpg" TargetMode="External"/><Relationship Id="rId300" Type="http://schemas.openxmlformats.org/officeDocument/2006/relationships/hyperlink" Target="https://www.amazon.com/dp/B0D7724HNR?psc=1" TargetMode="External"/><Relationship Id="rId30" Type="http://schemas.openxmlformats.org/officeDocument/2006/relationships/hyperlink" Target="https://www.amazon.com/dp/B0BNVHG7W1" TargetMode="External"/><Relationship Id="rId3" Type="http://schemas.openxmlformats.org/officeDocument/2006/relationships/hyperlink" Target="https://www.amazon.com/dp/B0169P9G22?psc=1" TargetMode="External"/><Relationship Id="rId299" Type="http://schemas.openxmlformats.org/officeDocument/2006/relationships/hyperlink" Target="https://www.amazon.com/Gvraslvet/b/ref=bl_sl_s_ap_web_120702769011?ie=UTF8&amp;node=120702769011&amp;field-lbr_brands_browse-bin=Gvraslvet" TargetMode="External"/><Relationship Id="rId298" Type="http://schemas.openxmlformats.org/officeDocument/2006/relationships/hyperlink" Target="https://www.amazon.com/dp/B0D7724HNR" TargetMode="External"/><Relationship Id="rId297" Type="http://schemas.openxmlformats.org/officeDocument/2006/relationships/hyperlink" Target="https://www.amazon.com/gp/help/seller/at-a-glance.html/ref=dp_merchant_link?seller=A1ACJK2TICWQAI" TargetMode="External"/><Relationship Id="rId296" Type="http://schemas.openxmlformats.org/officeDocument/2006/relationships/hyperlink" Target="https://images-na.ssl-images-amazon.com/images/I/61aVNfbMiKL._AC_US600_.jpg" TargetMode="External"/><Relationship Id="rId295" Type="http://schemas.openxmlformats.org/officeDocument/2006/relationships/hyperlink" Target="https://www.amazon.com/dp/B0D9LP3BJL?psc=1" TargetMode="External"/><Relationship Id="rId294" Type="http://schemas.openxmlformats.org/officeDocument/2006/relationships/hyperlink" Target="https://www.amazon.com/stores/StelleAthletica/page/92A01961-B5D1-4EA4-A438-84B406B2808B?ref_=ast_bln&amp;store_ref=bl_ast_dp_brandLogo_sto" TargetMode="External"/><Relationship Id="rId293" Type="http://schemas.openxmlformats.org/officeDocument/2006/relationships/hyperlink" Target="https://www.amazon.com/dp/B0D9LP3BJL" TargetMode="External"/><Relationship Id="rId292" Type="http://schemas.openxmlformats.org/officeDocument/2006/relationships/hyperlink" Target="https://m.media-amazon.com/images/I/31Tr2AjpKnL._AC_SR600,600_.jpg" TargetMode="External"/><Relationship Id="rId291" Type="http://schemas.openxmlformats.org/officeDocument/2006/relationships/hyperlink" Target="https://www.amazon.com/dp/B0D7M1V9TM?psc=1" TargetMode="External"/><Relationship Id="rId290" Type="http://schemas.openxmlformats.org/officeDocument/2006/relationships/hyperlink" Target="https://www.amazon.com/dp/B0D7M1V9TM" TargetMode="External"/><Relationship Id="rId29" Type="http://schemas.openxmlformats.org/officeDocument/2006/relationships/hyperlink" Target="https://images-na.ssl-images-amazon.com/images/I/61nSSjhY6uL._AC_US600_.jpg" TargetMode="External"/><Relationship Id="rId289" Type="http://schemas.openxmlformats.org/officeDocument/2006/relationships/hyperlink" Target="https://www.amazon.com/gp/help/seller/at-a-glance.html/ref=dp_merchant_link?seller=A3DIO1PML7X4T" TargetMode="External"/><Relationship Id="rId288" Type="http://schemas.openxmlformats.org/officeDocument/2006/relationships/hyperlink" Target="https://m.media-amazon.com/images/I/4144nyugJ4L._AC_SR600,600_.jpg" TargetMode="External"/><Relationship Id="rId287" Type="http://schemas.openxmlformats.org/officeDocument/2006/relationships/hyperlink" Target="https://www.amazon.com/dp/B0CCJ987LY?psc=1" TargetMode="External"/><Relationship Id="rId286" Type="http://schemas.openxmlformats.org/officeDocument/2006/relationships/hyperlink" Target="https://www.amazon.com/stores/YYIDATON/page/117CD96B-F63B-4A7F-8F56-59E69C9F6393?ref_=ast_bln&amp;store_ref=bl_ast_dp_brandLogo_sto" TargetMode="External"/><Relationship Id="rId285" Type="http://schemas.openxmlformats.org/officeDocument/2006/relationships/hyperlink" Target="https://www.amazon.com/dp/B0CCJ987LY" TargetMode="External"/><Relationship Id="rId284" Type="http://schemas.openxmlformats.org/officeDocument/2006/relationships/hyperlink" Target="https://m.media-amazon.com/images/I/31NXOUj2vQL._AC_SR600,600_.jpg" TargetMode="External"/><Relationship Id="rId283" Type="http://schemas.openxmlformats.org/officeDocument/2006/relationships/hyperlink" Target="https://www.amazon.com/dp/B0D6W6XDDN?psc=1" TargetMode="External"/><Relationship Id="rId282" Type="http://schemas.openxmlformats.org/officeDocument/2006/relationships/hyperlink" Target="https://www.amazon.com/dp/B0D6W6XDDN" TargetMode="External"/><Relationship Id="rId281" Type="http://schemas.openxmlformats.org/officeDocument/2006/relationships/hyperlink" Target="https://www.amazon.com/gp/help/seller/at-a-glance.html/ref=dp_merchant_link?seller=A2WWIV91DF3R76" TargetMode="External"/><Relationship Id="rId280" Type="http://schemas.openxmlformats.org/officeDocument/2006/relationships/hyperlink" Target="https://m.media-amazon.com/images/I/31dSBBi0mqL._AC_SR600,600_.jpg" TargetMode="External"/><Relationship Id="rId28" Type="http://schemas.openxmlformats.org/officeDocument/2006/relationships/hyperlink" Target="https://www.amazon.com/dp/B0BCKJ27B5?psc=1" TargetMode="External"/><Relationship Id="rId279" Type="http://schemas.openxmlformats.org/officeDocument/2006/relationships/hyperlink" Target="https://www.amazon.com/dp/B089SWR6ND?psc=1" TargetMode="External"/><Relationship Id="rId278" Type="http://schemas.openxmlformats.org/officeDocument/2006/relationships/hyperlink" Target="https://www.amazon.com/stores/SEVEGO/page/F39FD0D5-16B2-4D94-8BF6-8202708FA4AA?ref_=ast_bln" TargetMode="External"/><Relationship Id="rId277" Type="http://schemas.openxmlformats.org/officeDocument/2006/relationships/hyperlink" Target="https://www.amazon.com/dp/B089SWR6ND" TargetMode="External"/><Relationship Id="rId276" Type="http://schemas.openxmlformats.org/officeDocument/2006/relationships/hyperlink" Target="https://www.amazon.com/gp/help/seller/at-a-glance.html/ref=dp_merchant_link?seller=AT5K7MIX35CRI" TargetMode="External"/><Relationship Id="rId275" Type="http://schemas.openxmlformats.org/officeDocument/2006/relationships/hyperlink" Target="https://www.amazon.com/b?node=2348576011" TargetMode="External"/><Relationship Id="rId274" Type="http://schemas.openxmlformats.org/officeDocument/2006/relationships/hyperlink" Target="https://m.media-amazon.com/images/I/31tikasu0IL._AC_SR600,600_.jpg" TargetMode="External"/><Relationship Id="rId273" Type="http://schemas.openxmlformats.org/officeDocument/2006/relationships/hyperlink" Target="https://www.amazon.com/dp/B0DJ5GZ9JB?psc=1" TargetMode="External"/><Relationship Id="rId272" Type="http://schemas.openxmlformats.org/officeDocument/2006/relationships/hyperlink" Target="https://www.amazon.com/stores/CARACILIAFASHION/page/21A3E20B-2471-42E0-86AB-26C1A20FB2B0?ref_=ast_bln&amp;store_ref=bl_ast_dp_brandLogo_sto" TargetMode="External"/><Relationship Id="rId271" Type="http://schemas.openxmlformats.org/officeDocument/2006/relationships/hyperlink" Target="https://www.amazon.com/dp/B0DJ5GZ9JB" TargetMode="External"/><Relationship Id="rId270" Type="http://schemas.openxmlformats.org/officeDocument/2006/relationships/hyperlink" Target="https://m.media-amazon.com/images/I/318TcwzzINL._AC_SR600,600_.jpg" TargetMode="External"/><Relationship Id="rId27" Type="http://schemas.openxmlformats.org/officeDocument/2006/relationships/hyperlink" Target="https://www.amazon.com/stores/GGradual/page/83E26C48-D353-4DB2-BBB1-1B1E939F003F?ref_=ast_bln&amp;store_ref=bl_ast_dp_brandLogo_sto" TargetMode="External"/><Relationship Id="rId269" Type="http://schemas.openxmlformats.org/officeDocument/2006/relationships/hyperlink" Target="https://www.amazon.com/dp/B0D7CH9NVP?psc=1" TargetMode="External"/><Relationship Id="rId268" Type="http://schemas.openxmlformats.org/officeDocument/2006/relationships/hyperlink" Target="https://www.amazon.com/dp/B0D7CH9NVP" TargetMode="External"/><Relationship Id="rId267" Type="http://schemas.openxmlformats.org/officeDocument/2006/relationships/hyperlink" Target="https://images-na.ssl-images-amazon.com/images/I/71sc-NJvmWL._AC_US600_.jpg" TargetMode="External"/><Relationship Id="rId266" Type="http://schemas.openxmlformats.org/officeDocument/2006/relationships/hyperlink" Target="https://www.amazon.com/dp/B09PF6GWFY?psc=1" TargetMode="External"/><Relationship Id="rId265" Type="http://schemas.openxmlformats.org/officeDocument/2006/relationships/hyperlink" Target="https://www.amazon.com/stores/Champion/page/9315F82B-8BDF-4711-8450-2428416D0F96?ref_=ast_bln&amp;store_ref=bl_ast_dp_brandLogo_sto" TargetMode="External"/><Relationship Id="rId264" Type="http://schemas.openxmlformats.org/officeDocument/2006/relationships/hyperlink" Target="https://www.amazon.com/dp/B09PF6GWFY" TargetMode="External"/><Relationship Id="rId263" Type="http://schemas.openxmlformats.org/officeDocument/2006/relationships/hyperlink" Target="https://m.media-amazon.com/images/I/41FFYX5NNgL._AC_SR600,600_.jpg" TargetMode="External"/><Relationship Id="rId262" Type="http://schemas.openxmlformats.org/officeDocument/2006/relationships/hyperlink" Target="https://www.amazon.com/dp/B0BB88X32S?psc=1" TargetMode="External"/><Relationship Id="rId261" Type="http://schemas.openxmlformats.org/officeDocument/2006/relationships/hyperlink" Target="https://www.amazon.com/dp/B0BB88X32S" TargetMode="External"/><Relationship Id="rId260" Type="http://schemas.openxmlformats.org/officeDocument/2006/relationships/hyperlink" Target="https://www.amazon.com/gp/help/seller/at-a-glance.html/ref=dp_merchant_link?seller=A3RLCBOE4WGURF" TargetMode="External"/><Relationship Id="rId26" Type="http://schemas.openxmlformats.org/officeDocument/2006/relationships/hyperlink" Target="https://www.amazon.com/dp/B0BCKJ27B5" TargetMode="External"/><Relationship Id="rId259" Type="http://schemas.openxmlformats.org/officeDocument/2006/relationships/hyperlink" Target="https://images-na.ssl-images-amazon.com/images/I/61YFo0tgwLL._AC_US600_.jpg" TargetMode="External"/><Relationship Id="rId258" Type="http://schemas.openxmlformats.org/officeDocument/2006/relationships/hyperlink" Target="https://www.amazon.com/dp/B0CD2DQWPZ?psc=1" TargetMode="External"/><Relationship Id="rId257" Type="http://schemas.openxmlformats.org/officeDocument/2006/relationships/hyperlink" Target="https://www.amazon.com/stores/CAMPSNAIL/page/B1FA9936-655F-4851-AB2E-981C5A378DA3?ref_=ast_bln&amp;store_ref=bl_ast_dp_brandLogo_sto" TargetMode="External"/><Relationship Id="rId256" Type="http://schemas.openxmlformats.org/officeDocument/2006/relationships/hyperlink" Target="https://www.amazon.com/dp/B0CD2DQWPZ" TargetMode="External"/><Relationship Id="rId255" Type="http://schemas.openxmlformats.org/officeDocument/2006/relationships/hyperlink" Target="https://www.amazon.com/gp/help/seller/at-a-glance.html/ref=dp_merchant_link?seller=A8T1RP95N3Q8U" TargetMode="External"/><Relationship Id="rId254" Type="http://schemas.openxmlformats.org/officeDocument/2006/relationships/hyperlink" Target="https://images-na.ssl-images-amazon.com/images/I/21xWdlgq6oL._AC_US600_.jpg" TargetMode="External"/><Relationship Id="rId253" Type="http://schemas.openxmlformats.org/officeDocument/2006/relationships/hyperlink" Target="https://www.amazon.com/dp/B0BGW6LDHN?psc=1" TargetMode="External"/><Relationship Id="rId252" Type="http://schemas.openxmlformats.org/officeDocument/2006/relationships/hyperlink" Target="https://www.amazon.com/stores/UnderArmour/page/4750579C-0CF4-4BF9-B7E8-F782E52D7683?ref_=ast_bln&amp;store_ref=bl_ast_dp_brandLogo_sto" TargetMode="External"/><Relationship Id="rId251" Type="http://schemas.openxmlformats.org/officeDocument/2006/relationships/hyperlink" Target="https://www.amazon.com/dp/B0BGW6LDHN" TargetMode="External"/><Relationship Id="rId250" Type="http://schemas.openxmlformats.org/officeDocument/2006/relationships/hyperlink" Target="https://www.amazon.com/gp/help/seller/at-a-glance.html/ref=dp_merchant_link?seller=A14L38X79TLT5W" TargetMode="External"/><Relationship Id="rId25" Type="http://schemas.openxmlformats.org/officeDocument/2006/relationships/hyperlink" Target="https://www.amazon.com/gp/help/seller/at-a-glance.html/ref=dp_merchant_link?seller=A14UYV56QBLQTG" TargetMode="External"/><Relationship Id="rId249" Type="http://schemas.openxmlformats.org/officeDocument/2006/relationships/hyperlink" Target="https://m.media-amazon.com/images/I/5132i3ZflVL._AC_SR600,600_.jpg" TargetMode="External"/><Relationship Id="rId248" Type="http://schemas.openxmlformats.org/officeDocument/2006/relationships/hyperlink" Target="https://www.amazon.com/dp/B0BKY4Q8JG?psc=1" TargetMode="External"/><Relationship Id="rId247" Type="http://schemas.openxmlformats.org/officeDocument/2006/relationships/hyperlink" Target="https://www.amazon.com/Mgput/b/ref=bl_sl_s_ap_web_36785345011?ie=UTF8&amp;node=36785345011&amp;field-lbr_brands_browse-bin=Mgput" TargetMode="External"/><Relationship Id="rId246" Type="http://schemas.openxmlformats.org/officeDocument/2006/relationships/hyperlink" Target="https://www.amazon.com/dp/B0BKY4Q8JG" TargetMode="External"/><Relationship Id="rId245" Type="http://schemas.openxmlformats.org/officeDocument/2006/relationships/hyperlink" Target="https://images-na.ssl-images-amazon.com/images/I/51e9+uuXOlL._AC_US600_.jpg" TargetMode="External"/><Relationship Id="rId244" Type="http://schemas.openxmlformats.org/officeDocument/2006/relationships/hyperlink" Target="https://www.amazon.com/dp/B0D1TNV5QJ?psc=1" TargetMode="External"/><Relationship Id="rId243" Type="http://schemas.openxmlformats.org/officeDocument/2006/relationships/hyperlink" Target="https://www.amazon.com/dp/B0D1TNV5QJ" TargetMode="External"/><Relationship Id="rId242" Type="http://schemas.openxmlformats.org/officeDocument/2006/relationships/hyperlink" Target="https://www.amazon.com/dp/B0D8B9G2J2" TargetMode="External"/><Relationship Id="rId241" Type="http://schemas.openxmlformats.org/officeDocument/2006/relationships/hyperlink" Target="https://m.media-amazon.com/images/I/31T5d2aCTFL._AC_SR600,600_.jpg" TargetMode="External"/><Relationship Id="rId240" Type="http://schemas.openxmlformats.org/officeDocument/2006/relationships/hyperlink" Target="https://www.amazon.com/dp/B0D89ZF61M?psc=1" TargetMode="External"/><Relationship Id="rId24" Type="http://schemas.openxmlformats.org/officeDocument/2006/relationships/hyperlink" Target="https://www.amazon.com/dp/B07YYSC22N" TargetMode="External"/><Relationship Id="rId239" Type="http://schemas.openxmlformats.org/officeDocument/2006/relationships/hyperlink" Target="https://www.amazon.com/dp/B0D89ZF61M" TargetMode="External"/><Relationship Id="rId238" Type="http://schemas.openxmlformats.org/officeDocument/2006/relationships/hyperlink" Target="https://www.amazon.com/dp/B010D2IAYM?psc=1" TargetMode="External"/><Relationship Id="rId237" Type="http://schemas.openxmlformats.org/officeDocument/2006/relationships/hyperlink" Target="https://www.amazon.com/dp/B010D2IAYM" TargetMode="External"/><Relationship Id="rId236" Type="http://schemas.openxmlformats.org/officeDocument/2006/relationships/hyperlink" Target="https://m.media-amazon.com/images/I/31hHA3t0pqL._AC_SR600,600_.jpg" TargetMode="External"/><Relationship Id="rId235" Type="http://schemas.openxmlformats.org/officeDocument/2006/relationships/hyperlink" Target="https://www.amazon.com/dp/B0CZ9B55WN?psc=1" TargetMode="External"/><Relationship Id="rId234" Type="http://schemas.openxmlformats.org/officeDocument/2006/relationships/hyperlink" Target="https://www.amazon.com/dp/B0CZ9B55WN" TargetMode="External"/><Relationship Id="rId233" Type="http://schemas.openxmlformats.org/officeDocument/2006/relationships/hyperlink" Target="https://m.media-amazon.com/images/I/41CjGkgP3bL._AC_US600_.jpg" TargetMode="External"/><Relationship Id="rId232" Type="http://schemas.openxmlformats.org/officeDocument/2006/relationships/hyperlink" Target="https://www.amazon.com/dp/B0BVQV8KMV?psc=1" TargetMode="External"/><Relationship Id="rId231" Type="http://schemas.openxmlformats.org/officeDocument/2006/relationships/hyperlink" Target="https://www.amazon.com/dp/B0BVQV8KMV" TargetMode="External"/><Relationship Id="rId230" Type="http://schemas.openxmlformats.org/officeDocument/2006/relationships/hyperlink" Target="https://www.amazon.com/gp/help/seller/at-a-glance.html/ref=dp_merchant_link?seller=A2ATY78RI45PXL" TargetMode="External"/><Relationship Id="rId23" Type="http://schemas.openxmlformats.org/officeDocument/2006/relationships/hyperlink" Target="https://images-na.ssl-images-amazon.com/images/I/61FI5v3C9JL._AC_US600_.jpg" TargetMode="External"/><Relationship Id="rId229" Type="http://schemas.openxmlformats.org/officeDocument/2006/relationships/hyperlink" Target="https://m.media-amazon.com/images/I/31jR6r73WTL._AC_SR600,600_.jpg" TargetMode="External"/><Relationship Id="rId228" Type="http://schemas.openxmlformats.org/officeDocument/2006/relationships/hyperlink" Target="https://www.amazon.com/dp/B08TWFPZ28?psc=1" TargetMode="External"/><Relationship Id="rId227" Type="http://schemas.openxmlformats.org/officeDocument/2006/relationships/hyperlink" Target="https://www.amazon.com/stores/Waitfairy/page/BE7202CB-D6CB-43BB-B545-F679BF52EF22?ref_=ast_bln&amp;store_ref=bl_ast_dp_brandLogo_sto" TargetMode="External"/><Relationship Id="rId226" Type="http://schemas.openxmlformats.org/officeDocument/2006/relationships/hyperlink" Target="https://www.amazon.com/dp/B08TWFPZ28" TargetMode="External"/><Relationship Id="rId225" Type="http://schemas.openxmlformats.org/officeDocument/2006/relationships/hyperlink" Target="https://www.amazon.com/gp/help/seller/at-a-glance.html/ref=dp_merchant_link?seller=ADPI9LE50EUV" TargetMode="External"/><Relationship Id="rId224" Type="http://schemas.openxmlformats.org/officeDocument/2006/relationships/hyperlink" Target="https://images-na.ssl-images-amazon.com/images/I/61QQcDd2aYL._AC_US600_.jpg" TargetMode="External"/><Relationship Id="rId223" Type="http://schemas.openxmlformats.org/officeDocument/2006/relationships/hyperlink" Target="https://www.amazon.com/dp/B0D6VP2RJG?psc=1" TargetMode="External"/><Relationship Id="rId222" Type="http://schemas.openxmlformats.org/officeDocument/2006/relationships/hyperlink" Target="https://www.amazon.com/stores/ANRABESS/page/937C5045-E1CD-46BB-99F1-38FA5C0E3B27?ref_=ast_bln&amp;store_ref=bl_ast_dp_brandLogo_sto" TargetMode="External"/><Relationship Id="rId221" Type="http://schemas.openxmlformats.org/officeDocument/2006/relationships/hyperlink" Target="https://www.amazon.com/dp/B0D6VP2RJG" TargetMode="External"/><Relationship Id="rId220" Type="http://schemas.openxmlformats.org/officeDocument/2006/relationships/hyperlink" Target="https://www.amazon.com/dp/B0D2VCJZM9" TargetMode="External"/><Relationship Id="rId22" Type="http://schemas.openxmlformats.org/officeDocument/2006/relationships/hyperlink" Target="https://www.amazon.com/dp/B07B8VXF7F?psc=1" TargetMode="External"/><Relationship Id="rId219" Type="http://schemas.openxmlformats.org/officeDocument/2006/relationships/hyperlink" Target="https://m.media-amazon.com/images/I/315r0nE259L._AC_SR600,600_.jpg" TargetMode="External"/><Relationship Id="rId218" Type="http://schemas.openxmlformats.org/officeDocument/2006/relationships/hyperlink" Target="https://www.amazon.com/dp/B0BTTQD6XH?psc=1" TargetMode="External"/><Relationship Id="rId217" Type="http://schemas.openxmlformats.org/officeDocument/2006/relationships/hyperlink" Target="https://www.amazon.com/dp/B0BTTQD6XH" TargetMode="External"/><Relationship Id="rId216" Type="http://schemas.openxmlformats.org/officeDocument/2006/relationships/hyperlink" Target="https://www.amazon.com/dp/B0B5588Z9V" TargetMode="External"/><Relationship Id="rId215" Type="http://schemas.openxmlformats.org/officeDocument/2006/relationships/hyperlink" Target="https://m.media-amazon.com/images/I/31QKvnSSd3L._AC_SR600,600_.jpg" TargetMode="External"/><Relationship Id="rId214" Type="http://schemas.openxmlformats.org/officeDocument/2006/relationships/hyperlink" Target="https://www.amazon.com/dp/B0B5528K7L?psc=1" TargetMode="External"/><Relationship Id="rId213" Type="http://schemas.openxmlformats.org/officeDocument/2006/relationships/hyperlink" Target="https://www.amazon.com/dp/B0B5528K7L" TargetMode="External"/><Relationship Id="rId212" Type="http://schemas.openxmlformats.org/officeDocument/2006/relationships/hyperlink" Target="https://www.amazon.com/dp/B0DGQS42J8" TargetMode="External"/><Relationship Id="rId211" Type="http://schemas.openxmlformats.org/officeDocument/2006/relationships/hyperlink" Target="https://m.media-amazon.com/images/I/31z16drn5SL._AC_SR200,200_.jpg" TargetMode="External"/><Relationship Id="rId210" Type="http://schemas.openxmlformats.org/officeDocument/2006/relationships/hyperlink" Target="https://www.amazon.com/dp/B07JN6Q1RT?psc=1" TargetMode="External"/><Relationship Id="rId21" Type="http://schemas.openxmlformats.org/officeDocument/2006/relationships/hyperlink" Target="https://www.amazon.com/stores/LeggingsDepot/page/68B33F7C-13F9-42C6-A40F-7F42F29E123A?ref_=ast_bln&amp;store_ref=bl_ast_dp_brandLogo_sto" TargetMode="External"/><Relationship Id="rId209" Type="http://schemas.openxmlformats.org/officeDocument/2006/relationships/hyperlink" Target="https://www.amazon.com/dp/B07JN6Q1RT" TargetMode="External"/><Relationship Id="rId208" Type="http://schemas.openxmlformats.org/officeDocument/2006/relationships/hyperlink" Target="https://www.amazon.com/gp/help/seller/at-a-glance.html/ref=dp_merchant_link?seller=A1E123VYUDMRG0" TargetMode="External"/><Relationship Id="rId207" Type="http://schemas.openxmlformats.org/officeDocument/2006/relationships/hyperlink" Target="https://www.amazon.com/dp/B0D8Q1CJ5Z" TargetMode="External"/><Relationship Id="rId206" Type="http://schemas.openxmlformats.org/officeDocument/2006/relationships/hyperlink" Target="https://images-na.ssl-images-amazon.com/images/I/61BO6x0SgaL._AC_US600_.jpg" TargetMode="External"/><Relationship Id="rId205" Type="http://schemas.openxmlformats.org/officeDocument/2006/relationships/hyperlink" Target="https://www.amazon.com/dp/B0CF56BBZC?psc=1" TargetMode="External"/><Relationship Id="rId204" Type="http://schemas.openxmlformats.org/officeDocument/2006/relationships/hyperlink" Target="https://www.amazon.com/stores/GAYHAY/page/F76EA664-9511-4AF2-93C5-F1E1DF2F3893?ref_=ast_bln&amp;store_ref=bl_ast_dp_brandLogo_sto" TargetMode="External"/><Relationship Id="rId203" Type="http://schemas.openxmlformats.org/officeDocument/2006/relationships/hyperlink" Target="https://www.amazon.com/dp/B0CF56BBZC" TargetMode="External"/><Relationship Id="rId202" Type="http://schemas.openxmlformats.org/officeDocument/2006/relationships/hyperlink" Target="https://www.amazon.com/gp/help/seller/at-a-glance.html/ref=dp_merchant_link?seller=A3FZRPDHD9EJ2Q" TargetMode="External"/><Relationship Id="rId201" Type="http://schemas.openxmlformats.org/officeDocument/2006/relationships/hyperlink" Target="https://www.amazon.com/dp/B07WBZX79F" TargetMode="External"/><Relationship Id="rId200" Type="http://schemas.openxmlformats.org/officeDocument/2006/relationships/hyperlink" Target="https://m.media-amazon.com/images/I/31wvO6BMF6L._AC_SR600,600_.jpg" TargetMode="External"/><Relationship Id="rId20" Type="http://schemas.openxmlformats.org/officeDocument/2006/relationships/hyperlink" Target="https://www.amazon.com/dp/B07B8VXF7F" TargetMode="External"/><Relationship Id="rId2" Type="http://schemas.openxmlformats.org/officeDocument/2006/relationships/hyperlink" Target="https://www.amazon.com/stores/Hanes/page/F83022EC-A709-4B2F-BCB7-7BBFA1896AB0?ref_=ast_bln&amp;store_ref=bl_ast_dp_brandLogo_sto" TargetMode="External"/><Relationship Id="rId199" Type="http://schemas.openxmlformats.org/officeDocument/2006/relationships/hyperlink" Target="https://www.amazon.com/dp/B07W5V3FX6?psc=1" TargetMode="External"/><Relationship Id="rId198" Type="http://schemas.openxmlformats.org/officeDocument/2006/relationships/hyperlink" Target="https://www.amazon.com/stores/AJISAI/page/37D7BB64-3680-453D-BD9A-6E61AD311529?ref_=ast_bln&amp;store_ref=bl_ast_dp_brandLogo_sto" TargetMode="External"/><Relationship Id="rId197" Type="http://schemas.openxmlformats.org/officeDocument/2006/relationships/hyperlink" Target="https://www.amazon.com/dp/B07W5V3FX6" TargetMode="External"/><Relationship Id="rId196" Type="http://schemas.openxmlformats.org/officeDocument/2006/relationships/hyperlink" Target="https://www.amazon.com/dp/B0C774XCNC" TargetMode="External"/><Relationship Id="rId195" Type="http://schemas.openxmlformats.org/officeDocument/2006/relationships/hyperlink" Target="https://images-na.ssl-images-amazon.com/images/I/61sfTFTZddL._AC_US600_.jpg" TargetMode="External"/><Relationship Id="rId194" Type="http://schemas.openxmlformats.org/officeDocument/2006/relationships/hyperlink" Target="https://www.amazon.com/dp/B07CMQKV13?psc=1" TargetMode="External"/><Relationship Id="rId193" Type="http://schemas.openxmlformats.org/officeDocument/2006/relationships/hyperlink" Target="https://www.amazon.com/dp/B07CMQKV13" TargetMode="External"/><Relationship Id="rId192" Type="http://schemas.openxmlformats.org/officeDocument/2006/relationships/hyperlink" Target="https://www.amazon.com/gp/help/seller/at-a-glance.html/ref=dp_merchant_link?seller=A154O6JL5L5T2Z" TargetMode="External"/><Relationship Id="rId191" Type="http://schemas.openxmlformats.org/officeDocument/2006/relationships/hyperlink" Target="https://www.amazon.com/dp/B0D7M6JD2H" TargetMode="External"/><Relationship Id="rId190" Type="http://schemas.openxmlformats.org/officeDocument/2006/relationships/hyperlink" Target="https://images-na.ssl-images-amazon.com/images/I/61HlDu+Qv+L._AC_US600_.jpg" TargetMode="External"/><Relationship Id="rId19" Type="http://schemas.openxmlformats.org/officeDocument/2006/relationships/hyperlink" Target="https://www.amazon.com/gp/help/seller/at-a-glance.html/ref=dp_merchant_link?seller=A8A0HLGI9IL7U" TargetMode="External"/><Relationship Id="rId189" Type="http://schemas.openxmlformats.org/officeDocument/2006/relationships/hyperlink" Target="https://www.amazon.com/dp/B0D7LQD3KK?psc=1" TargetMode="External"/><Relationship Id="rId188" Type="http://schemas.openxmlformats.org/officeDocument/2006/relationships/hyperlink" Target="https://www.amazon.com/stores/Pinspark/page/73638A0C-799E-4A9E-BD52-A76030463125?ref_=ast_bln&amp;store_ref=bl_ast_dp_brandLogo_sto" TargetMode="External"/><Relationship Id="rId187" Type="http://schemas.openxmlformats.org/officeDocument/2006/relationships/hyperlink" Target="https://www.amazon.com/dp/B0D7LQD3KK" TargetMode="External"/><Relationship Id="rId186" Type="http://schemas.openxmlformats.org/officeDocument/2006/relationships/hyperlink" Target="https://www.amazon.com/dp/B0CVVXRTGG" TargetMode="External"/><Relationship Id="rId185" Type="http://schemas.openxmlformats.org/officeDocument/2006/relationships/hyperlink" Target="https://m.media-amazon.com/images/I/31-Qow6r1AL._AC_SR600,600_.jpg" TargetMode="External"/><Relationship Id="rId184" Type="http://schemas.openxmlformats.org/officeDocument/2006/relationships/hyperlink" Target="https://www.amazon.com/dp/B0B5H7NH5Q?psc=1" TargetMode="External"/><Relationship Id="rId183" Type="http://schemas.openxmlformats.org/officeDocument/2006/relationships/hyperlink" Target="https://www.amazon.com/dp/B0B5H7NH5Q" TargetMode="External"/><Relationship Id="rId182" Type="http://schemas.openxmlformats.org/officeDocument/2006/relationships/hyperlink" Target="https://www.amazon.com/gp/help/seller/at-a-glance.html/ref=dp_merchant_link?seller=A1BM62752C3YWX" TargetMode="External"/><Relationship Id="rId181" Type="http://schemas.openxmlformats.org/officeDocument/2006/relationships/hyperlink" Target="https://www.amazon.com/dp/B0CXP5D7ML" TargetMode="External"/><Relationship Id="rId180" Type="http://schemas.openxmlformats.org/officeDocument/2006/relationships/hyperlink" Target="https://m.media-amazon.com/images/I/31cnWAlgIJL._AC_SR600,600_.jpg" TargetMode="External"/><Relationship Id="rId18" Type="http://schemas.openxmlformats.org/officeDocument/2006/relationships/hyperlink" Target="https://www.amazon.com/dp/B0CT8L14MN" TargetMode="External"/><Relationship Id="rId179" Type="http://schemas.openxmlformats.org/officeDocument/2006/relationships/hyperlink" Target="https://www.amazon.com/dp/B0C6RB895P?psc=1" TargetMode="External"/><Relationship Id="rId178" Type="http://schemas.openxmlformats.org/officeDocument/2006/relationships/hyperlink" Target="https://www.amazon.com/U-S-Polo-Assn/b/ref=bl_sl_s_ap_web_2603064011?ie=UTF8&amp;node=2603064011&amp;field-lbr_brands_browse-bin=U.S.+Polo+Assn." TargetMode="External"/><Relationship Id="rId177" Type="http://schemas.openxmlformats.org/officeDocument/2006/relationships/hyperlink" Target="https://www.amazon.com/dp/B0C6RB895P" TargetMode="External"/><Relationship Id="rId176" Type="http://schemas.openxmlformats.org/officeDocument/2006/relationships/hyperlink" Target="https://www.amazon.com/dp/B0DBLMJGYL" TargetMode="External"/><Relationship Id="rId175" Type="http://schemas.openxmlformats.org/officeDocument/2006/relationships/hyperlink" Target="https://images-na.ssl-images-amazon.com/images/I/61E0s9lrkCL._AC_US600_.jpg" TargetMode="External"/><Relationship Id="rId174" Type="http://schemas.openxmlformats.org/officeDocument/2006/relationships/hyperlink" Target="https://www.amazon.com/dp/B0DBLRD5K4?psc=1" TargetMode="External"/><Relationship Id="rId173" Type="http://schemas.openxmlformats.org/officeDocument/2006/relationships/hyperlink" Target="https://www.amazon.com/dp/B0DBLRD5K4" TargetMode="External"/><Relationship Id="rId172" Type="http://schemas.openxmlformats.org/officeDocument/2006/relationships/hyperlink" Target="https://www.amazon.com/dp/B010CZCMD0" TargetMode="External"/><Relationship Id="rId171" Type="http://schemas.openxmlformats.org/officeDocument/2006/relationships/hyperlink" Target="https://m.media-amazon.com/images/I/31atnIr5wwL._AC_SR600,600_.jpg" TargetMode="External"/><Relationship Id="rId170" Type="http://schemas.openxmlformats.org/officeDocument/2006/relationships/hyperlink" Target="https://www.amazon.com/dp/B010CZE7VU?psc=1" TargetMode="External"/><Relationship Id="rId17" Type="http://schemas.openxmlformats.org/officeDocument/2006/relationships/hyperlink" Target="https://images-na.ssl-images-amazon.com/images/I/518PFzFvGjL._AC_US600_.jpg" TargetMode="External"/><Relationship Id="rId169" Type="http://schemas.openxmlformats.org/officeDocument/2006/relationships/hyperlink" Target="https://www.amazon.com/JUST-MY-SIZE/b/ref=bl_sl_s_ap_web_3032534011?ie=UTF8&amp;node=3032534011&amp;field-lbr_brands_browse-bin=JUST+MY+SIZE" TargetMode="External"/><Relationship Id="rId168" Type="http://schemas.openxmlformats.org/officeDocument/2006/relationships/hyperlink" Target="https://www.amazon.com/dp/B010CZE7VU" TargetMode="External"/><Relationship Id="rId167" Type="http://schemas.openxmlformats.org/officeDocument/2006/relationships/hyperlink" Target="https://www.amazon.com/gp/help/seller/at-a-glance.html/ref=dp_merchant_link?seller=A2W4G9JRV8R0QX" TargetMode="External"/><Relationship Id="rId166" Type="http://schemas.openxmlformats.org/officeDocument/2006/relationships/hyperlink" Target="https://www.amazon.com/dp/B08CGYGPNY" TargetMode="External"/><Relationship Id="rId165" Type="http://schemas.openxmlformats.org/officeDocument/2006/relationships/hyperlink" Target="https://images-na.ssl-images-amazon.com/images/I/619IhAoylxL._AC_US600_.jpg" TargetMode="External"/><Relationship Id="rId164" Type="http://schemas.openxmlformats.org/officeDocument/2006/relationships/hyperlink" Target="https://www.amazon.com/dp/B08CGRT7G5?psc=1" TargetMode="External"/><Relationship Id="rId163" Type="http://schemas.openxmlformats.org/officeDocument/2006/relationships/hyperlink" Target="https://www.amazon.com/stores/HeSaYep/page/51E4D08D-FF93-4DDA-9FE5-EDBDE8093B03?ref_=ast_bln&amp;store_ref=bl_ast_dp_brandLogo_sto" TargetMode="External"/><Relationship Id="rId162" Type="http://schemas.openxmlformats.org/officeDocument/2006/relationships/hyperlink" Target="https://www.amazon.com/dp/B08CGRT7G5" TargetMode="External"/><Relationship Id="rId161" Type="http://schemas.openxmlformats.org/officeDocument/2006/relationships/hyperlink" Target="https://www.amazon.com/gp/help/seller/at-a-glance.html/ref=dp_merchant_link?seller=A1O4XWHB9E2F9S" TargetMode="External"/><Relationship Id="rId160" Type="http://schemas.openxmlformats.org/officeDocument/2006/relationships/hyperlink" Target="https://www.amazon.com/dp/B08LKTPNYV" TargetMode="External"/><Relationship Id="rId16" Type="http://schemas.openxmlformats.org/officeDocument/2006/relationships/hyperlink" Target="https://www.amazon.com/dp/B07L6C4MW6?psc=1" TargetMode="External"/><Relationship Id="rId159" Type="http://schemas.openxmlformats.org/officeDocument/2006/relationships/hyperlink" Target="https://m.media-amazon.com/images/I/31DBpLffGiL._AC_SR600,600_.jpg" TargetMode="External"/><Relationship Id="rId158" Type="http://schemas.openxmlformats.org/officeDocument/2006/relationships/hyperlink" Target="https://www.amazon.com/dp/B08LKCK3FG?psc=1" TargetMode="External"/><Relationship Id="rId157" Type="http://schemas.openxmlformats.org/officeDocument/2006/relationships/hyperlink" Target="https://www.amazon.com/stores/SoothfeelOnline/page/D744595D-1AAF-431C-B85C-0E072E8A8C24?ref_=ast_bln&amp;store_ref=bl_ast_dp_brandLogo_sto" TargetMode="External"/><Relationship Id="rId156" Type="http://schemas.openxmlformats.org/officeDocument/2006/relationships/hyperlink" Target="https://www.amazon.com/dp/B08LKCK3FG" TargetMode="External"/><Relationship Id="rId155" Type="http://schemas.openxmlformats.org/officeDocument/2006/relationships/hyperlink" Target="https://www.amazon.com/gp/help/seller/at-a-glance.html/ref=dp_merchant_link?seller=AUCI3SOXHH004" TargetMode="External"/><Relationship Id="rId154" Type="http://schemas.openxmlformats.org/officeDocument/2006/relationships/hyperlink" Target="https://www.amazon.com/dp/B0BV9B8JMF" TargetMode="External"/><Relationship Id="rId153" Type="http://schemas.openxmlformats.org/officeDocument/2006/relationships/hyperlink" Target="https://images-na.ssl-images-amazon.com/images/I/517On3JKqVL._AC_US600_.jpg" TargetMode="External"/><Relationship Id="rId152" Type="http://schemas.openxmlformats.org/officeDocument/2006/relationships/hyperlink" Target="https://www.amazon.com/dp/B01N5ASNXV?psc=1" TargetMode="External"/><Relationship Id="rId151" Type="http://schemas.openxmlformats.org/officeDocument/2006/relationships/hyperlink" Target="https://www.amazon.com/stores/baleaf/page/243A5985-DEA3-405F-83ED-364B4A3733C5?ref_=ast_bln&amp;store_ref=bl_ast_dp_brandLogo_sto" TargetMode="External"/><Relationship Id="rId150" Type="http://schemas.openxmlformats.org/officeDocument/2006/relationships/hyperlink" Target="https://www.amazon.com/dp/B01N5ASNXV" TargetMode="External"/><Relationship Id="rId15" Type="http://schemas.openxmlformats.org/officeDocument/2006/relationships/hyperlink" Target="https://www.amazon.com/stores/Yeokou/page/0E5683BE-BF4C-42E9-94F5-F5D8B13D1CE6?ref_=ast_bln&amp;store_ref=bl_ast_dp_brandLogo_sto" TargetMode="External"/><Relationship Id="rId149" Type="http://schemas.openxmlformats.org/officeDocument/2006/relationships/hyperlink" Target="https://www.amazon.com/gp/help/seller/at-a-glance.html/ref=dp_merchant_link?seller=AKFXQXOCRUPSB" TargetMode="External"/><Relationship Id="rId148" Type="http://schemas.openxmlformats.org/officeDocument/2006/relationships/hyperlink" Target="https://www.amazon.com/dp/B09BFDBRNW" TargetMode="External"/><Relationship Id="rId147" Type="http://schemas.openxmlformats.org/officeDocument/2006/relationships/hyperlink" Target="https://images-na.ssl-images-amazon.com/images/I/71JKGqlYYRL._AC_US600_.jpg" TargetMode="External"/><Relationship Id="rId146" Type="http://schemas.openxmlformats.org/officeDocument/2006/relationships/hyperlink" Target="https://www.amazon.com/dp/B09BFD1H3C?psc=1" TargetMode="External"/><Relationship Id="rId145" Type="http://schemas.openxmlformats.org/officeDocument/2006/relationships/hyperlink" Target="https://www.amazon.com/stores/Yovela/page/6FD7837D-2C6D-437F-B814-1D81FF80ED11?ref_=ast_bln&amp;store_ref=bl_ast_dp_brandLogo_sto" TargetMode="External"/><Relationship Id="rId144" Type="http://schemas.openxmlformats.org/officeDocument/2006/relationships/hyperlink" Target="https://www.amazon.com/dp/B09BFD1H3C" TargetMode="External"/><Relationship Id="rId143" Type="http://schemas.openxmlformats.org/officeDocument/2006/relationships/hyperlink" Target="https://www.amazon.com/gp/help/seller/at-a-glance.html/ref=dp_merchant_link?seller=ASAJM4MD6M4ZA" TargetMode="External"/><Relationship Id="rId142" Type="http://schemas.openxmlformats.org/officeDocument/2006/relationships/hyperlink" Target="https://www.amazon.com/dp/B0DL52VYMY" TargetMode="External"/><Relationship Id="rId141" Type="http://schemas.openxmlformats.org/officeDocument/2006/relationships/hyperlink" Target="https://m.media-amazon.com/images/I/31txqWhnsAL._AC_US600_.jpg" TargetMode="External"/><Relationship Id="rId140" Type="http://schemas.openxmlformats.org/officeDocument/2006/relationships/hyperlink" Target="https://www.amazon.com/dp/B08KCZTBLP?psc=1" TargetMode="External"/><Relationship Id="rId14" Type="http://schemas.openxmlformats.org/officeDocument/2006/relationships/hyperlink" Target="https://www.amazon.com/dp/B07L6C4MW6" TargetMode="External"/><Relationship Id="rId139" Type="http://schemas.openxmlformats.org/officeDocument/2006/relationships/hyperlink" Target="https://www.amazon.com/stores/FULLSOFT/page/57CC2CC0-EB5D-4A7C-9BBC-77F4668EA664?ref_=ast_bln&amp;store_ref=bl_ast_dp_brandLogo_sto" TargetMode="External"/><Relationship Id="rId138" Type="http://schemas.openxmlformats.org/officeDocument/2006/relationships/hyperlink" Target="https://www.amazon.com/dp/B08KCZTBLP" TargetMode="External"/><Relationship Id="rId137" Type="http://schemas.openxmlformats.org/officeDocument/2006/relationships/hyperlink" Target="https://www.amazon.com/gp/help/seller/at-a-glance.html/ref=dp_merchant_link?seller=AUF2A00T2W48I" TargetMode="External"/><Relationship Id="rId136" Type="http://schemas.openxmlformats.org/officeDocument/2006/relationships/hyperlink" Target="https://www.amazon.com/dp/B08RCSQY1W" TargetMode="External"/><Relationship Id="rId135" Type="http://schemas.openxmlformats.org/officeDocument/2006/relationships/hyperlink" Target="https://m.media-amazon.com/images/I/31+R4n4W+ZL._AC_SR600,600_.jpg" TargetMode="External"/><Relationship Id="rId134" Type="http://schemas.openxmlformats.org/officeDocument/2006/relationships/hyperlink" Target="https://www.amazon.com/dp/B0CDSHX3QN?psc=1" TargetMode="External"/><Relationship Id="rId133" Type="http://schemas.openxmlformats.org/officeDocument/2006/relationships/hyperlink" Target="https://www.amazon.com/stores/Kcutteyg/page/A44BE68F-0490-492A-8440-1BF984B01569?ref_=ast_bln&amp;store_ref=bl_ast_dp_brandLogo_sto" TargetMode="External"/><Relationship Id="rId132" Type="http://schemas.openxmlformats.org/officeDocument/2006/relationships/hyperlink" Target="https://www.amazon.com/dp/B0CDSHX3QN" TargetMode="External"/><Relationship Id="rId131" Type="http://schemas.openxmlformats.org/officeDocument/2006/relationships/hyperlink" Target="https://www.amazon.com/gp/help/seller/at-a-glance.html/ref=dp_merchant_link?seller=A2MVH3YSS69WMD" TargetMode="External"/><Relationship Id="rId130" Type="http://schemas.openxmlformats.org/officeDocument/2006/relationships/hyperlink" Target="https://www.amazon.com/dp/B00ZUNEZ7Q" TargetMode="External"/><Relationship Id="rId13" Type="http://schemas.openxmlformats.org/officeDocument/2006/relationships/hyperlink" Target="https://www.amazon.com/gp/help/seller/at-a-glance.html/ref=dp_merchant_link?seller=AB2NECOE3B4S7" TargetMode="External"/><Relationship Id="rId129" Type="http://schemas.openxmlformats.org/officeDocument/2006/relationships/hyperlink" Target="https://m.media-amazon.com/images/I/31fcy+ADzyL._AC_SR600,600_.jpg" TargetMode="External"/><Relationship Id="rId128" Type="http://schemas.openxmlformats.org/officeDocument/2006/relationships/hyperlink" Target="https://www.amazon.com/dp/B00ZUNKE8A?psc=1" TargetMode="External"/><Relationship Id="rId127" Type="http://schemas.openxmlformats.org/officeDocument/2006/relationships/hyperlink" Target="https://www.amazon.com/dp/B00ZUNKE8A" TargetMode="External"/><Relationship Id="rId126" Type="http://schemas.openxmlformats.org/officeDocument/2006/relationships/hyperlink" Target="https://www.amazon.com/gp/help/seller/at-a-glance.html/ref=dp_merchant_link?seller=A2R1SX4L6FB0QR" TargetMode="External"/><Relationship Id="rId125" Type="http://schemas.openxmlformats.org/officeDocument/2006/relationships/hyperlink" Target="https://www.amazon.com/dp/B0DJPP6V3X" TargetMode="External"/><Relationship Id="rId124" Type="http://schemas.openxmlformats.org/officeDocument/2006/relationships/hyperlink" Target="https://m.media-amazon.com/images/I/31AAXAu+IdL._AC_SR600,600_.jpg" TargetMode="External"/><Relationship Id="rId123" Type="http://schemas.openxmlformats.org/officeDocument/2006/relationships/hyperlink" Target="https://www.amazon.com/dp/B0DF2H6G9B?psc=1" TargetMode="External"/><Relationship Id="rId122" Type="http://schemas.openxmlformats.org/officeDocument/2006/relationships/hyperlink" Target="https://www.amazon.com/stores/TrendyQueen/page/C358EA1A-E134-4D8D-90F5-BB331A2FDC37?ref_=ast_bln&amp;store_ref=bl_ast_dp_brandLogo_sto" TargetMode="External"/><Relationship Id="rId121" Type="http://schemas.openxmlformats.org/officeDocument/2006/relationships/hyperlink" Target="https://www.amazon.com/dp/B0DF2H6G9B" TargetMode="External"/><Relationship Id="rId120" Type="http://schemas.openxmlformats.org/officeDocument/2006/relationships/hyperlink" Target="https://www.amazon.com/dp/B0CJ2PGVQP" TargetMode="External"/><Relationship Id="rId12" Type="http://schemas.openxmlformats.org/officeDocument/2006/relationships/hyperlink" Target="https://www.amazon.com/dp/B0CVVNG3JB" TargetMode="External"/><Relationship Id="rId119" Type="http://schemas.openxmlformats.org/officeDocument/2006/relationships/hyperlink" Target="https://m.media-amazon.com/images/I/31-99xdsMAL._AC_SR600,600_.jpg" TargetMode="External"/><Relationship Id="rId118" Type="http://schemas.openxmlformats.org/officeDocument/2006/relationships/hyperlink" Target="https://www.amazon.com/dp/B0CJ2PKXPK?psc=1" TargetMode="External"/><Relationship Id="rId117" Type="http://schemas.openxmlformats.org/officeDocument/2006/relationships/hyperlink" Target="https://www.amazon.com/dp/B0CJ2PKXPK" TargetMode="External"/><Relationship Id="rId116" Type="http://schemas.openxmlformats.org/officeDocument/2006/relationships/hyperlink" Target="https://www.amazon.com/gp/help/seller/at-a-glance.html/ref=dp_merchant_link?seller=A21VT5TXUQ068P" TargetMode="External"/><Relationship Id="rId115" Type="http://schemas.openxmlformats.org/officeDocument/2006/relationships/hyperlink" Target="https://www.amazon.com/dp/B0CJ2PBS5J" TargetMode="External"/><Relationship Id="rId114" Type="http://schemas.openxmlformats.org/officeDocument/2006/relationships/hyperlink" Target="https://images-na.ssl-images-amazon.com/images/I/61zdWh+ZJDL._AC_US600_.jpg" TargetMode="External"/><Relationship Id="rId113" Type="http://schemas.openxmlformats.org/officeDocument/2006/relationships/hyperlink" Target="https://www.amazon.com/dp/B0CJ2QM8LH?psc=1" TargetMode="External"/><Relationship Id="rId112" Type="http://schemas.openxmlformats.org/officeDocument/2006/relationships/hyperlink" Target="https://www.amazon.com/stores/Aleumdr/page/79470688-80B8-4863-82F6-18A200C81FC8?ref_=ast_bln&amp;store_ref=bl_ast_dp_brandLogo_sto" TargetMode="External"/><Relationship Id="rId111" Type="http://schemas.openxmlformats.org/officeDocument/2006/relationships/hyperlink" Target="https://www.amazon.com/dp/B0CJ2QM8LH" TargetMode="External"/><Relationship Id="rId110" Type="http://schemas.openxmlformats.org/officeDocument/2006/relationships/hyperlink" Target="https://www.amazon.com/dp/B0DG2FZXP1" TargetMode="External"/><Relationship Id="rId11" Type="http://schemas.openxmlformats.org/officeDocument/2006/relationships/hyperlink" Target="https://images-na.ssl-images-amazon.com/images/I/51af29C2bqL._AC_US600_.jpg" TargetMode="External"/><Relationship Id="rId109" Type="http://schemas.openxmlformats.org/officeDocument/2006/relationships/hyperlink" Target="https://m.media-amazon.com/images/I/21WoUzaXFrS._AC_SR600,600_.jpg" TargetMode="External"/><Relationship Id="rId108" Type="http://schemas.openxmlformats.org/officeDocument/2006/relationships/hyperlink" Target="https://www.amazon.com/dp/B07MCN1NGT?psc=1" TargetMode="External"/><Relationship Id="rId107" Type="http://schemas.openxmlformats.org/officeDocument/2006/relationships/hyperlink" Target="https://www.amazon.com/stores/Skechers/page/4B1ECBE0-2659-48D2-A5C3-A8252218356A?ref_=ast_bln&amp;store_ref=bl_ast_dp_brandLogo_sto" TargetMode="External"/><Relationship Id="rId106" Type="http://schemas.openxmlformats.org/officeDocument/2006/relationships/hyperlink" Target="https://www.amazon.com/dp/B07MCN1NGT" TargetMode="External"/><Relationship Id="rId105" Type="http://schemas.openxmlformats.org/officeDocument/2006/relationships/hyperlink" Target="https://www.amazon.com/gp/help/seller/at-a-glance.html/ref=dp_merchant_link?seller=A3E1SQM5WUB3RR" TargetMode="External"/><Relationship Id="rId104" Type="http://schemas.openxmlformats.org/officeDocument/2006/relationships/hyperlink" Target="https://www.amazon.com/dp/B09H65TD9M" TargetMode="External"/><Relationship Id="rId103" Type="http://schemas.openxmlformats.org/officeDocument/2006/relationships/hyperlink" Target="https://m.media-amazon.com/images/I/31iY9+8AkFL._AC_SR600,600_.jpg" TargetMode="External"/><Relationship Id="rId102" Type="http://schemas.openxmlformats.org/officeDocument/2006/relationships/hyperlink" Target="https://www.amazon.com/dp/B09H6541HP?psc=1" TargetMode="External"/><Relationship Id="rId101" Type="http://schemas.openxmlformats.org/officeDocument/2006/relationships/hyperlink" Target="https://www.amazon.com/stores/SANTINY/page/C8E491B5-0FA2-4D0C-979E-F3B657EE0FA5?ref_=ast_bln&amp;store_ref=bl_ast_dp_brandLogo_sto" TargetMode="External"/><Relationship Id="rId100" Type="http://schemas.openxmlformats.org/officeDocument/2006/relationships/hyperlink" Target="https://www.amazon.com/dp/B09H6541HP" TargetMode="External"/><Relationship Id="rId10" Type="http://schemas.openxmlformats.org/officeDocument/2006/relationships/hyperlink" Target="https://www.amazon.com/dp/B08XXMQ32C?psc=1" TargetMode="External"/><Relationship Id="rId1" Type="http://schemas.openxmlformats.org/officeDocument/2006/relationships/hyperlink" Target="https://www.amazon.com/dp/B0169P9G2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F101"/>
  <sheetViews>
    <sheetView tabSelected="1" workbookViewId="0">
      <pane ySplit="1" topLeftCell="A86" activePane="bottomLeft" state="frozen"/>
      <selection/>
      <selection pane="bottomLeft" activeCell="J94" sqref="J94:J101"/>
    </sheetView>
  </sheetViews>
  <sheetFormatPr defaultColWidth="9" defaultRowHeight="14.4"/>
  <cols>
    <col min="1" max="1" width="8" style="7" customWidth="1"/>
    <col min="2" max="4" width="14" style="7" customWidth="1"/>
    <col min="5" max="6" width="13" style="7" customWidth="1"/>
    <col min="7" max="7" width="35" style="7" customWidth="1"/>
    <col min="8" max="10" width="14" style="7" customWidth="1"/>
    <col min="11" max="12" width="20" style="7" customWidth="1"/>
    <col min="13" max="13" width="12" style="8" customWidth="1"/>
    <col min="14" max="14" width="16" style="8" customWidth="1"/>
    <col min="15" max="15" width="16" style="9" customWidth="1"/>
    <col min="16" max="16" width="25" style="7" customWidth="1"/>
    <col min="17" max="17" width="12" style="8" customWidth="1"/>
    <col min="18" max="18" width="13" style="8" customWidth="1"/>
    <col min="19" max="19" width="13" style="9" customWidth="1"/>
    <col min="20" max="20" width="15" style="8" customWidth="1"/>
    <col min="21" max="21" width="13" style="7" customWidth="1"/>
    <col min="22" max="22" width="13" style="8" customWidth="1"/>
    <col min="23" max="23" width="10" style="8" customWidth="1"/>
    <col min="24" max="24" width="10" style="10" customWidth="1"/>
    <col min="25" max="26" width="12" style="10" customWidth="1"/>
    <col min="27" max="28" width="10" style="8" customWidth="1"/>
    <col min="29" max="29" width="15" style="8" customWidth="1"/>
    <col min="30" max="30" width="10" style="11" customWidth="1"/>
    <col min="31" max="31" width="10" style="12" customWidth="1"/>
    <col min="32" max="32" width="10" style="10" customWidth="1"/>
    <col min="33" max="34" width="10" style="9" customWidth="1"/>
    <col min="35" max="35" width="18" style="7" customWidth="1"/>
    <col min="36" max="36" width="12" style="8" customWidth="1"/>
    <col min="37" max="37" width="10" style="7" customWidth="1"/>
    <col min="38" max="38" width="12" style="8" customWidth="1"/>
    <col min="39" max="39" width="10" style="8" customWidth="1"/>
    <col min="40" max="41" width="18" style="7" customWidth="1"/>
    <col min="42" max="42" width="13" style="7" customWidth="1"/>
    <col min="43" max="44" width="37" style="7" customWidth="1"/>
    <col min="45" max="45" width="16" style="7" customWidth="1"/>
    <col min="46" max="46" width="17" style="7" customWidth="1"/>
    <col min="47" max="47" width="18" style="7" customWidth="1"/>
    <col min="48" max="48" width="9" style="7" customWidth="1"/>
    <col min="49" max="49" width="10" style="7" customWidth="1"/>
    <col min="50" max="50" width="8" style="7" customWidth="1"/>
    <col min="51" max="52" width="10" style="7" customWidth="1"/>
    <col min="53" max="53" width="9" style="7" customWidth="1"/>
    <col min="54" max="54" width="24" style="7" customWidth="1"/>
    <col min="55" max="56" width="18" style="7" customWidth="1"/>
    <col min="57" max="58" width="30" style="7" customWidth="1"/>
  </cols>
  <sheetData>
    <row r="1" ht="27" customHeight="1" spans="1:58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6" t="s">
        <v>12</v>
      </c>
      <c r="N1" s="16" t="s">
        <v>13</v>
      </c>
      <c r="O1" s="17" t="s">
        <v>14</v>
      </c>
      <c r="P1" s="13" t="s">
        <v>15</v>
      </c>
      <c r="Q1" s="16" t="s">
        <v>16</v>
      </c>
      <c r="R1" s="16" t="s">
        <v>17</v>
      </c>
      <c r="S1" s="17" t="s">
        <v>18</v>
      </c>
      <c r="T1" s="16" t="s">
        <v>19</v>
      </c>
      <c r="U1" s="13" t="s">
        <v>20</v>
      </c>
      <c r="V1" s="16" t="s">
        <v>21</v>
      </c>
      <c r="W1" s="16" t="s">
        <v>22</v>
      </c>
      <c r="X1" s="21" t="s">
        <v>23</v>
      </c>
      <c r="Y1" s="21" t="s">
        <v>24</v>
      </c>
      <c r="Z1" s="13" t="s">
        <v>25</v>
      </c>
      <c r="AA1" s="16" t="s">
        <v>26</v>
      </c>
      <c r="AB1" s="16" t="s">
        <v>27</v>
      </c>
      <c r="AC1" s="16" t="s">
        <v>28</v>
      </c>
      <c r="AD1" s="26" t="s">
        <v>29</v>
      </c>
      <c r="AE1" s="27" t="s">
        <v>30</v>
      </c>
      <c r="AF1" s="21" t="s">
        <v>31</v>
      </c>
      <c r="AG1" s="17" t="s">
        <v>32</v>
      </c>
      <c r="AH1" s="13" t="s">
        <v>33</v>
      </c>
      <c r="AI1" s="13" t="s">
        <v>34</v>
      </c>
      <c r="AJ1" s="16" t="s">
        <v>35</v>
      </c>
      <c r="AK1" s="13" t="s">
        <v>36</v>
      </c>
      <c r="AL1" s="16" t="s">
        <v>37</v>
      </c>
      <c r="AM1" s="16" t="s">
        <v>38</v>
      </c>
      <c r="AN1" s="13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3" t="s">
        <v>44</v>
      </c>
      <c r="AT1" s="13" t="s">
        <v>45</v>
      </c>
      <c r="AU1" s="13" t="s">
        <v>46</v>
      </c>
      <c r="AV1" s="13" t="s">
        <v>47</v>
      </c>
      <c r="AW1" s="13" t="s">
        <v>48</v>
      </c>
      <c r="AX1" s="13" t="s">
        <v>49</v>
      </c>
      <c r="AY1" s="13" t="s">
        <v>50</v>
      </c>
      <c r="AZ1" s="13" t="s">
        <v>51</v>
      </c>
      <c r="BA1" s="13" t="s">
        <v>52</v>
      </c>
      <c r="BB1" s="13" t="s">
        <v>53</v>
      </c>
      <c r="BC1" s="13" t="s">
        <v>54</v>
      </c>
      <c r="BD1" s="13" t="s">
        <v>54</v>
      </c>
      <c r="BE1" s="13" t="s">
        <v>55</v>
      </c>
      <c r="BF1" s="13" t="s">
        <v>55</v>
      </c>
    </row>
    <row r="2" ht="24" customHeight="1" spans="1:58">
      <c r="A2" s="14" t="str">
        <f>_xlfn.DISPIMG("ID_7488E96395FC4D1391701E1305BBDC4F",1)</f>
        <v>=DISPIMG("ID_7488E96395FC4D1391701E1305BBDC4F",1)</v>
      </c>
      <c r="B2" s="15" t="s">
        <v>56</v>
      </c>
      <c r="C2" s="15" t="s">
        <v>57</v>
      </c>
      <c r="D2" s="15" t="s">
        <v>58</v>
      </c>
      <c r="E2" s="15" t="s">
        <v>59</v>
      </c>
      <c r="F2" s="15" t="s">
        <v>60</v>
      </c>
      <c r="G2" s="15" t="s">
        <v>61</v>
      </c>
      <c r="H2" s="15" t="s">
        <v>62</v>
      </c>
      <c r="I2" s="15" t="s">
        <v>63</v>
      </c>
      <c r="J2" s="15" t="s">
        <v>64</v>
      </c>
      <c r="K2" s="15" t="s">
        <v>65</v>
      </c>
      <c r="L2" s="15" t="s">
        <v>66</v>
      </c>
      <c r="M2" s="18">
        <v>40</v>
      </c>
      <c r="N2" s="18">
        <v>6</v>
      </c>
      <c r="O2" s="19">
        <v>0.0984</v>
      </c>
      <c r="P2" s="20" t="s">
        <v>67</v>
      </c>
      <c r="Q2" s="22" t="s">
        <v>68</v>
      </c>
      <c r="R2" s="18">
        <v>78486</v>
      </c>
      <c r="S2" s="19">
        <v>4.1007</v>
      </c>
      <c r="T2" s="18">
        <v>784075.1</v>
      </c>
      <c r="U2" s="23" t="s">
        <v>69</v>
      </c>
      <c r="V2" s="18">
        <v>19980</v>
      </c>
      <c r="W2" s="24">
        <v>55</v>
      </c>
      <c r="X2" s="25">
        <v>9.99</v>
      </c>
      <c r="Z2" s="7"/>
      <c r="AA2" s="18">
        <v>98</v>
      </c>
      <c r="AB2" s="24">
        <v>90115</v>
      </c>
      <c r="AC2" s="18">
        <v>428</v>
      </c>
      <c r="AD2" s="28">
        <v>4</v>
      </c>
      <c r="AE2" s="29">
        <v>0.0055</v>
      </c>
      <c r="AF2" s="25">
        <v>6.27</v>
      </c>
      <c r="AG2" s="19">
        <v>0.1724</v>
      </c>
      <c r="AI2" s="14" t="s">
        <v>70</v>
      </c>
      <c r="AJ2" s="24">
        <v>234</v>
      </c>
      <c r="AK2" s="14" t="s">
        <v>71</v>
      </c>
      <c r="AL2" s="24">
        <v>9.8</v>
      </c>
      <c r="AM2" s="24">
        <v>6</v>
      </c>
      <c r="AN2" s="15" t="s">
        <v>72</v>
      </c>
      <c r="AO2" s="14" t="s">
        <v>71</v>
      </c>
      <c r="AP2" s="14" t="s">
        <v>73</v>
      </c>
      <c r="AQ2" s="15" t="s">
        <v>73</v>
      </c>
      <c r="AR2" s="14" t="s">
        <v>73</v>
      </c>
      <c r="AS2" s="14" t="s">
        <v>74</v>
      </c>
      <c r="AT2" s="14" t="s">
        <v>74</v>
      </c>
      <c r="AU2" s="14" t="s">
        <v>73</v>
      </c>
      <c r="AV2" s="14" t="s">
        <v>74</v>
      </c>
      <c r="AW2" s="14" t="s">
        <v>73</v>
      </c>
      <c r="AX2" s="14" t="s">
        <v>73</v>
      </c>
      <c r="AY2" s="14" t="s">
        <v>73</v>
      </c>
      <c r="AZ2" s="14" t="s">
        <v>73</v>
      </c>
      <c r="BA2" s="15" t="s">
        <v>73</v>
      </c>
      <c r="BB2" s="23" t="s">
        <v>75</v>
      </c>
      <c r="BC2" s="23" t="s">
        <v>76</v>
      </c>
      <c r="BD2" s="23" t="s">
        <v>77</v>
      </c>
      <c r="BE2" s="23" t="s">
        <v>78</v>
      </c>
      <c r="BF2" s="14" t="s">
        <v>79</v>
      </c>
    </row>
    <row r="3" ht="24" customHeight="1" spans="1:58">
      <c r="A3" s="14" t="str">
        <f>_xlfn.DISPIMG("ID_144FFA1D1435432687C5FAD61C452E5F",1)</f>
        <v>=DISPIMG("ID_144FFA1D1435432687C5FAD61C452E5F",1)</v>
      </c>
      <c r="B3" s="15" t="s">
        <v>80</v>
      </c>
      <c r="C3" s="15" t="s">
        <v>81</v>
      </c>
      <c r="D3" s="15" t="s">
        <v>82</v>
      </c>
      <c r="E3" s="15" t="s">
        <v>83</v>
      </c>
      <c r="F3" s="15" t="s">
        <v>84</v>
      </c>
      <c r="G3" s="15" t="s">
        <v>85</v>
      </c>
      <c r="H3" s="15" t="s">
        <v>86</v>
      </c>
      <c r="I3" s="15" t="s">
        <v>87</v>
      </c>
      <c r="J3" s="15" t="s">
        <v>88</v>
      </c>
      <c r="K3" s="15" t="s">
        <v>65</v>
      </c>
      <c r="L3" s="15" t="s">
        <v>66</v>
      </c>
      <c r="M3" s="18">
        <v>181</v>
      </c>
      <c r="N3" s="18">
        <v>-125</v>
      </c>
      <c r="O3" s="19">
        <v>-2.2321</v>
      </c>
      <c r="P3" s="20" t="s">
        <v>67</v>
      </c>
      <c r="Q3" s="22" t="s">
        <v>89</v>
      </c>
      <c r="R3" s="18">
        <v>49119</v>
      </c>
      <c r="S3" s="19">
        <v>0.7472</v>
      </c>
      <c r="T3" s="18">
        <v>883650.8</v>
      </c>
      <c r="U3" s="23" t="s">
        <v>90</v>
      </c>
      <c r="V3" s="18">
        <v>53970</v>
      </c>
      <c r="W3" s="24">
        <v>85</v>
      </c>
      <c r="X3" s="25">
        <v>17.99</v>
      </c>
      <c r="Z3" s="7"/>
      <c r="AA3" s="18">
        <v>18</v>
      </c>
      <c r="AB3" s="24">
        <v>7613</v>
      </c>
      <c r="AC3" s="18">
        <v>257</v>
      </c>
      <c r="AD3" s="28">
        <v>4.4</v>
      </c>
      <c r="AE3" s="29">
        <v>0.0052</v>
      </c>
      <c r="AF3" s="25">
        <v>6.27</v>
      </c>
      <c r="AG3" s="19">
        <v>0.4515</v>
      </c>
      <c r="AI3" s="14" t="s">
        <v>91</v>
      </c>
      <c r="AJ3" s="24">
        <v>1340</v>
      </c>
      <c r="AK3" s="14" t="s">
        <v>92</v>
      </c>
      <c r="AL3" s="24">
        <v>10</v>
      </c>
      <c r="AM3" s="24">
        <v>1</v>
      </c>
      <c r="AN3" s="15" t="s">
        <v>93</v>
      </c>
      <c r="AO3" s="14" t="s">
        <v>92</v>
      </c>
      <c r="AP3" s="14" t="s">
        <v>94</v>
      </c>
      <c r="AQ3" s="15" t="s">
        <v>95</v>
      </c>
      <c r="AR3" s="14" t="s">
        <v>96</v>
      </c>
      <c r="AS3" s="14" t="s">
        <v>74</v>
      </c>
      <c r="AT3" s="14" t="s">
        <v>74</v>
      </c>
      <c r="AU3" s="14" t="s">
        <v>73</v>
      </c>
      <c r="AV3" s="14" t="s">
        <v>74</v>
      </c>
      <c r="AW3" s="14" t="s">
        <v>74</v>
      </c>
      <c r="AX3" s="14" t="s">
        <v>73</v>
      </c>
      <c r="AY3" s="14" t="s">
        <v>74</v>
      </c>
      <c r="AZ3" s="14" t="s">
        <v>73</v>
      </c>
      <c r="BA3" s="15" t="s">
        <v>73</v>
      </c>
      <c r="BB3" s="23" t="s">
        <v>73</v>
      </c>
      <c r="BC3" s="23" t="s">
        <v>97</v>
      </c>
      <c r="BD3" s="23" t="s">
        <v>98</v>
      </c>
      <c r="BE3" s="23" t="s">
        <v>99</v>
      </c>
      <c r="BF3" s="14" t="s">
        <v>100</v>
      </c>
    </row>
    <row r="4" ht="24" customHeight="1" spans="1:58">
      <c r="A4" s="14" t="str">
        <f>_xlfn.DISPIMG("ID_2CFD1A14797F47CD9A029CD3B4240A15",1)</f>
        <v>=DISPIMG("ID_2CFD1A14797F47CD9A029CD3B4240A15",1)</v>
      </c>
      <c r="B4" s="15" t="s">
        <v>101</v>
      </c>
      <c r="C4" s="15" t="s">
        <v>102</v>
      </c>
      <c r="D4" s="15" t="s">
        <v>103</v>
      </c>
      <c r="E4" s="15" t="s">
        <v>104</v>
      </c>
      <c r="F4" s="15" t="s">
        <v>105</v>
      </c>
      <c r="G4" s="15" t="s">
        <v>106</v>
      </c>
      <c r="H4" s="15" t="s">
        <v>107</v>
      </c>
      <c r="I4" s="15" t="s">
        <v>108</v>
      </c>
      <c r="J4" s="15" t="s">
        <v>109</v>
      </c>
      <c r="K4" s="15" t="s">
        <v>65</v>
      </c>
      <c r="L4" s="15" t="s">
        <v>66</v>
      </c>
      <c r="M4" s="18">
        <v>222</v>
      </c>
      <c r="N4" s="18">
        <v>2350</v>
      </c>
      <c r="O4" s="19">
        <v>0.9137</v>
      </c>
      <c r="P4" s="20" t="s">
        <v>67</v>
      </c>
      <c r="Q4" s="22" t="s">
        <v>110</v>
      </c>
      <c r="R4" s="18">
        <v>11964</v>
      </c>
      <c r="S4" s="19">
        <v>4.7478</v>
      </c>
      <c r="T4" s="18">
        <v>326497.56</v>
      </c>
      <c r="U4" s="23" t="s">
        <v>111</v>
      </c>
      <c r="V4" s="18">
        <v>27290</v>
      </c>
      <c r="W4" s="24">
        <v>64</v>
      </c>
      <c r="X4" s="25">
        <v>27.29</v>
      </c>
      <c r="Z4" s="7"/>
      <c r="AA4" s="18">
        <v>190</v>
      </c>
      <c r="AB4" s="24">
        <v>19286</v>
      </c>
      <c r="AC4" s="18">
        <v>40</v>
      </c>
      <c r="AD4" s="28">
        <v>4.4</v>
      </c>
      <c r="AE4" s="29">
        <v>0.0033</v>
      </c>
      <c r="AF4" s="25">
        <v>6.53</v>
      </c>
      <c r="AG4" s="19">
        <v>0.5607</v>
      </c>
      <c r="AI4" s="14" t="s">
        <v>112</v>
      </c>
      <c r="AJ4" s="24">
        <v>2141</v>
      </c>
      <c r="AK4" s="14" t="s">
        <v>92</v>
      </c>
      <c r="AL4" s="24">
        <v>9.5</v>
      </c>
      <c r="AM4" s="24">
        <v>2</v>
      </c>
      <c r="AN4" s="15" t="s">
        <v>104</v>
      </c>
      <c r="AO4" s="14" t="s">
        <v>92</v>
      </c>
      <c r="AP4" s="14" t="s">
        <v>94</v>
      </c>
      <c r="AQ4" s="15" t="s">
        <v>113</v>
      </c>
      <c r="AR4" s="14" t="s">
        <v>114</v>
      </c>
      <c r="AS4" s="14" t="s">
        <v>73</v>
      </c>
      <c r="AT4" s="14" t="s">
        <v>74</v>
      </c>
      <c r="AU4" s="14" t="s">
        <v>73</v>
      </c>
      <c r="AV4" s="14" t="s">
        <v>74</v>
      </c>
      <c r="AW4" s="14" t="s">
        <v>73</v>
      </c>
      <c r="AX4" s="14" t="s">
        <v>73</v>
      </c>
      <c r="AY4" s="14" t="s">
        <v>74</v>
      </c>
      <c r="AZ4" s="14" t="s">
        <v>73</v>
      </c>
      <c r="BA4" s="15" t="s">
        <v>74</v>
      </c>
      <c r="BB4" s="23" t="s">
        <v>73</v>
      </c>
      <c r="BC4" s="23" t="s">
        <v>115</v>
      </c>
      <c r="BD4" s="23" t="s">
        <v>116</v>
      </c>
      <c r="BE4" s="23" t="s">
        <v>117</v>
      </c>
      <c r="BF4" s="14" t="s">
        <v>118</v>
      </c>
    </row>
    <row r="5" ht="24" customHeight="1" spans="1:58">
      <c r="A5" s="14" t="str">
        <f>_xlfn.DISPIMG("ID_581C308CACED4714AE8D0EFF21981C66",1)</f>
        <v>=DISPIMG("ID_581C308CACED4714AE8D0EFF21981C66",1)</v>
      </c>
      <c r="B5" s="15" t="s">
        <v>119</v>
      </c>
      <c r="C5" s="15" t="s">
        <v>81</v>
      </c>
      <c r="D5" s="15" t="s">
        <v>120</v>
      </c>
      <c r="E5" s="15" t="s">
        <v>121</v>
      </c>
      <c r="F5" s="15" t="s">
        <v>122</v>
      </c>
      <c r="G5" s="15" t="s">
        <v>123</v>
      </c>
      <c r="H5" s="15" t="s">
        <v>124</v>
      </c>
      <c r="I5" s="15" t="s">
        <v>125</v>
      </c>
      <c r="J5" s="15" t="s">
        <v>126</v>
      </c>
      <c r="K5" s="15" t="s">
        <v>65</v>
      </c>
      <c r="L5" s="15" t="s">
        <v>66</v>
      </c>
      <c r="M5" s="18">
        <v>266</v>
      </c>
      <c r="N5" s="18">
        <v>-38</v>
      </c>
      <c r="O5" s="19">
        <v>-0.1712</v>
      </c>
      <c r="P5" s="20" t="s">
        <v>67</v>
      </c>
      <c r="Q5" s="22" t="s">
        <v>127</v>
      </c>
      <c r="R5" s="18">
        <v>49737</v>
      </c>
      <c r="S5" s="19">
        <v>1.2729</v>
      </c>
      <c r="T5" s="18">
        <v>894768.6</v>
      </c>
      <c r="U5" s="23" t="s">
        <v>69</v>
      </c>
      <c r="V5" s="18">
        <v>35980</v>
      </c>
      <c r="W5" s="24">
        <v>520</v>
      </c>
      <c r="X5" s="25">
        <v>17.99</v>
      </c>
      <c r="Z5" s="23" t="s">
        <v>128</v>
      </c>
      <c r="AA5" s="18">
        <v>460</v>
      </c>
      <c r="AB5" s="24">
        <v>99312</v>
      </c>
      <c r="AC5" s="18">
        <v>221</v>
      </c>
      <c r="AD5" s="28">
        <v>4.4</v>
      </c>
      <c r="AE5" s="29">
        <v>0.0044</v>
      </c>
      <c r="AF5" s="25">
        <v>6.27</v>
      </c>
      <c r="AG5" s="19">
        <v>0.4515</v>
      </c>
      <c r="AI5" s="14" t="s">
        <v>129</v>
      </c>
      <c r="AJ5" s="24">
        <v>2462</v>
      </c>
      <c r="AK5" s="14" t="s">
        <v>92</v>
      </c>
      <c r="AL5" s="24">
        <v>10</v>
      </c>
      <c r="AM5" s="24">
        <v>1</v>
      </c>
      <c r="AN5" s="15" t="s">
        <v>130</v>
      </c>
      <c r="AO5" s="14" t="s">
        <v>92</v>
      </c>
      <c r="AP5" s="14" t="s">
        <v>131</v>
      </c>
      <c r="AQ5" s="15" t="s">
        <v>132</v>
      </c>
      <c r="AR5" s="14" t="s">
        <v>133</v>
      </c>
      <c r="AS5" s="14" t="s">
        <v>74</v>
      </c>
      <c r="AT5" s="14" t="s">
        <v>74</v>
      </c>
      <c r="AU5" s="14" t="s">
        <v>73</v>
      </c>
      <c r="AV5" s="14" t="s">
        <v>74</v>
      </c>
      <c r="AW5" s="14" t="s">
        <v>74</v>
      </c>
      <c r="AX5" s="14" t="s">
        <v>73</v>
      </c>
      <c r="AY5" s="14" t="s">
        <v>74</v>
      </c>
      <c r="AZ5" s="14" t="s">
        <v>73</v>
      </c>
      <c r="BA5" s="15" t="s">
        <v>73</v>
      </c>
      <c r="BB5" s="23" t="s">
        <v>134</v>
      </c>
      <c r="BC5" s="23" t="s">
        <v>135</v>
      </c>
      <c r="BD5" s="23" t="s">
        <v>136</v>
      </c>
      <c r="BE5" s="23" t="s">
        <v>137</v>
      </c>
      <c r="BF5" s="14" t="s">
        <v>138</v>
      </c>
    </row>
    <row r="6" ht="24" customHeight="1" spans="1:58">
      <c r="A6" s="14" t="str">
        <f>_xlfn.DISPIMG("ID_26889C885B4643A586968FC8CB47F4F6",1)</f>
        <v>=DISPIMG("ID_26889C885B4643A586968FC8CB47F4F6",1)</v>
      </c>
      <c r="B6" s="15" t="s">
        <v>139</v>
      </c>
      <c r="C6" s="15" t="s">
        <v>140</v>
      </c>
      <c r="D6" s="15" t="s">
        <v>141</v>
      </c>
      <c r="E6" s="15" t="s">
        <v>142</v>
      </c>
      <c r="F6" s="15" t="s">
        <v>143</v>
      </c>
      <c r="G6" s="15" t="s">
        <v>144</v>
      </c>
      <c r="H6" s="15" t="s">
        <v>145</v>
      </c>
      <c r="I6" s="15" t="s">
        <v>146</v>
      </c>
      <c r="J6" s="15" t="s">
        <v>147</v>
      </c>
      <c r="K6" s="15" t="s">
        <v>65</v>
      </c>
      <c r="L6" s="15" t="s">
        <v>148</v>
      </c>
      <c r="M6" s="18">
        <v>454</v>
      </c>
      <c r="N6" s="8"/>
      <c r="O6" s="19">
        <v>0</v>
      </c>
      <c r="P6" s="20" t="s">
        <v>67</v>
      </c>
      <c r="Q6" s="22" t="s">
        <v>149</v>
      </c>
      <c r="R6" s="18" t="s">
        <v>73</v>
      </c>
      <c r="S6" s="19" t="s">
        <v>73</v>
      </c>
      <c r="T6" s="18" t="s">
        <v>73</v>
      </c>
      <c r="U6" s="23" t="s">
        <v>150</v>
      </c>
      <c r="V6" s="18">
        <v>10450</v>
      </c>
      <c r="W6" s="24">
        <v>200</v>
      </c>
      <c r="X6" s="25">
        <v>20.9</v>
      </c>
      <c r="Z6" s="7"/>
      <c r="AA6" s="18">
        <v>207</v>
      </c>
      <c r="AB6" s="24">
        <v>37189</v>
      </c>
      <c r="AC6" s="8"/>
      <c r="AD6" s="28">
        <v>4.3</v>
      </c>
      <c r="AE6" s="29">
        <v>0</v>
      </c>
      <c r="AF6" s="10"/>
      <c r="AG6" s="19">
        <v>0</v>
      </c>
      <c r="AI6" s="14" t="s">
        <v>151</v>
      </c>
      <c r="AJ6" s="24">
        <v>174</v>
      </c>
      <c r="AK6" s="14" t="s">
        <v>71</v>
      </c>
      <c r="AL6" s="24">
        <v>7.8</v>
      </c>
      <c r="AM6" s="24">
        <v>1</v>
      </c>
      <c r="AN6" s="15" t="s">
        <v>72</v>
      </c>
      <c r="AO6" s="14" t="s">
        <v>71</v>
      </c>
      <c r="AP6" s="14" t="s">
        <v>73</v>
      </c>
      <c r="AQ6" s="15" t="s">
        <v>73</v>
      </c>
      <c r="AR6" s="14" t="s">
        <v>73</v>
      </c>
      <c r="AS6" s="14" t="s">
        <v>73</v>
      </c>
      <c r="AT6" s="14" t="s">
        <v>74</v>
      </c>
      <c r="AU6" s="14" t="s">
        <v>73</v>
      </c>
      <c r="AV6" s="14" t="s">
        <v>73</v>
      </c>
      <c r="AW6" s="14" t="s">
        <v>74</v>
      </c>
      <c r="AX6" s="14" t="s">
        <v>73</v>
      </c>
      <c r="AY6" s="14" t="s">
        <v>74</v>
      </c>
      <c r="AZ6" s="14" t="s">
        <v>73</v>
      </c>
      <c r="BA6" s="15" t="s">
        <v>73</v>
      </c>
      <c r="BB6" s="23" t="s">
        <v>73</v>
      </c>
      <c r="BC6" s="23" t="s">
        <v>152</v>
      </c>
      <c r="BD6" s="23" t="s">
        <v>153</v>
      </c>
      <c r="BE6" s="23" t="s">
        <v>154</v>
      </c>
      <c r="BF6" s="14" t="s">
        <v>155</v>
      </c>
    </row>
    <row r="7" ht="24" customHeight="1" spans="1:58">
      <c r="A7" s="14" t="str">
        <f>_xlfn.DISPIMG("ID_6465DE86F21C4F64A751C3812CA1B814",1)</f>
        <v>=DISPIMG("ID_6465DE86F21C4F64A751C3812CA1B814",1)</v>
      </c>
      <c r="B7" s="15" t="s">
        <v>156</v>
      </c>
      <c r="C7" s="15" t="s">
        <v>157</v>
      </c>
      <c r="D7" s="15" t="s">
        <v>158</v>
      </c>
      <c r="E7" s="15" t="s">
        <v>159</v>
      </c>
      <c r="F7" s="15" t="s">
        <v>160</v>
      </c>
      <c r="G7" s="15" t="s">
        <v>161</v>
      </c>
      <c r="H7" s="15" t="s">
        <v>162</v>
      </c>
      <c r="I7" s="15" t="s">
        <v>163</v>
      </c>
      <c r="J7" s="15" t="s">
        <v>164</v>
      </c>
      <c r="K7" s="15" t="s">
        <v>65</v>
      </c>
      <c r="L7" s="15" t="s">
        <v>66</v>
      </c>
      <c r="M7" s="18">
        <v>460</v>
      </c>
      <c r="N7" s="18">
        <v>108</v>
      </c>
      <c r="O7" s="19">
        <v>0.1717</v>
      </c>
      <c r="P7" s="20" t="s">
        <v>67</v>
      </c>
      <c r="Q7" s="22" t="s">
        <v>165</v>
      </c>
      <c r="R7" s="18">
        <v>21831</v>
      </c>
      <c r="S7" s="19">
        <v>0.5679</v>
      </c>
      <c r="T7" s="18">
        <v>807528.75</v>
      </c>
      <c r="U7" s="23" t="s">
        <v>166</v>
      </c>
      <c r="V7" s="18">
        <v>36990</v>
      </c>
      <c r="W7" s="24">
        <v>102</v>
      </c>
      <c r="X7" s="25">
        <v>36.99</v>
      </c>
      <c r="Z7" s="7"/>
      <c r="AA7" s="18">
        <v>39</v>
      </c>
      <c r="AB7" s="24">
        <v>9363</v>
      </c>
      <c r="AC7" s="18">
        <v>278</v>
      </c>
      <c r="AD7" s="28">
        <v>4.3</v>
      </c>
      <c r="AE7" s="29">
        <v>0.0127</v>
      </c>
      <c r="AF7" s="25">
        <v>7.75</v>
      </c>
      <c r="AG7" s="19">
        <v>0.5905</v>
      </c>
      <c r="AI7" s="14" t="s">
        <v>167</v>
      </c>
      <c r="AJ7" s="24">
        <v>1348</v>
      </c>
      <c r="AK7" s="14" t="s">
        <v>92</v>
      </c>
      <c r="AL7" s="24">
        <v>9.8</v>
      </c>
      <c r="AM7" s="24">
        <v>1</v>
      </c>
      <c r="AN7" s="15" t="s">
        <v>159</v>
      </c>
      <c r="AO7" s="14" t="s">
        <v>92</v>
      </c>
      <c r="AP7" s="14" t="s">
        <v>131</v>
      </c>
      <c r="AQ7" s="15" t="s">
        <v>168</v>
      </c>
      <c r="AR7" s="14" t="s">
        <v>169</v>
      </c>
      <c r="AS7" s="14" t="s">
        <v>74</v>
      </c>
      <c r="AT7" s="14" t="s">
        <v>74</v>
      </c>
      <c r="AU7" s="14" t="s">
        <v>73</v>
      </c>
      <c r="AV7" s="14" t="s">
        <v>74</v>
      </c>
      <c r="AW7" s="14" t="s">
        <v>74</v>
      </c>
      <c r="AX7" s="14" t="s">
        <v>73</v>
      </c>
      <c r="AY7" s="14" t="s">
        <v>74</v>
      </c>
      <c r="AZ7" s="14" t="s">
        <v>73</v>
      </c>
      <c r="BA7" s="15" t="s">
        <v>73</v>
      </c>
      <c r="BB7" s="23" t="s">
        <v>170</v>
      </c>
      <c r="BC7" s="23" t="s">
        <v>171</v>
      </c>
      <c r="BD7" s="23" t="s">
        <v>172</v>
      </c>
      <c r="BE7" s="23" t="s">
        <v>173</v>
      </c>
      <c r="BF7" s="14" t="s">
        <v>174</v>
      </c>
    </row>
    <row r="8" ht="24" customHeight="1" spans="1:58">
      <c r="A8" s="14" t="str">
        <f>_xlfn.DISPIMG("ID_163BDF1F51E7438583E4328077CABD2F",1)</f>
        <v>=DISPIMG("ID_163BDF1F51E7438583E4328077CABD2F",1)</v>
      </c>
      <c r="B8" s="15" t="s">
        <v>175</v>
      </c>
      <c r="C8" s="15" t="s">
        <v>102</v>
      </c>
      <c r="D8" s="15" t="s">
        <v>176</v>
      </c>
      <c r="E8" s="15" t="s">
        <v>177</v>
      </c>
      <c r="F8" s="15" t="s">
        <v>178</v>
      </c>
      <c r="G8" s="15" t="s">
        <v>179</v>
      </c>
      <c r="H8" s="15" t="s">
        <v>180</v>
      </c>
      <c r="I8" s="15" t="s">
        <v>181</v>
      </c>
      <c r="J8" s="15" t="s">
        <v>182</v>
      </c>
      <c r="K8" s="15" t="s">
        <v>65</v>
      </c>
      <c r="L8" s="15" t="s">
        <v>66</v>
      </c>
      <c r="M8" s="18">
        <v>538</v>
      </c>
      <c r="N8" s="18">
        <v>279</v>
      </c>
      <c r="O8" s="19">
        <v>0.3415</v>
      </c>
      <c r="P8" s="20" t="s">
        <v>67</v>
      </c>
      <c r="Q8" s="22" t="s">
        <v>183</v>
      </c>
      <c r="R8" s="18">
        <v>18526</v>
      </c>
      <c r="S8" s="19">
        <v>1.2922</v>
      </c>
      <c r="T8" s="18">
        <v>666750.75</v>
      </c>
      <c r="U8" s="23" t="s">
        <v>69</v>
      </c>
      <c r="V8" s="18">
        <v>71980</v>
      </c>
      <c r="W8" s="24">
        <v>126</v>
      </c>
      <c r="X8" s="25">
        <v>35.99</v>
      </c>
      <c r="Z8" s="23" t="s">
        <v>184</v>
      </c>
      <c r="AA8" s="18">
        <v>10</v>
      </c>
      <c r="AB8" s="24">
        <v>1587</v>
      </c>
      <c r="AC8" s="18">
        <v>80</v>
      </c>
      <c r="AD8" s="28">
        <v>4.5</v>
      </c>
      <c r="AE8" s="29">
        <v>0.0043</v>
      </c>
      <c r="AF8" s="25">
        <v>6.19</v>
      </c>
      <c r="AG8" s="19">
        <v>0.628</v>
      </c>
      <c r="AI8" s="14" t="s">
        <v>185</v>
      </c>
      <c r="AJ8" s="24">
        <v>738</v>
      </c>
      <c r="AK8" s="14" t="s">
        <v>92</v>
      </c>
      <c r="AL8" s="24">
        <v>8.8</v>
      </c>
      <c r="AM8" s="24">
        <v>1</v>
      </c>
      <c r="AN8" s="15" t="s">
        <v>186</v>
      </c>
      <c r="AO8" s="14" t="s">
        <v>92</v>
      </c>
      <c r="AP8" s="14" t="s">
        <v>94</v>
      </c>
      <c r="AQ8" s="15" t="s">
        <v>187</v>
      </c>
      <c r="AR8" s="14" t="s">
        <v>188</v>
      </c>
      <c r="AS8" s="14" t="s">
        <v>73</v>
      </c>
      <c r="AT8" s="14" t="s">
        <v>74</v>
      </c>
      <c r="AU8" s="14" t="s">
        <v>74</v>
      </c>
      <c r="AV8" s="14" t="s">
        <v>74</v>
      </c>
      <c r="AW8" s="14" t="s">
        <v>74</v>
      </c>
      <c r="AX8" s="14" t="s">
        <v>73</v>
      </c>
      <c r="AY8" s="14" t="s">
        <v>74</v>
      </c>
      <c r="AZ8" s="14" t="s">
        <v>73</v>
      </c>
      <c r="BA8" s="15" t="s">
        <v>73</v>
      </c>
      <c r="BB8" s="23" t="s">
        <v>189</v>
      </c>
      <c r="BC8" s="23" t="s">
        <v>190</v>
      </c>
      <c r="BD8" s="23" t="s">
        <v>191</v>
      </c>
      <c r="BE8" s="23" t="s">
        <v>192</v>
      </c>
      <c r="BF8" s="14" t="s">
        <v>193</v>
      </c>
    </row>
    <row r="9" ht="24" customHeight="1" spans="1:58">
      <c r="A9" s="14" t="str">
        <f>_xlfn.DISPIMG("ID_07DBB332681A4F58AF86C7933E1EF6C8",1)</f>
        <v>=DISPIMG("ID_07DBB332681A4F58AF86C7933E1EF6C8",1)</v>
      </c>
      <c r="B9" s="15" t="s">
        <v>194</v>
      </c>
      <c r="C9" s="15" t="s">
        <v>81</v>
      </c>
      <c r="D9" s="15" t="s">
        <v>195</v>
      </c>
      <c r="E9" s="15" t="s">
        <v>177</v>
      </c>
      <c r="F9" s="15" t="s">
        <v>178</v>
      </c>
      <c r="G9" s="15" t="s">
        <v>196</v>
      </c>
      <c r="H9" s="15" t="s">
        <v>197</v>
      </c>
      <c r="I9" s="15" t="s">
        <v>198</v>
      </c>
      <c r="J9" s="15" t="s">
        <v>199</v>
      </c>
      <c r="K9" s="15" t="s">
        <v>65</v>
      </c>
      <c r="L9" s="15" t="s">
        <v>66</v>
      </c>
      <c r="M9" s="18">
        <v>608</v>
      </c>
      <c r="N9" s="18">
        <v>-247</v>
      </c>
      <c r="O9" s="19">
        <v>-0.6997</v>
      </c>
      <c r="P9" s="20" t="s">
        <v>200</v>
      </c>
      <c r="Q9" s="22" t="s">
        <v>201</v>
      </c>
      <c r="R9" s="18">
        <v>32909</v>
      </c>
      <c r="S9" s="19">
        <v>-0.0352</v>
      </c>
      <c r="T9" s="18">
        <v>1151486</v>
      </c>
      <c r="U9" s="23" t="s">
        <v>69</v>
      </c>
      <c r="V9" s="18">
        <v>69980</v>
      </c>
      <c r="W9" s="24">
        <v>140</v>
      </c>
      <c r="X9" s="25">
        <v>34.99</v>
      </c>
      <c r="Z9" s="7"/>
      <c r="AA9" s="18">
        <v>44</v>
      </c>
      <c r="AB9" s="24">
        <v>7566</v>
      </c>
      <c r="AC9" s="18">
        <v>234</v>
      </c>
      <c r="AD9" s="28">
        <v>4.3</v>
      </c>
      <c r="AE9" s="29">
        <v>0.0071</v>
      </c>
      <c r="AF9" s="25">
        <v>7.27</v>
      </c>
      <c r="AG9" s="19">
        <v>0.5922</v>
      </c>
      <c r="AI9" s="14" t="s">
        <v>202</v>
      </c>
      <c r="AJ9" s="24">
        <v>1477</v>
      </c>
      <c r="AK9" s="14" t="s">
        <v>92</v>
      </c>
      <c r="AL9" s="24">
        <v>10</v>
      </c>
      <c r="AM9" s="24">
        <v>1</v>
      </c>
      <c r="AN9" s="15" t="s">
        <v>186</v>
      </c>
      <c r="AO9" s="14" t="s">
        <v>92</v>
      </c>
      <c r="AP9" s="14" t="s">
        <v>94</v>
      </c>
      <c r="AQ9" s="15" t="s">
        <v>187</v>
      </c>
      <c r="AR9" s="14" t="s">
        <v>188</v>
      </c>
      <c r="AS9" s="14" t="s">
        <v>74</v>
      </c>
      <c r="AT9" s="14" t="s">
        <v>74</v>
      </c>
      <c r="AU9" s="14" t="s">
        <v>73</v>
      </c>
      <c r="AV9" s="14" t="s">
        <v>74</v>
      </c>
      <c r="AW9" s="14" t="s">
        <v>74</v>
      </c>
      <c r="AX9" s="14" t="s">
        <v>73</v>
      </c>
      <c r="AY9" s="14" t="s">
        <v>74</v>
      </c>
      <c r="AZ9" s="14" t="s">
        <v>73</v>
      </c>
      <c r="BA9" s="15" t="s">
        <v>73</v>
      </c>
      <c r="BB9" s="23" t="s">
        <v>203</v>
      </c>
      <c r="BC9" s="23" t="s">
        <v>204</v>
      </c>
      <c r="BD9" s="23" t="s">
        <v>205</v>
      </c>
      <c r="BE9" s="23" t="s">
        <v>206</v>
      </c>
      <c r="BF9" s="14" t="s">
        <v>207</v>
      </c>
    </row>
    <row r="10" ht="24" customHeight="1" spans="1:58">
      <c r="A10" s="14" t="str">
        <f>_xlfn.DISPIMG("ID_8EFC6D6978224ADCBA6972F61CE00738",1)</f>
        <v>=DISPIMG("ID_8EFC6D6978224ADCBA6972F61CE00738",1)</v>
      </c>
      <c r="B10" s="15" t="s">
        <v>208</v>
      </c>
      <c r="C10" s="15" t="s">
        <v>209</v>
      </c>
      <c r="D10" s="15" t="s">
        <v>210</v>
      </c>
      <c r="E10" s="15" t="s">
        <v>83</v>
      </c>
      <c r="F10" s="15" t="s">
        <v>84</v>
      </c>
      <c r="G10" s="15" t="s">
        <v>211</v>
      </c>
      <c r="H10" s="15" t="s">
        <v>212</v>
      </c>
      <c r="I10" s="15" t="s">
        <v>213</v>
      </c>
      <c r="J10" s="15" t="s">
        <v>214</v>
      </c>
      <c r="K10" s="15" t="s">
        <v>65</v>
      </c>
      <c r="L10" s="15" t="s">
        <v>66</v>
      </c>
      <c r="M10" s="18">
        <v>631</v>
      </c>
      <c r="N10" s="18">
        <v>393</v>
      </c>
      <c r="O10" s="19">
        <v>0.3669</v>
      </c>
      <c r="P10" s="20" t="s">
        <v>67</v>
      </c>
      <c r="Q10" s="22" t="s">
        <v>215</v>
      </c>
      <c r="R10" s="18">
        <v>18539</v>
      </c>
      <c r="S10" s="19">
        <v>0.5734</v>
      </c>
      <c r="T10" s="18">
        <v>259360.61</v>
      </c>
      <c r="U10" s="23" t="s">
        <v>111</v>
      </c>
      <c r="V10" s="18">
        <v>13990</v>
      </c>
      <c r="W10" s="24">
        <v>86</v>
      </c>
      <c r="X10" s="25">
        <v>13.99</v>
      </c>
      <c r="Z10" s="7"/>
      <c r="AA10" s="18">
        <v>35</v>
      </c>
      <c r="AB10" s="24">
        <v>6364</v>
      </c>
      <c r="AC10" s="18">
        <v>117</v>
      </c>
      <c r="AD10" s="28">
        <v>4.1</v>
      </c>
      <c r="AE10" s="29">
        <v>0.0063</v>
      </c>
      <c r="AF10" s="25">
        <v>6.44</v>
      </c>
      <c r="AG10" s="19">
        <v>0.3397</v>
      </c>
      <c r="AI10" s="14" t="s">
        <v>216</v>
      </c>
      <c r="AJ10" s="24">
        <v>1317</v>
      </c>
      <c r="AK10" s="14" t="s">
        <v>92</v>
      </c>
      <c r="AL10" s="24">
        <v>8.8</v>
      </c>
      <c r="AM10" s="24">
        <v>1</v>
      </c>
      <c r="AN10" s="15" t="s">
        <v>93</v>
      </c>
      <c r="AO10" s="14" t="s">
        <v>92</v>
      </c>
      <c r="AP10" s="14" t="s">
        <v>94</v>
      </c>
      <c r="AQ10" s="15" t="s">
        <v>95</v>
      </c>
      <c r="AR10" s="14" t="s">
        <v>96</v>
      </c>
      <c r="AS10" s="14" t="s">
        <v>73</v>
      </c>
      <c r="AT10" s="14" t="s">
        <v>74</v>
      </c>
      <c r="AU10" s="14" t="s">
        <v>73</v>
      </c>
      <c r="AV10" s="14" t="s">
        <v>74</v>
      </c>
      <c r="AW10" s="14" t="s">
        <v>74</v>
      </c>
      <c r="AX10" s="14" t="s">
        <v>73</v>
      </c>
      <c r="AY10" s="14" t="s">
        <v>74</v>
      </c>
      <c r="AZ10" s="14" t="s">
        <v>73</v>
      </c>
      <c r="BA10" s="15" t="s">
        <v>73</v>
      </c>
      <c r="BB10" s="23" t="s">
        <v>73</v>
      </c>
      <c r="BC10" s="23" t="s">
        <v>217</v>
      </c>
      <c r="BD10" s="23" t="s">
        <v>218</v>
      </c>
      <c r="BE10" s="23" t="s">
        <v>219</v>
      </c>
      <c r="BF10" s="14" t="s">
        <v>220</v>
      </c>
    </row>
    <row r="11" ht="24" customHeight="1" spans="1:58">
      <c r="A11" s="14" t="str">
        <f>_xlfn.DISPIMG("ID_2377B0D3C5504DF79805A382185FEBA6",1)</f>
        <v>=DISPIMG("ID_2377B0D3C5504DF79805A382185FEBA6",1)</v>
      </c>
      <c r="B11" s="15" t="s">
        <v>221</v>
      </c>
      <c r="C11" s="15" t="s">
        <v>102</v>
      </c>
      <c r="D11" s="15" t="s">
        <v>222</v>
      </c>
      <c r="E11" s="15" t="s">
        <v>223</v>
      </c>
      <c r="F11" s="15" t="s">
        <v>224</v>
      </c>
      <c r="G11" s="15" t="s">
        <v>225</v>
      </c>
      <c r="H11" s="15" t="s">
        <v>226</v>
      </c>
      <c r="I11" s="15" t="s">
        <v>227</v>
      </c>
      <c r="J11" s="15" t="s">
        <v>228</v>
      </c>
      <c r="K11" s="15" t="s">
        <v>65</v>
      </c>
      <c r="L11" s="15" t="s">
        <v>66</v>
      </c>
      <c r="M11" s="18">
        <v>935</v>
      </c>
      <c r="N11" s="18">
        <v>-281</v>
      </c>
      <c r="O11" s="19">
        <v>-0.4297</v>
      </c>
      <c r="P11" s="20" t="s">
        <v>67</v>
      </c>
      <c r="Q11" s="22" t="s">
        <v>229</v>
      </c>
      <c r="R11" s="18">
        <v>12229</v>
      </c>
      <c r="S11" s="19">
        <v>2.5326</v>
      </c>
      <c r="T11" s="18">
        <v>305602.72</v>
      </c>
      <c r="U11" s="23" t="s">
        <v>230</v>
      </c>
      <c r="V11" s="18">
        <v>19992</v>
      </c>
      <c r="W11" s="24">
        <v>70</v>
      </c>
      <c r="X11" s="25">
        <v>24.99</v>
      </c>
      <c r="Z11" s="7"/>
      <c r="AA11" s="8"/>
      <c r="AB11" s="24">
        <v>74</v>
      </c>
      <c r="AC11" s="18">
        <v>34</v>
      </c>
      <c r="AD11" s="28">
        <v>4.5</v>
      </c>
      <c r="AE11" s="29">
        <v>0.0028</v>
      </c>
      <c r="AF11" s="25">
        <v>6.92</v>
      </c>
      <c r="AG11" s="19">
        <v>0.5231</v>
      </c>
      <c r="AI11" s="14" t="s">
        <v>231</v>
      </c>
      <c r="AJ11" s="24">
        <v>157</v>
      </c>
      <c r="AK11" s="14" t="s">
        <v>92</v>
      </c>
      <c r="AL11" s="24">
        <v>9.6</v>
      </c>
      <c r="AM11" s="24">
        <v>1</v>
      </c>
      <c r="AN11" s="15" t="s">
        <v>232</v>
      </c>
      <c r="AO11" s="14" t="s">
        <v>92</v>
      </c>
      <c r="AP11" s="14" t="s">
        <v>94</v>
      </c>
      <c r="AQ11" s="15" t="s">
        <v>233</v>
      </c>
      <c r="AR11" s="14" t="s">
        <v>234</v>
      </c>
      <c r="AS11" s="14" t="s">
        <v>73</v>
      </c>
      <c r="AT11" s="14" t="s">
        <v>74</v>
      </c>
      <c r="AU11" s="14" t="s">
        <v>73</v>
      </c>
      <c r="AV11" s="14" t="s">
        <v>74</v>
      </c>
      <c r="AW11" s="14" t="s">
        <v>73</v>
      </c>
      <c r="AX11" s="14" t="s">
        <v>73</v>
      </c>
      <c r="AY11" s="14" t="s">
        <v>74</v>
      </c>
      <c r="AZ11" s="14" t="s">
        <v>73</v>
      </c>
      <c r="BA11" s="15" t="s">
        <v>73</v>
      </c>
      <c r="BB11" s="23" t="s">
        <v>73</v>
      </c>
      <c r="BC11" s="23" t="s">
        <v>235</v>
      </c>
      <c r="BD11" s="23" t="s">
        <v>236</v>
      </c>
      <c r="BE11" s="23" t="s">
        <v>237</v>
      </c>
      <c r="BF11" s="14" t="s">
        <v>238</v>
      </c>
    </row>
    <row r="12" ht="24" customHeight="1" spans="1:58">
      <c r="A12" s="14" t="str">
        <f>_xlfn.DISPIMG("ID_33E22B5CE4554327A46B82071B3D066B",1)</f>
        <v>=DISPIMG("ID_33E22B5CE4554327A46B82071B3D066B",1)</v>
      </c>
      <c r="B12" s="15" t="s">
        <v>239</v>
      </c>
      <c r="C12" s="15" t="s">
        <v>240</v>
      </c>
      <c r="D12" s="15" t="s">
        <v>241</v>
      </c>
      <c r="E12" s="15" t="s">
        <v>142</v>
      </c>
      <c r="F12" s="15" t="s">
        <v>143</v>
      </c>
      <c r="G12" s="15" t="s">
        <v>242</v>
      </c>
      <c r="H12" s="15" t="s">
        <v>243</v>
      </c>
      <c r="I12" s="15" t="s">
        <v>244</v>
      </c>
      <c r="J12" s="15" t="s">
        <v>245</v>
      </c>
      <c r="K12" s="15" t="s">
        <v>65</v>
      </c>
      <c r="L12" s="15" t="s">
        <v>148</v>
      </c>
      <c r="M12" s="18">
        <v>1039</v>
      </c>
      <c r="N12" s="8"/>
      <c r="O12" s="19">
        <v>0</v>
      </c>
      <c r="P12" s="20" t="s">
        <v>67</v>
      </c>
      <c r="Q12" s="22" t="s">
        <v>246</v>
      </c>
      <c r="R12" s="18" t="s">
        <v>73</v>
      </c>
      <c r="S12" s="19" t="s">
        <v>73</v>
      </c>
      <c r="T12" s="18" t="s">
        <v>73</v>
      </c>
      <c r="U12" s="23" t="s">
        <v>247</v>
      </c>
      <c r="V12" s="18" t="s">
        <v>73</v>
      </c>
      <c r="W12" s="24">
        <v>86</v>
      </c>
      <c r="X12" s="25">
        <v>19.9</v>
      </c>
      <c r="Z12" s="7"/>
      <c r="AA12" s="8"/>
      <c r="AB12" s="24">
        <v>11491</v>
      </c>
      <c r="AC12" s="8"/>
      <c r="AD12" s="28">
        <v>4.2</v>
      </c>
      <c r="AE12" s="29">
        <v>0</v>
      </c>
      <c r="AF12" s="10"/>
      <c r="AG12" s="19">
        <v>0</v>
      </c>
      <c r="AI12" s="14" t="s">
        <v>248</v>
      </c>
      <c r="AJ12" s="24">
        <v>51</v>
      </c>
      <c r="AK12" s="14" t="s">
        <v>71</v>
      </c>
      <c r="AL12" s="24" t="s">
        <v>73</v>
      </c>
      <c r="AM12" s="24">
        <v>1</v>
      </c>
      <c r="AN12" s="15" t="s">
        <v>72</v>
      </c>
      <c r="AO12" s="14" t="s">
        <v>71</v>
      </c>
      <c r="AP12" s="14" t="s">
        <v>73</v>
      </c>
      <c r="AQ12" s="15" t="s">
        <v>73</v>
      </c>
      <c r="AR12" s="14" t="s">
        <v>73</v>
      </c>
      <c r="AS12" s="14" t="s">
        <v>73</v>
      </c>
      <c r="AT12" s="14" t="s">
        <v>74</v>
      </c>
      <c r="AU12" s="14" t="s">
        <v>73</v>
      </c>
      <c r="AV12" s="14" t="s">
        <v>73</v>
      </c>
      <c r="AW12" s="14" t="s">
        <v>74</v>
      </c>
      <c r="AX12" s="14" t="s">
        <v>73</v>
      </c>
      <c r="AY12" s="14" t="s">
        <v>74</v>
      </c>
      <c r="AZ12" s="14" t="s">
        <v>73</v>
      </c>
      <c r="BA12" s="15" t="s">
        <v>73</v>
      </c>
      <c r="BB12" s="23" t="s">
        <v>73</v>
      </c>
      <c r="BC12" s="7"/>
      <c r="BD12" s="23" t="s">
        <v>73</v>
      </c>
      <c r="BE12" s="7"/>
      <c r="BF12" s="14" t="s">
        <v>73</v>
      </c>
    </row>
    <row r="13" ht="24" customHeight="1" spans="1:58">
      <c r="A13" s="14" t="str">
        <f>_xlfn.DISPIMG("ID_A3029170B6674AFDA338FD44A2D0089D",1)</f>
        <v>=DISPIMG("ID_A3029170B6674AFDA338FD44A2D0089D",1)</v>
      </c>
      <c r="B13" s="15" t="s">
        <v>249</v>
      </c>
      <c r="C13" s="15" t="s">
        <v>209</v>
      </c>
      <c r="D13" s="15" t="s">
        <v>250</v>
      </c>
      <c r="E13" s="15" t="s">
        <v>83</v>
      </c>
      <c r="F13" s="15" t="s">
        <v>84</v>
      </c>
      <c r="G13" s="15" t="s">
        <v>251</v>
      </c>
      <c r="H13" s="15" t="s">
        <v>252</v>
      </c>
      <c r="I13" s="15" t="s">
        <v>253</v>
      </c>
      <c r="J13" s="15" t="s">
        <v>254</v>
      </c>
      <c r="K13" s="15" t="s">
        <v>65</v>
      </c>
      <c r="L13" s="15" t="s">
        <v>66</v>
      </c>
      <c r="M13" s="18">
        <v>1170</v>
      </c>
      <c r="N13" s="18">
        <v>-172</v>
      </c>
      <c r="O13" s="19">
        <v>-0.1799</v>
      </c>
      <c r="P13" s="20" t="s">
        <v>67</v>
      </c>
      <c r="Q13" s="22" t="s">
        <v>255</v>
      </c>
      <c r="R13" s="18">
        <v>18196</v>
      </c>
      <c r="S13" s="19">
        <v>0.5786</v>
      </c>
      <c r="T13" s="18">
        <v>327346.03</v>
      </c>
      <c r="U13" s="23" t="s">
        <v>111</v>
      </c>
      <c r="V13" s="18">
        <v>17990</v>
      </c>
      <c r="W13" s="24">
        <v>97</v>
      </c>
      <c r="X13" s="25">
        <v>17.99</v>
      </c>
      <c r="Z13" s="7"/>
      <c r="AA13" s="18">
        <v>6</v>
      </c>
      <c r="AB13" s="24">
        <v>1198</v>
      </c>
      <c r="AC13" s="18">
        <v>96</v>
      </c>
      <c r="AD13" s="28">
        <v>4.1</v>
      </c>
      <c r="AE13" s="29">
        <v>0.0053</v>
      </c>
      <c r="AF13" s="25">
        <v>6.92</v>
      </c>
      <c r="AG13" s="19">
        <v>0.4153</v>
      </c>
      <c r="AI13" s="14" t="s">
        <v>256</v>
      </c>
      <c r="AJ13" s="24">
        <v>767</v>
      </c>
      <c r="AK13" s="14" t="s">
        <v>92</v>
      </c>
      <c r="AL13" s="24">
        <v>9.7</v>
      </c>
      <c r="AM13" s="24">
        <v>1</v>
      </c>
      <c r="AN13" s="15" t="s">
        <v>93</v>
      </c>
      <c r="AO13" s="14" t="s">
        <v>92</v>
      </c>
      <c r="AP13" s="14" t="s">
        <v>94</v>
      </c>
      <c r="AQ13" s="15" t="s">
        <v>95</v>
      </c>
      <c r="AR13" s="14" t="s">
        <v>96</v>
      </c>
      <c r="AS13" s="14" t="s">
        <v>73</v>
      </c>
      <c r="AT13" s="14" t="s">
        <v>74</v>
      </c>
      <c r="AU13" s="14" t="s">
        <v>74</v>
      </c>
      <c r="AV13" s="14" t="s">
        <v>74</v>
      </c>
      <c r="AW13" s="14" t="s">
        <v>73</v>
      </c>
      <c r="AX13" s="14" t="s">
        <v>73</v>
      </c>
      <c r="AY13" s="14" t="s">
        <v>74</v>
      </c>
      <c r="AZ13" s="14" t="s">
        <v>73</v>
      </c>
      <c r="BA13" s="15" t="s">
        <v>73</v>
      </c>
      <c r="BB13" s="23" t="s">
        <v>73</v>
      </c>
      <c r="BC13" s="23" t="s">
        <v>257</v>
      </c>
      <c r="BD13" s="23" t="s">
        <v>258</v>
      </c>
      <c r="BE13" s="23" t="s">
        <v>259</v>
      </c>
      <c r="BF13" s="14" t="s">
        <v>260</v>
      </c>
    </row>
    <row r="14" ht="24" customHeight="1" spans="1:58">
      <c r="A14" s="14" t="str">
        <f>_xlfn.DISPIMG("ID_AB0728CC2F434BA581710D4EF4FF5DD8",1)</f>
        <v>=DISPIMG("ID_AB0728CC2F434BA581710D4EF4FF5DD8",1)</v>
      </c>
      <c r="B14" s="15" t="s">
        <v>261</v>
      </c>
      <c r="C14" s="15" t="s">
        <v>262</v>
      </c>
      <c r="D14" s="15" t="s">
        <v>263</v>
      </c>
      <c r="E14" s="15" t="s">
        <v>264</v>
      </c>
      <c r="F14" s="15" t="s">
        <v>265</v>
      </c>
      <c r="G14" s="15" t="s">
        <v>266</v>
      </c>
      <c r="H14" s="15" t="s">
        <v>267</v>
      </c>
      <c r="I14" s="15" t="s">
        <v>268</v>
      </c>
      <c r="J14" s="15" t="s">
        <v>269</v>
      </c>
      <c r="K14" s="15" t="s">
        <v>65</v>
      </c>
      <c r="L14" s="15" t="s">
        <v>66</v>
      </c>
      <c r="M14" s="18">
        <v>1322</v>
      </c>
      <c r="N14" s="18">
        <v>233</v>
      </c>
      <c r="O14" s="19">
        <v>0.1571</v>
      </c>
      <c r="P14" s="20" t="s">
        <v>67</v>
      </c>
      <c r="Q14" s="22" t="s">
        <v>270</v>
      </c>
      <c r="R14" s="18">
        <v>12899</v>
      </c>
      <c r="S14" s="19">
        <v>-0.0997</v>
      </c>
      <c r="T14" s="18">
        <v>425409</v>
      </c>
      <c r="U14" s="23" t="s">
        <v>111</v>
      </c>
      <c r="V14" s="18">
        <v>32980</v>
      </c>
      <c r="W14" s="24">
        <v>176</v>
      </c>
      <c r="X14" s="25">
        <v>32.98</v>
      </c>
      <c r="Z14" s="23" t="s">
        <v>271</v>
      </c>
      <c r="AA14" s="18">
        <v>42</v>
      </c>
      <c r="AB14" s="24">
        <v>9175</v>
      </c>
      <c r="AC14" s="18">
        <v>138</v>
      </c>
      <c r="AD14" s="28">
        <v>4.4</v>
      </c>
      <c r="AE14" s="29">
        <v>0.0107</v>
      </c>
      <c r="AF14" s="25">
        <v>6.27</v>
      </c>
      <c r="AG14" s="19">
        <v>0.6099</v>
      </c>
      <c r="AI14" s="14" t="s">
        <v>272</v>
      </c>
      <c r="AJ14" s="24">
        <v>1366</v>
      </c>
      <c r="AK14" s="14" t="s">
        <v>92</v>
      </c>
      <c r="AL14" s="24">
        <v>9</v>
      </c>
      <c r="AM14" s="24">
        <v>1</v>
      </c>
      <c r="AN14" s="15" t="s">
        <v>273</v>
      </c>
      <c r="AO14" s="14" t="s">
        <v>92</v>
      </c>
      <c r="AP14" s="14" t="s">
        <v>94</v>
      </c>
      <c r="AQ14" s="15" t="s">
        <v>274</v>
      </c>
      <c r="AR14" s="14" t="s">
        <v>275</v>
      </c>
      <c r="AS14" s="14" t="s">
        <v>74</v>
      </c>
      <c r="AT14" s="14" t="s">
        <v>74</v>
      </c>
      <c r="AU14" s="14" t="s">
        <v>73</v>
      </c>
      <c r="AV14" s="14" t="s">
        <v>74</v>
      </c>
      <c r="AW14" s="14" t="s">
        <v>74</v>
      </c>
      <c r="AX14" s="14" t="s">
        <v>73</v>
      </c>
      <c r="AY14" s="14" t="s">
        <v>74</v>
      </c>
      <c r="AZ14" s="14" t="s">
        <v>73</v>
      </c>
      <c r="BA14" s="15" t="s">
        <v>73</v>
      </c>
      <c r="BB14" s="23" t="s">
        <v>276</v>
      </c>
      <c r="BC14" s="23" t="s">
        <v>277</v>
      </c>
      <c r="BD14" s="23" t="s">
        <v>278</v>
      </c>
      <c r="BE14" s="23" t="s">
        <v>279</v>
      </c>
      <c r="BF14" s="14" t="s">
        <v>280</v>
      </c>
    </row>
    <row r="15" ht="24" customHeight="1" spans="1:58">
      <c r="A15" s="14" t="str">
        <f>_xlfn.DISPIMG("ID_714E3DDB251B4401A68004B9A142EFDD",1)</f>
        <v>=DISPIMG("ID_714E3DDB251B4401A68004B9A142EFDD",1)</v>
      </c>
      <c r="B15" s="15" t="s">
        <v>281</v>
      </c>
      <c r="C15" s="15" t="s">
        <v>209</v>
      </c>
      <c r="D15" s="15" t="s">
        <v>282</v>
      </c>
      <c r="E15" s="15" t="s">
        <v>83</v>
      </c>
      <c r="F15" s="15" t="s">
        <v>84</v>
      </c>
      <c r="G15" s="15" t="s">
        <v>283</v>
      </c>
      <c r="H15" s="15" t="s">
        <v>284</v>
      </c>
      <c r="I15" s="15" t="s">
        <v>285</v>
      </c>
      <c r="J15" s="15" t="s">
        <v>286</v>
      </c>
      <c r="K15" s="15" t="s">
        <v>65</v>
      </c>
      <c r="L15" s="15" t="s">
        <v>66</v>
      </c>
      <c r="M15" s="18">
        <v>1516</v>
      </c>
      <c r="N15" s="18">
        <v>6248</v>
      </c>
      <c r="O15" s="19">
        <v>0.8047</v>
      </c>
      <c r="P15" s="20" t="s">
        <v>67</v>
      </c>
      <c r="Q15" s="22" t="s">
        <v>287</v>
      </c>
      <c r="R15" s="18">
        <v>5164</v>
      </c>
      <c r="S15" s="19">
        <v>0.1575</v>
      </c>
      <c r="T15" s="18">
        <v>136277.95</v>
      </c>
      <c r="U15" s="23" t="s">
        <v>150</v>
      </c>
      <c r="V15" s="18">
        <v>13195</v>
      </c>
      <c r="W15" s="24">
        <v>99</v>
      </c>
      <c r="X15" s="25">
        <v>26.39</v>
      </c>
      <c r="Z15" s="7"/>
      <c r="AA15" s="18">
        <v>8</v>
      </c>
      <c r="AB15" s="24">
        <v>1268</v>
      </c>
      <c r="AC15" s="18">
        <v>30</v>
      </c>
      <c r="AD15" s="28">
        <v>4.2</v>
      </c>
      <c r="AE15" s="29">
        <v>0.0058</v>
      </c>
      <c r="AF15" s="25">
        <v>6.27</v>
      </c>
      <c r="AG15" s="19">
        <v>0.5624</v>
      </c>
      <c r="AI15" s="14" t="s">
        <v>288</v>
      </c>
      <c r="AJ15" s="24">
        <v>509</v>
      </c>
      <c r="AK15" s="14" t="s">
        <v>92</v>
      </c>
      <c r="AL15" s="24">
        <v>9.8</v>
      </c>
      <c r="AM15" s="24">
        <v>1</v>
      </c>
      <c r="AN15" s="15" t="s">
        <v>93</v>
      </c>
      <c r="AO15" s="14" t="s">
        <v>92</v>
      </c>
      <c r="AP15" s="14" t="s">
        <v>94</v>
      </c>
      <c r="AQ15" s="15" t="s">
        <v>95</v>
      </c>
      <c r="AR15" s="14" t="s">
        <v>96</v>
      </c>
      <c r="AS15" s="14" t="s">
        <v>74</v>
      </c>
      <c r="AT15" s="14" t="s">
        <v>74</v>
      </c>
      <c r="AU15" s="14" t="s">
        <v>74</v>
      </c>
      <c r="AV15" s="14" t="s">
        <v>74</v>
      </c>
      <c r="AW15" s="14" t="s">
        <v>73</v>
      </c>
      <c r="AX15" s="14" t="s">
        <v>73</v>
      </c>
      <c r="AY15" s="14" t="s">
        <v>74</v>
      </c>
      <c r="AZ15" s="14" t="s">
        <v>73</v>
      </c>
      <c r="BA15" s="15" t="s">
        <v>74</v>
      </c>
      <c r="BB15" s="23" t="s">
        <v>73</v>
      </c>
      <c r="BC15" s="23" t="s">
        <v>289</v>
      </c>
      <c r="BD15" s="23" t="s">
        <v>290</v>
      </c>
      <c r="BE15" s="23" t="s">
        <v>291</v>
      </c>
      <c r="BF15" s="14" t="s">
        <v>292</v>
      </c>
    </row>
    <row r="16" ht="24" customHeight="1" spans="1:58">
      <c r="A16" s="14" t="str">
        <f>_xlfn.DISPIMG("ID_DE7CC00B40B04ABE8999AED9C7D9D720",1)</f>
        <v>=DISPIMG("ID_DE7CC00B40B04ABE8999AED9C7D9D720",1)</v>
      </c>
      <c r="B16" s="15" t="s">
        <v>293</v>
      </c>
      <c r="C16" s="15" t="s">
        <v>294</v>
      </c>
      <c r="D16" s="15" t="s">
        <v>295</v>
      </c>
      <c r="E16" s="15" t="s">
        <v>296</v>
      </c>
      <c r="F16" s="15" t="s">
        <v>297</v>
      </c>
      <c r="G16" s="15" t="s">
        <v>298</v>
      </c>
      <c r="H16" s="15" t="s">
        <v>299</v>
      </c>
      <c r="I16" s="15" t="s">
        <v>300</v>
      </c>
      <c r="J16" s="15" t="s">
        <v>301</v>
      </c>
      <c r="K16" s="15" t="s">
        <v>65</v>
      </c>
      <c r="L16" s="15" t="s">
        <v>66</v>
      </c>
      <c r="M16" s="18">
        <v>1597</v>
      </c>
      <c r="N16" s="18">
        <v>2199</v>
      </c>
      <c r="O16" s="19">
        <v>0.5447</v>
      </c>
      <c r="P16" s="20" t="s">
        <v>67</v>
      </c>
      <c r="Q16" s="22" t="s">
        <v>302</v>
      </c>
      <c r="R16" s="18">
        <v>9278</v>
      </c>
      <c r="S16" s="19">
        <v>0.8618</v>
      </c>
      <c r="T16" s="18">
        <v>343193.25</v>
      </c>
      <c r="U16" s="23" t="s">
        <v>111</v>
      </c>
      <c r="V16" s="18">
        <v>36990</v>
      </c>
      <c r="W16" s="24">
        <v>71</v>
      </c>
      <c r="X16" s="25">
        <v>36.99</v>
      </c>
      <c r="Z16" s="7"/>
      <c r="AA16" s="8"/>
      <c r="AB16" s="24">
        <v>735</v>
      </c>
      <c r="AC16" s="18">
        <v>107</v>
      </c>
      <c r="AD16" s="28">
        <v>4</v>
      </c>
      <c r="AE16" s="29">
        <v>0.0115</v>
      </c>
      <c r="AF16" s="25">
        <v>7.85</v>
      </c>
      <c r="AG16" s="19">
        <v>0.5878</v>
      </c>
      <c r="AI16" s="14" t="s">
        <v>303</v>
      </c>
      <c r="AJ16" s="24">
        <v>508</v>
      </c>
      <c r="AK16" s="14" t="s">
        <v>92</v>
      </c>
      <c r="AL16" s="24">
        <v>10</v>
      </c>
      <c r="AM16" s="24">
        <v>1</v>
      </c>
      <c r="AN16" s="15" t="s">
        <v>304</v>
      </c>
      <c r="AO16" s="14" t="s">
        <v>92</v>
      </c>
      <c r="AP16" s="14" t="s">
        <v>131</v>
      </c>
      <c r="AQ16" s="15" t="s">
        <v>305</v>
      </c>
      <c r="AR16" s="14" t="s">
        <v>306</v>
      </c>
      <c r="AS16" s="14" t="s">
        <v>73</v>
      </c>
      <c r="AT16" s="14" t="s">
        <v>74</v>
      </c>
      <c r="AU16" s="14" t="s">
        <v>73</v>
      </c>
      <c r="AV16" s="14" t="s">
        <v>74</v>
      </c>
      <c r="AW16" s="14" t="s">
        <v>74</v>
      </c>
      <c r="AX16" s="14" t="s">
        <v>73</v>
      </c>
      <c r="AY16" s="14" t="s">
        <v>74</v>
      </c>
      <c r="AZ16" s="14" t="s">
        <v>73</v>
      </c>
      <c r="BA16" s="15" t="s">
        <v>73</v>
      </c>
      <c r="BB16" s="23" t="s">
        <v>203</v>
      </c>
      <c r="BC16" s="23" t="s">
        <v>307</v>
      </c>
      <c r="BD16" s="23" t="s">
        <v>308</v>
      </c>
      <c r="BE16" s="23" t="s">
        <v>309</v>
      </c>
      <c r="BF16" s="14" t="s">
        <v>310</v>
      </c>
    </row>
    <row r="17" ht="24" customHeight="1" spans="1:58">
      <c r="A17" s="14" t="str">
        <f>_xlfn.DISPIMG("ID_86950F4517A64BC4A50352D3D0B0D459",1)</f>
        <v>=DISPIMG("ID_86950F4517A64BC4A50352D3D0B0D459",1)</v>
      </c>
      <c r="B17" s="15" t="s">
        <v>311</v>
      </c>
      <c r="C17" s="15" t="s">
        <v>312</v>
      </c>
      <c r="D17" s="15" t="s">
        <v>313</v>
      </c>
      <c r="E17" s="15" t="s">
        <v>314</v>
      </c>
      <c r="F17" s="15" t="s">
        <v>315</v>
      </c>
      <c r="G17" s="15" t="s">
        <v>316</v>
      </c>
      <c r="H17" s="15" t="s">
        <v>317</v>
      </c>
      <c r="I17" s="15" t="s">
        <v>318</v>
      </c>
      <c r="J17" s="15" t="s">
        <v>319</v>
      </c>
      <c r="K17" s="15" t="s">
        <v>65</v>
      </c>
      <c r="L17" s="15" t="s">
        <v>66</v>
      </c>
      <c r="M17" s="18">
        <v>1742</v>
      </c>
      <c r="N17" s="18">
        <v>1379</v>
      </c>
      <c r="O17" s="19">
        <v>0.394</v>
      </c>
      <c r="P17" s="20" t="s">
        <v>67</v>
      </c>
      <c r="Q17" s="22" t="s">
        <v>320</v>
      </c>
      <c r="R17" s="18">
        <v>10938</v>
      </c>
      <c r="S17" s="19">
        <v>-0.0209</v>
      </c>
      <c r="T17" s="18">
        <v>196774.62</v>
      </c>
      <c r="U17" s="23" t="s">
        <v>321</v>
      </c>
      <c r="V17" s="18">
        <v>12593</v>
      </c>
      <c r="W17" s="24">
        <v>154</v>
      </c>
      <c r="X17" s="25">
        <v>17.99</v>
      </c>
      <c r="Y17" s="25">
        <v>16.19</v>
      </c>
      <c r="Z17" s="7"/>
      <c r="AA17" s="18">
        <v>29</v>
      </c>
      <c r="AB17" s="24">
        <v>3207</v>
      </c>
      <c r="AC17" s="18">
        <v>41</v>
      </c>
      <c r="AD17" s="28">
        <v>4.5</v>
      </c>
      <c r="AE17" s="29">
        <v>0.0037</v>
      </c>
      <c r="AF17" s="25">
        <v>5.05</v>
      </c>
      <c r="AG17" s="19">
        <v>0.5193</v>
      </c>
      <c r="AI17" s="14" t="s">
        <v>322</v>
      </c>
      <c r="AJ17" s="24">
        <v>1406</v>
      </c>
      <c r="AK17" s="14" t="s">
        <v>92</v>
      </c>
      <c r="AL17" s="24">
        <v>8.8</v>
      </c>
      <c r="AM17" s="24">
        <v>1</v>
      </c>
      <c r="AN17" s="15" t="s">
        <v>314</v>
      </c>
      <c r="AO17" s="14" t="s">
        <v>92</v>
      </c>
      <c r="AP17" s="14" t="s">
        <v>94</v>
      </c>
      <c r="AQ17" s="15" t="s">
        <v>323</v>
      </c>
      <c r="AR17" s="14" t="s">
        <v>324</v>
      </c>
      <c r="AS17" s="14" t="s">
        <v>74</v>
      </c>
      <c r="AT17" s="14" t="s">
        <v>74</v>
      </c>
      <c r="AU17" s="14" t="s">
        <v>73</v>
      </c>
      <c r="AV17" s="14" t="s">
        <v>74</v>
      </c>
      <c r="AW17" s="14" t="s">
        <v>73</v>
      </c>
      <c r="AX17" s="14" t="s">
        <v>73</v>
      </c>
      <c r="AY17" s="14" t="s">
        <v>73</v>
      </c>
      <c r="AZ17" s="14" t="s">
        <v>73</v>
      </c>
      <c r="BA17" s="15" t="s">
        <v>73</v>
      </c>
      <c r="BB17" s="23" t="s">
        <v>325</v>
      </c>
      <c r="BC17" s="23" t="s">
        <v>326</v>
      </c>
      <c r="BD17" s="23" t="s">
        <v>327</v>
      </c>
      <c r="BE17" s="23" t="s">
        <v>328</v>
      </c>
      <c r="BF17" s="14" t="s">
        <v>329</v>
      </c>
    </row>
    <row r="18" ht="24" customHeight="1" spans="1:58">
      <c r="A18" s="14" t="str">
        <f>_xlfn.DISPIMG("ID_0A63FEF091D74D42A36AFEE1E3592AA2",1)</f>
        <v>=DISPIMG("ID_0A63FEF091D74D42A36AFEE1E3592AA2",1)</v>
      </c>
      <c r="B18" s="15" t="s">
        <v>330</v>
      </c>
      <c r="C18" s="15" t="s">
        <v>331</v>
      </c>
      <c r="D18" s="15" t="s">
        <v>332</v>
      </c>
      <c r="E18" s="15" t="s">
        <v>333</v>
      </c>
      <c r="F18" s="15" t="s">
        <v>334</v>
      </c>
      <c r="G18" s="15" t="s">
        <v>335</v>
      </c>
      <c r="H18" s="15" t="s">
        <v>336</v>
      </c>
      <c r="I18" s="15" t="s">
        <v>337</v>
      </c>
      <c r="J18" s="15" t="s">
        <v>338</v>
      </c>
      <c r="K18" s="15" t="s">
        <v>65</v>
      </c>
      <c r="L18" s="15" t="s">
        <v>66</v>
      </c>
      <c r="M18" s="18">
        <v>1800</v>
      </c>
      <c r="N18" s="18">
        <v>1315</v>
      </c>
      <c r="O18" s="19">
        <v>0.4372</v>
      </c>
      <c r="P18" s="20" t="s">
        <v>67</v>
      </c>
      <c r="Q18" s="22" t="s">
        <v>339</v>
      </c>
      <c r="R18" s="18">
        <v>8538</v>
      </c>
      <c r="S18" s="19">
        <v>0.183</v>
      </c>
      <c r="T18" s="18">
        <v>251017.2</v>
      </c>
      <c r="U18" s="23" t="s">
        <v>150</v>
      </c>
      <c r="V18" s="18">
        <v>14700</v>
      </c>
      <c r="W18" s="24">
        <v>222</v>
      </c>
      <c r="X18" s="25">
        <v>29.4</v>
      </c>
      <c r="Z18" s="7"/>
      <c r="AA18" s="18">
        <v>110</v>
      </c>
      <c r="AB18" s="24">
        <v>9526</v>
      </c>
      <c r="AC18" s="18">
        <v>102</v>
      </c>
      <c r="AD18" s="28">
        <v>4.6</v>
      </c>
      <c r="AE18" s="29">
        <v>0.0119</v>
      </c>
      <c r="AF18" s="25">
        <v>6.67</v>
      </c>
      <c r="AG18" s="19">
        <v>0.6118</v>
      </c>
      <c r="AI18" s="14" t="s">
        <v>340</v>
      </c>
      <c r="AJ18" s="24">
        <v>59</v>
      </c>
      <c r="AK18" s="14" t="s">
        <v>71</v>
      </c>
      <c r="AL18" s="24">
        <v>7.6</v>
      </c>
      <c r="AM18" s="24">
        <v>5</v>
      </c>
      <c r="AN18" s="15" t="s">
        <v>72</v>
      </c>
      <c r="AO18" s="14" t="s">
        <v>71</v>
      </c>
      <c r="AP18" s="14" t="s">
        <v>73</v>
      </c>
      <c r="AQ18" s="15" t="s">
        <v>73</v>
      </c>
      <c r="AR18" s="14" t="s">
        <v>73</v>
      </c>
      <c r="AS18" s="14" t="s">
        <v>73</v>
      </c>
      <c r="AT18" s="14" t="s">
        <v>74</v>
      </c>
      <c r="AU18" s="14" t="s">
        <v>73</v>
      </c>
      <c r="AV18" s="14" t="s">
        <v>74</v>
      </c>
      <c r="AW18" s="14" t="s">
        <v>74</v>
      </c>
      <c r="AX18" s="14" t="s">
        <v>73</v>
      </c>
      <c r="AY18" s="14" t="s">
        <v>74</v>
      </c>
      <c r="AZ18" s="14" t="s">
        <v>73</v>
      </c>
      <c r="BA18" s="15" t="s">
        <v>73</v>
      </c>
      <c r="BB18" s="23" t="s">
        <v>73</v>
      </c>
      <c r="BC18" s="23" t="s">
        <v>341</v>
      </c>
      <c r="BD18" s="23" t="s">
        <v>342</v>
      </c>
      <c r="BE18" s="23" t="s">
        <v>343</v>
      </c>
      <c r="BF18" s="14" t="s">
        <v>344</v>
      </c>
    </row>
    <row r="19" ht="24" customHeight="1" spans="1:58">
      <c r="A19" s="14" t="str">
        <f>_xlfn.DISPIMG("ID_6632E542DE59443DB004060C17FBE81C",1)</f>
        <v>=DISPIMG("ID_6632E542DE59443DB004060C17FBE81C",1)</v>
      </c>
      <c r="B19" s="15" t="s">
        <v>345</v>
      </c>
      <c r="C19" s="15" t="s">
        <v>73</v>
      </c>
      <c r="D19" s="15" t="s">
        <v>73</v>
      </c>
      <c r="E19" s="15" t="s">
        <v>346</v>
      </c>
      <c r="F19" s="15" t="s">
        <v>347</v>
      </c>
      <c r="G19" s="15" t="s">
        <v>348</v>
      </c>
      <c r="H19" s="15" t="s">
        <v>349</v>
      </c>
      <c r="I19" s="15" t="s">
        <v>350</v>
      </c>
      <c r="J19" s="15" t="s">
        <v>345</v>
      </c>
      <c r="K19" s="15" t="s">
        <v>351</v>
      </c>
      <c r="L19" s="15" t="s">
        <v>66</v>
      </c>
      <c r="M19" s="18">
        <v>2096</v>
      </c>
      <c r="N19" s="18">
        <v>5943</v>
      </c>
      <c r="O19" s="19">
        <v>0.3234</v>
      </c>
      <c r="P19" s="20" t="s">
        <v>352</v>
      </c>
      <c r="Q19" s="22" t="s">
        <v>353</v>
      </c>
      <c r="R19" s="18">
        <v>1439</v>
      </c>
      <c r="S19" s="19">
        <v>0.1282</v>
      </c>
      <c r="T19" s="18">
        <v>28765.61</v>
      </c>
      <c r="U19" s="23" t="s">
        <v>73</v>
      </c>
      <c r="V19" s="18" t="s">
        <v>73</v>
      </c>
      <c r="W19" s="24">
        <v>65</v>
      </c>
      <c r="X19" s="25">
        <v>19.99</v>
      </c>
      <c r="AB19" s="24">
        <v>36</v>
      </c>
      <c r="AC19" s="18">
        <v>18</v>
      </c>
      <c r="AD19" s="28">
        <v>4.7</v>
      </c>
      <c r="AE19" s="29">
        <v>0.0125</v>
      </c>
      <c r="AF19" s="25">
        <v>6.53</v>
      </c>
      <c r="AG19" s="19">
        <v>0.4733</v>
      </c>
      <c r="AI19" s="14" t="s">
        <v>354</v>
      </c>
      <c r="AJ19" s="24">
        <v>109</v>
      </c>
      <c r="AK19" s="14" t="s">
        <v>92</v>
      </c>
      <c r="AL19" s="24">
        <v>10</v>
      </c>
      <c r="AM19" s="24">
        <v>1</v>
      </c>
      <c r="AN19" s="15" t="s">
        <v>346</v>
      </c>
      <c r="AO19" s="14" t="s">
        <v>92</v>
      </c>
      <c r="AP19" s="14" t="s">
        <v>94</v>
      </c>
      <c r="AQ19" s="15" t="s">
        <v>355</v>
      </c>
      <c r="AR19" s="14" t="s">
        <v>356</v>
      </c>
      <c r="AS19" s="14" t="s">
        <v>73</v>
      </c>
      <c r="AT19" s="14" t="s">
        <v>73</v>
      </c>
      <c r="AU19" s="14" t="s">
        <v>73</v>
      </c>
      <c r="AV19" s="14" t="s">
        <v>74</v>
      </c>
      <c r="AW19" s="14" t="s">
        <v>74</v>
      </c>
      <c r="AX19" s="14" t="s">
        <v>73</v>
      </c>
      <c r="AY19" s="14" t="s">
        <v>73</v>
      </c>
      <c r="AZ19" s="14" t="s">
        <v>73</v>
      </c>
      <c r="BA19" s="15" t="s">
        <v>73</v>
      </c>
      <c r="BB19" s="7"/>
      <c r="BC19" s="23" t="s">
        <v>357</v>
      </c>
      <c r="BD19" s="23" t="s">
        <v>358</v>
      </c>
      <c r="BE19" s="23" t="s">
        <v>359</v>
      </c>
      <c r="BF19" s="14" t="s">
        <v>360</v>
      </c>
    </row>
    <row r="20" ht="24" customHeight="1" spans="1:58">
      <c r="A20" s="14" t="str">
        <f>_xlfn.DISPIMG("ID_B10315E1ECA041099151A1489F8AE6E6",1)</f>
        <v>=DISPIMG("ID_B10315E1ECA041099151A1489F8AE6E6",1)</v>
      </c>
      <c r="B20" s="15" t="s">
        <v>361</v>
      </c>
      <c r="C20" s="15" t="s">
        <v>102</v>
      </c>
      <c r="D20" s="15" t="s">
        <v>362</v>
      </c>
      <c r="E20" s="15" t="s">
        <v>83</v>
      </c>
      <c r="F20" s="15" t="s">
        <v>84</v>
      </c>
      <c r="G20" s="15" t="s">
        <v>363</v>
      </c>
      <c r="H20" s="15" t="s">
        <v>364</v>
      </c>
      <c r="I20" s="15" t="s">
        <v>365</v>
      </c>
      <c r="J20" s="15" t="s">
        <v>366</v>
      </c>
      <c r="K20" s="15" t="s">
        <v>65</v>
      </c>
      <c r="L20" s="15" t="s">
        <v>66</v>
      </c>
      <c r="M20" s="18">
        <v>2162</v>
      </c>
      <c r="N20" s="18">
        <v>13622</v>
      </c>
      <c r="O20" s="19">
        <v>0.8586</v>
      </c>
      <c r="P20" s="20" t="s">
        <v>67</v>
      </c>
      <c r="Q20" s="22" t="s">
        <v>367</v>
      </c>
      <c r="R20" s="18">
        <v>3492</v>
      </c>
      <c r="S20" s="19">
        <v>0.1871</v>
      </c>
      <c r="T20" s="18">
        <v>83773.08</v>
      </c>
      <c r="U20" s="23" t="s">
        <v>368</v>
      </c>
      <c r="V20" s="18">
        <v>9596</v>
      </c>
      <c r="W20" s="24">
        <v>44</v>
      </c>
      <c r="X20" s="25">
        <v>23.99</v>
      </c>
      <c r="Z20" s="23" t="s">
        <v>369</v>
      </c>
      <c r="AA20" s="18">
        <v>3</v>
      </c>
      <c r="AB20" s="24">
        <v>472</v>
      </c>
      <c r="AC20" s="18">
        <v>25</v>
      </c>
      <c r="AD20" s="28">
        <v>4.4</v>
      </c>
      <c r="AE20" s="29">
        <v>0.0072</v>
      </c>
      <c r="AF20" s="25">
        <v>7.13</v>
      </c>
      <c r="AG20" s="19">
        <v>0.5028</v>
      </c>
      <c r="AI20" s="14" t="s">
        <v>370</v>
      </c>
      <c r="AJ20" s="24">
        <v>420</v>
      </c>
      <c r="AK20" s="14" t="s">
        <v>92</v>
      </c>
      <c r="AL20" s="24">
        <v>9.8</v>
      </c>
      <c r="AM20" s="24">
        <v>1</v>
      </c>
      <c r="AN20" s="15" t="s">
        <v>93</v>
      </c>
      <c r="AO20" s="14" t="s">
        <v>92</v>
      </c>
      <c r="AP20" s="14" t="s">
        <v>94</v>
      </c>
      <c r="AQ20" s="15" t="s">
        <v>95</v>
      </c>
      <c r="AR20" s="14" t="s">
        <v>96</v>
      </c>
      <c r="AS20" s="14" t="s">
        <v>73</v>
      </c>
      <c r="AT20" s="14" t="s">
        <v>74</v>
      </c>
      <c r="AU20" s="14" t="s">
        <v>73</v>
      </c>
      <c r="AV20" s="14" t="s">
        <v>74</v>
      </c>
      <c r="AW20" s="14" t="s">
        <v>73</v>
      </c>
      <c r="AX20" s="14" t="s">
        <v>73</v>
      </c>
      <c r="AY20" s="14" t="s">
        <v>73</v>
      </c>
      <c r="AZ20" s="14" t="s">
        <v>73</v>
      </c>
      <c r="BA20" s="15" t="s">
        <v>74</v>
      </c>
      <c r="BB20" s="23" t="s">
        <v>73</v>
      </c>
      <c r="BC20" s="23" t="s">
        <v>371</v>
      </c>
      <c r="BD20" s="23" t="s">
        <v>372</v>
      </c>
      <c r="BE20" s="23" t="s">
        <v>373</v>
      </c>
      <c r="BF20" s="14" t="s">
        <v>374</v>
      </c>
    </row>
    <row r="21" ht="24" customHeight="1" spans="1:58">
      <c r="A21" s="14" t="str">
        <f>_xlfn.DISPIMG("ID_78E40ED137CF4B5B822341F4E3874B4F",1)</f>
        <v>=DISPIMG("ID_78E40ED137CF4B5B822341F4E3874B4F",1)</v>
      </c>
      <c r="B21" s="15" t="s">
        <v>375</v>
      </c>
      <c r="C21" s="15" t="s">
        <v>102</v>
      </c>
      <c r="D21" s="15" t="s">
        <v>376</v>
      </c>
      <c r="E21" s="15" t="s">
        <v>377</v>
      </c>
      <c r="F21" s="15" t="s">
        <v>378</v>
      </c>
      <c r="G21" s="15" t="s">
        <v>379</v>
      </c>
      <c r="H21" s="15" t="s">
        <v>380</v>
      </c>
      <c r="I21" s="15" t="s">
        <v>381</v>
      </c>
      <c r="J21" s="15" t="s">
        <v>382</v>
      </c>
      <c r="K21" s="15" t="s">
        <v>65</v>
      </c>
      <c r="L21" s="15" t="s">
        <v>66</v>
      </c>
      <c r="M21" s="18">
        <v>2323</v>
      </c>
      <c r="N21" s="18">
        <v>1024</v>
      </c>
      <c r="O21" s="19">
        <v>0.2978</v>
      </c>
      <c r="P21" s="20" t="s">
        <v>383</v>
      </c>
      <c r="Q21" s="22" t="s">
        <v>384</v>
      </c>
      <c r="R21" s="18">
        <v>9236</v>
      </c>
      <c r="S21" s="19">
        <v>2.6795</v>
      </c>
      <c r="T21" s="18">
        <v>350968</v>
      </c>
      <c r="U21" s="23" t="s">
        <v>385</v>
      </c>
      <c r="V21" s="18">
        <v>22800</v>
      </c>
      <c r="W21" s="24">
        <v>92</v>
      </c>
      <c r="X21" s="25">
        <v>38</v>
      </c>
      <c r="Z21" s="7"/>
      <c r="AA21" s="8"/>
      <c r="AB21" s="24">
        <v>445</v>
      </c>
      <c r="AC21" s="18">
        <v>21</v>
      </c>
      <c r="AD21" s="28">
        <v>4.2</v>
      </c>
      <c r="AE21" s="29">
        <v>0.0023</v>
      </c>
      <c r="AF21" s="25">
        <v>7.53</v>
      </c>
      <c r="AG21" s="19">
        <v>0.6018</v>
      </c>
      <c r="AI21" s="14" t="s">
        <v>386</v>
      </c>
      <c r="AJ21" s="24">
        <v>431</v>
      </c>
      <c r="AK21" s="14" t="s">
        <v>92</v>
      </c>
      <c r="AL21" s="24">
        <v>8.8</v>
      </c>
      <c r="AM21" s="24">
        <v>1</v>
      </c>
      <c r="AN21" s="15" t="s">
        <v>377</v>
      </c>
      <c r="AO21" s="14" t="s">
        <v>92</v>
      </c>
      <c r="AP21" s="14" t="s">
        <v>94</v>
      </c>
      <c r="AQ21" s="15" t="s">
        <v>387</v>
      </c>
      <c r="AR21" s="14" t="s">
        <v>388</v>
      </c>
      <c r="AS21" s="14" t="s">
        <v>73</v>
      </c>
      <c r="AT21" s="14" t="s">
        <v>73</v>
      </c>
      <c r="AU21" s="14" t="s">
        <v>74</v>
      </c>
      <c r="AV21" s="14" t="s">
        <v>74</v>
      </c>
      <c r="AW21" s="14" t="s">
        <v>73</v>
      </c>
      <c r="AX21" s="14" t="s">
        <v>73</v>
      </c>
      <c r="AY21" s="14" t="s">
        <v>74</v>
      </c>
      <c r="AZ21" s="14" t="s">
        <v>73</v>
      </c>
      <c r="BA21" s="15" t="s">
        <v>73</v>
      </c>
      <c r="BB21" s="7"/>
      <c r="BC21" s="23" t="s">
        <v>389</v>
      </c>
      <c r="BD21" s="23" t="s">
        <v>390</v>
      </c>
      <c r="BE21" s="23" t="s">
        <v>391</v>
      </c>
      <c r="BF21" s="14" t="s">
        <v>392</v>
      </c>
    </row>
    <row r="22" ht="24" customHeight="1" spans="1:58">
      <c r="A22" s="14" t="str">
        <f>_xlfn.DISPIMG("ID_64E3634633844196B2B9120239E6A3F5",1)</f>
        <v>=DISPIMG("ID_64E3634633844196B2B9120239E6A3F5",1)</v>
      </c>
      <c r="B22" s="15" t="s">
        <v>393</v>
      </c>
      <c r="C22" s="15" t="s">
        <v>394</v>
      </c>
      <c r="D22" s="15" t="s">
        <v>395</v>
      </c>
      <c r="E22" s="15" t="s">
        <v>83</v>
      </c>
      <c r="F22" s="15" t="s">
        <v>84</v>
      </c>
      <c r="G22" s="15" t="s">
        <v>396</v>
      </c>
      <c r="H22" s="15" t="s">
        <v>397</v>
      </c>
      <c r="I22" s="15" t="s">
        <v>398</v>
      </c>
      <c r="J22" s="15" t="s">
        <v>399</v>
      </c>
      <c r="K22" s="15" t="s">
        <v>65</v>
      </c>
      <c r="L22" s="15" t="s">
        <v>66</v>
      </c>
      <c r="M22" s="18">
        <v>2445</v>
      </c>
      <c r="N22" s="18">
        <v>33</v>
      </c>
      <c r="O22" s="19">
        <v>0.0156</v>
      </c>
      <c r="P22" s="20" t="s">
        <v>67</v>
      </c>
      <c r="Q22" s="22" t="s">
        <v>400</v>
      </c>
      <c r="R22" s="18">
        <v>13290</v>
      </c>
      <c r="S22" s="19">
        <v>0.7398</v>
      </c>
      <c r="T22" s="18">
        <v>438437.12</v>
      </c>
      <c r="U22" s="23" t="s">
        <v>111</v>
      </c>
      <c r="V22" s="18">
        <v>32990</v>
      </c>
      <c r="W22" s="24">
        <v>69</v>
      </c>
      <c r="X22" s="25">
        <v>32.99</v>
      </c>
      <c r="Z22" s="23" t="s">
        <v>401</v>
      </c>
      <c r="AA22" s="8"/>
      <c r="AB22" s="24">
        <v>119</v>
      </c>
      <c r="AC22" s="18">
        <v>41</v>
      </c>
      <c r="AD22" s="28">
        <v>4.2</v>
      </c>
      <c r="AE22" s="29">
        <v>0.0031</v>
      </c>
      <c r="AF22" s="25">
        <v>8.23</v>
      </c>
      <c r="AG22" s="19">
        <v>0.5505</v>
      </c>
      <c r="AI22" s="14" t="s">
        <v>402</v>
      </c>
      <c r="AJ22" s="24">
        <v>161</v>
      </c>
      <c r="AK22" s="14" t="s">
        <v>92</v>
      </c>
      <c r="AL22" s="24">
        <v>9.8</v>
      </c>
      <c r="AM22" s="24">
        <v>1</v>
      </c>
      <c r="AN22" s="15" t="s">
        <v>93</v>
      </c>
      <c r="AO22" s="14" t="s">
        <v>92</v>
      </c>
      <c r="AP22" s="14" t="s">
        <v>94</v>
      </c>
      <c r="AQ22" s="15" t="s">
        <v>95</v>
      </c>
      <c r="AR22" s="14" t="s">
        <v>96</v>
      </c>
      <c r="AS22" s="14" t="s">
        <v>73</v>
      </c>
      <c r="AT22" s="14" t="s">
        <v>74</v>
      </c>
      <c r="AU22" s="14" t="s">
        <v>74</v>
      </c>
      <c r="AV22" s="14" t="s">
        <v>74</v>
      </c>
      <c r="AW22" s="14" t="s">
        <v>73</v>
      </c>
      <c r="AX22" s="14" t="s">
        <v>73</v>
      </c>
      <c r="AY22" s="14" t="s">
        <v>74</v>
      </c>
      <c r="AZ22" s="14" t="s">
        <v>73</v>
      </c>
      <c r="BA22" s="15" t="s">
        <v>73</v>
      </c>
      <c r="BB22" s="23" t="s">
        <v>73</v>
      </c>
      <c r="BC22" s="23" t="s">
        <v>403</v>
      </c>
      <c r="BD22" s="23" t="s">
        <v>404</v>
      </c>
      <c r="BE22" s="23" t="s">
        <v>405</v>
      </c>
      <c r="BF22" s="14" t="s">
        <v>406</v>
      </c>
    </row>
    <row r="23" ht="24" customHeight="1" spans="1:58">
      <c r="A23" s="14" t="str">
        <f>_xlfn.DISPIMG("ID_5AF22AA1A6BE40F8831A03FE36E27D2F",1)</f>
        <v>=DISPIMG("ID_5AF22AA1A6BE40F8831A03FE36E27D2F",1)</v>
      </c>
      <c r="B23" s="15" t="s">
        <v>407</v>
      </c>
      <c r="C23" s="15" t="s">
        <v>102</v>
      </c>
      <c r="D23" s="15" t="s">
        <v>408</v>
      </c>
      <c r="E23" s="15" t="s">
        <v>409</v>
      </c>
      <c r="F23" s="15" t="s">
        <v>410</v>
      </c>
      <c r="G23" s="15" t="s">
        <v>411</v>
      </c>
      <c r="H23" s="15" t="s">
        <v>412</v>
      </c>
      <c r="I23" s="15" t="s">
        <v>413</v>
      </c>
      <c r="J23" s="15" t="s">
        <v>414</v>
      </c>
      <c r="K23" s="15" t="s">
        <v>65</v>
      </c>
      <c r="L23" s="15" t="s">
        <v>66</v>
      </c>
      <c r="M23" s="18">
        <v>2892</v>
      </c>
      <c r="N23" s="18">
        <v>-25</v>
      </c>
      <c r="O23" s="19">
        <v>-0.0087</v>
      </c>
      <c r="P23" s="20" t="s">
        <v>67</v>
      </c>
      <c r="Q23" s="22" t="s">
        <v>415</v>
      </c>
      <c r="R23" s="18">
        <v>7647</v>
      </c>
      <c r="S23" s="19">
        <v>0.5747</v>
      </c>
      <c r="T23" s="18">
        <v>251280.42</v>
      </c>
      <c r="U23" s="23" t="s">
        <v>230</v>
      </c>
      <c r="V23" s="18">
        <v>26288</v>
      </c>
      <c r="W23" s="24">
        <v>54</v>
      </c>
      <c r="X23" s="25">
        <v>32.86</v>
      </c>
      <c r="Z23" s="23" t="s">
        <v>416</v>
      </c>
      <c r="AA23" s="18">
        <v>3</v>
      </c>
      <c r="AB23" s="24">
        <v>191</v>
      </c>
      <c r="AC23" s="18">
        <v>49</v>
      </c>
      <c r="AD23" s="28">
        <v>4.2</v>
      </c>
      <c r="AE23" s="29">
        <v>0.0064</v>
      </c>
      <c r="AF23" s="25">
        <v>7.91</v>
      </c>
      <c r="AG23" s="19">
        <v>0.5593</v>
      </c>
      <c r="AI23" s="14" t="s">
        <v>417</v>
      </c>
      <c r="AJ23" s="24">
        <v>477</v>
      </c>
      <c r="AK23" s="14" t="s">
        <v>92</v>
      </c>
      <c r="AL23" s="24">
        <v>9</v>
      </c>
      <c r="AM23" s="24">
        <v>1</v>
      </c>
      <c r="AN23" s="15" t="s">
        <v>409</v>
      </c>
      <c r="AO23" s="14" t="s">
        <v>92</v>
      </c>
      <c r="AP23" s="14" t="s">
        <v>94</v>
      </c>
      <c r="AQ23" s="15" t="s">
        <v>418</v>
      </c>
      <c r="AR23" s="14" t="s">
        <v>419</v>
      </c>
      <c r="AS23" s="14" t="s">
        <v>73</v>
      </c>
      <c r="AT23" s="14" t="s">
        <v>73</v>
      </c>
      <c r="AU23" s="14" t="s">
        <v>73</v>
      </c>
      <c r="AV23" s="14" t="s">
        <v>74</v>
      </c>
      <c r="AW23" s="14" t="s">
        <v>74</v>
      </c>
      <c r="AX23" s="14" t="s">
        <v>73</v>
      </c>
      <c r="AY23" s="14" t="s">
        <v>74</v>
      </c>
      <c r="AZ23" s="14" t="s">
        <v>73</v>
      </c>
      <c r="BA23" s="15" t="s">
        <v>73</v>
      </c>
      <c r="BC23" s="23" t="s">
        <v>420</v>
      </c>
      <c r="BD23" s="23" t="s">
        <v>421</v>
      </c>
      <c r="BE23" s="23" t="s">
        <v>422</v>
      </c>
      <c r="BF23" s="14" t="s">
        <v>423</v>
      </c>
    </row>
    <row r="24" ht="24" customHeight="1" spans="1:58">
      <c r="A24" s="14" t="str">
        <f>_xlfn.DISPIMG("ID_D7AAC4BCB9CD4C2E955FA46B7FE94261",1)</f>
        <v>=DISPIMG("ID_D7AAC4BCB9CD4C2E955FA46B7FE94261",1)</v>
      </c>
      <c r="B24" s="15" t="s">
        <v>424</v>
      </c>
      <c r="C24" s="15" t="s">
        <v>425</v>
      </c>
      <c r="D24" s="15" t="s">
        <v>426</v>
      </c>
      <c r="E24" s="15" t="s">
        <v>159</v>
      </c>
      <c r="F24" s="15" t="s">
        <v>160</v>
      </c>
      <c r="G24" s="15" t="s">
        <v>427</v>
      </c>
      <c r="H24" s="15" t="s">
        <v>428</v>
      </c>
      <c r="I24" s="15" t="s">
        <v>429</v>
      </c>
      <c r="J24" s="15" t="s">
        <v>430</v>
      </c>
      <c r="K24" s="15" t="s">
        <v>65</v>
      </c>
      <c r="L24" s="15" t="s">
        <v>66</v>
      </c>
      <c r="M24" s="18">
        <v>3070</v>
      </c>
      <c r="N24" s="18">
        <v>4689</v>
      </c>
      <c r="O24" s="19">
        <v>0.5473</v>
      </c>
      <c r="P24" s="20" t="s">
        <v>67</v>
      </c>
      <c r="Q24" s="22" t="s">
        <v>431</v>
      </c>
      <c r="R24" s="18">
        <v>3287</v>
      </c>
      <c r="S24" s="19">
        <v>2.6725</v>
      </c>
      <c r="T24" s="18">
        <v>121586.13</v>
      </c>
      <c r="U24" s="23" t="s">
        <v>432</v>
      </c>
      <c r="V24" s="18">
        <v>3699</v>
      </c>
      <c r="W24" s="24">
        <v>64</v>
      </c>
      <c r="X24" s="25">
        <v>36.99</v>
      </c>
      <c r="Z24" s="7"/>
      <c r="AA24" s="18">
        <v>44</v>
      </c>
      <c r="AB24" s="24">
        <v>3796</v>
      </c>
      <c r="AC24" s="18">
        <v>43</v>
      </c>
      <c r="AD24" s="28">
        <v>4.1</v>
      </c>
      <c r="AE24" s="29">
        <v>0.0131</v>
      </c>
      <c r="AF24" s="25">
        <v>8.49</v>
      </c>
      <c r="AG24" s="19">
        <v>0.5705</v>
      </c>
      <c r="AI24" s="14" t="s">
        <v>433</v>
      </c>
      <c r="AJ24" s="24">
        <v>809</v>
      </c>
      <c r="AK24" s="14" t="s">
        <v>92</v>
      </c>
      <c r="AL24" s="24">
        <v>9.8</v>
      </c>
      <c r="AM24" s="24">
        <v>1</v>
      </c>
      <c r="AN24" s="15" t="s">
        <v>159</v>
      </c>
      <c r="AO24" s="14" t="s">
        <v>92</v>
      </c>
      <c r="AP24" s="14" t="s">
        <v>131</v>
      </c>
      <c r="AQ24" s="15" t="s">
        <v>168</v>
      </c>
      <c r="AR24" s="14" t="s">
        <v>169</v>
      </c>
      <c r="AS24" s="14" t="s">
        <v>73</v>
      </c>
      <c r="AT24" s="14" t="s">
        <v>74</v>
      </c>
      <c r="AU24" s="14" t="s">
        <v>74</v>
      </c>
      <c r="AV24" s="14" t="s">
        <v>74</v>
      </c>
      <c r="AW24" s="14" t="s">
        <v>74</v>
      </c>
      <c r="AX24" s="14" t="s">
        <v>73</v>
      </c>
      <c r="AY24" s="14" t="s">
        <v>74</v>
      </c>
      <c r="AZ24" s="14" t="s">
        <v>73</v>
      </c>
      <c r="BA24" s="15" t="s">
        <v>73</v>
      </c>
      <c r="BB24" s="23" t="s">
        <v>73</v>
      </c>
      <c r="BC24" s="7"/>
      <c r="BD24" s="23" t="s">
        <v>73</v>
      </c>
      <c r="BE24" s="7"/>
      <c r="BF24" s="14" t="s">
        <v>73</v>
      </c>
    </row>
    <row r="25" ht="24" customHeight="1" spans="1:58">
      <c r="A25" s="14" t="str">
        <f>_xlfn.DISPIMG("ID_BE4BE7ECE25F4824A96BD0D53D7AAA96",1)</f>
        <v>=DISPIMG("ID_BE4BE7ECE25F4824A96BD0D53D7AAA96",1)</v>
      </c>
      <c r="B25" s="15" t="s">
        <v>434</v>
      </c>
      <c r="C25" s="15" t="s">
        <v>102</v>
      </c>
      <c r="D25" s="15" t="s">
        <v>435</v>
      </c>
      <c r="E25" s="15" t="s">
        <v>177</v>
      </c>
      <c r="F25" s="15" t="s">
        <v>178</v>
      </c>
      <c r="G25" s="15" t="s">
        <v>436</v>
      </c>
      <c r="H25" s="15" t="s">
        <v>437</v>
      </c>
      <c r="I25" s="15" t="s">
        <v>438</v>
      </c>
      <c r="J25" s="15" t="s">
        <v>439</v>
      </c>
      <c r="K25" s="15" t="s">
        <v>65</v>
      </c>
      <c r="L25" s="15" t="s">
        <v>66</v>
      </c>
      <c r="M25" s="18">
        <v>3154</v>
      </c>
      <c r="N25" s="18">
        <v>1166</v>
      </c>
      <c r="O25" s="19">
        <v>0.2595</v>
      </c>
      <c r="P25" s="20" t="s">
        <v>67</v>
      </c>
      <c r="Q25" s="22" t="s">
        <v>440</v>
      </c>
      <c r="R25" s="18">
        <v>9493</v>
      </c>
      <c r="S25" s="19">
        <v>0.1464</v>
      </c>
      <c r="T25" s="18">
        <v>284695.06</v>
      </c>
      <c r="U25" s="23" t="s">
        <v>230</v>
      </c>
      <c r="V25" s="18">
        <v>23992</v>
      </c>
      <c r="W25" s="24">
        <v>145</v>
      </c>
      <c r="X25" s="25">
        <v>29.99</v>
      </c>
      <c r="Z25" s="7"/>
      <c r="AA25" s="18">
        <v>41</v>
      </c>
      <c r="AB25" s="24">
        <v>8551</v>
      </c>
      <c r="AC25" s="18">
        <v>58</v>
      </c>
      <c r="AD25" s="28">
        <v>4.5</v>
      </c>
      <c r="AE25" s="29">
        <v>0.0061</v>
      </c>
      <c r="AF25" s="25">
        <v>6.27</v>
      </c>
      <c r="AG25" s="19">
        <v>0.5909</v>
      </c>
      <c r="AI25" s="14" t="s">
        <v>441</v>
      </c>
      <c r="AJ25" s="24">
        <v>1815</v>
      </c>
      <c r="AK25" s="14" t="s">
        <v>92</v>
      </c>
      <c r="AL25" s="24">
        <v>8.8</v>
      </c>
      <c r="AM25" s="24">
        <v>1</v>
      </c>
      <c r="AN25" s="15" t="s">
        <v>186</v>
      </c>
      <c r="AO25" s="14" t="s">
        <v>92</v>
      </c>
      <c r="AP25" s="14" t="s">
        <v>94</v>
      </c>
      <c r="AQ25" s="15" t="s">
        <v>187</v>
      </c>
      <c r="AR25" s="14" t="s">
        <v>188</v>
      </c>
      <c r="AS25" s="14" t="s">
        <v>73</v>
      </c>
      <c r="AT25" s="14" t="s">
        <v>74</v>
      </c>
      <c r="AU25" s="14" t="s">
        <v>73</v>
      </c>
      <c r="AV25" s="14" t="s">
        <v>74</v>
      </c>
      <c r="AW25" s="14" t="s">
        <v>74</v>
      </c>
      <c r="AX25" s="14" t="s">
        <v>73</v>
      </c>
      <c r="AY25" s="14" t="s">
        <v>74</v>
      </c>
      <c r="AZ25" s="14" t="s">
        <v>73</v>
      </c>
      <c r="BA25" s="15" t="s">
        <v>73</v>
      </c>
      <c r="BB25" s="23" t="s">
        <v>73</v>
      </c>
      <c r="BC25" s="23" t="s">
        <v>442</v>
      </c>
      <c r="BD25" s="23" t="s">
        <v>443</v>
      </c>
      <c r="BE25" s="23" t="s">
        <v>444</v>
      </c>
      <c r="BF25" s="14" t="s">
        <v>445</v>
      </c>
    </row>
    <row r="26" ht="24" customHeight="1" spans="1:58">
      <c r="A26" s="14" t="str">
        <f>_xlfn.DISPIMG("ID_C431C668A68448C19AEE9A8E4EF34B19",1)</f>
        <v>=DISPIMG("ID_C431C668A68448C19AEE9A8E4EF34B19",1)</v>
      </c>
      <c r="B26" s="15" t="s">
        <v>446</v>
      </c>
      <c r="C26" s="15" t="s">
        <v>73</v>
      </c>
      <c r="D26" s="15" t="s">
        <v>73</v>
      </c>
      <c r="E26" s="15" t="s">
        <v>59</v>
      </c>
      <c r="F26" s="15" t="s">
        <v>60</v>
      </c>
      <c r="G26" s="15" t="s">
        <v>447</v>
      </c>
      <c r="H26" s="15" t="s">
        <v>448</v>
      </c>
      <c r="I26" s="15" t="s">
        <v>449</v>
      </c>
      <c r="J26" s="15" t="s">
        <v>446</v>
      </c>
      <c r="K26" s="15" t="s">
        <v>65</v>
      </c>
      <c r="L26" s="15" t="s">
        <v>66</v>
      </c>
      <c r="M26" s="18">
        <v>3166</v>
      </c>
      <c r="N26" s="18">
        <v>-1164</v>
      </c>
      <c r="O26" s="19">
        <v>-0.5814</v>
      </c>
      <c r="P26" s="20" t="s">
        <v>67</v>
      </c>
      <c r="Q26" s="22" t="s">
        <v>431</v>
      </c>
      <c r="R26" s="18">
        <v>8134</v>
      </c>
      <c r="S26" s="19">
        <v>8.7773</v>
      </c>
      <c r="T26" s="18">
        <v>130144</v>
      </c>
      <c r="U26" s="23" t="s">
        <v>450</v>
      </c>
      <c r="V26" s="18">
        <v>4800</v>
      </c>
      <c r="W26" s="24">
        <v>44</v>
      </c>
      <c r="X26" s="25">
        <v>16</v>
      </c>
      <c r="AA26" s="18">
        <v>10</v>
      </c>
      <c r="AB26" s="24">
        <v>605</v>
      </c>
      <c r="AC26" s="18">
        <v>48</v>
      </c>
      <c r="AD26" s="28">
        <v>4.3</v>
      </c>
      <c r="AE26" s="29">
        <v>0.0059</v>
      </c>
      <c r="AF26" s="25">
        <v>7.13</v>
      </c>
      <c r="AG26" s="19">
        <v>0.3544</v>
      </c>
      <c r="AI26" s="14" t="s">
        <v>451</v>
      </c>
      <c r="AJ26" s="24">
        <v>189</v>
      </c>
      <c r="AK26" s="14" t="s">
        <v>71</v>
      </c>
      <c r="AL26" s="24">
        <v>9.8</v>
      </c>
      <c r="AM26" s="24">
        <v>1</v>
      </c>
      <c r="AN26" s="15" t="s">
        <v>452</v>
      </c>
      <c r="AO26" s="14" t="s">
        <v>71</v>
      </c>
      <c r="AP26" s="14" t="s">
        <v>73</v>
      </c>
      <c r="AQ26" s="15" t="s">
        <v>73</v>
      </c>
      <c r="AR26" s="14" t="s">
        <v>73</v>
      </c>
      <c r="AS26" s="14" t="s">
        <v>73</v>
      </c>
      <c r="AT26" s="14" t="s">
        <v>74</v>
      </c>
      <c r="AU26" s="14" t="s">
        <v>73</v>
      </c>
      <c r="AV26" s="14" t="s">
        <v>74</v>
      </c>
      <c r="AW26" s="14" t="s">
        <v>73</v>
      </c>
      <c r="AX26" s="14" t="s">
        <v>73</v>
      </c>
      <c r="AY26" s="14" t="s">
        <v>73</v>
      </c>
      <c r="AZ26" s="14" t="s">
        <v>73</v>
      </c>
      <c r="BA26" s="15" t="s">
        <v>73</v>
      </c>
      <c r="BB26" s="23" t="s">
        <v>453</v>
      </c>
      <c r="BC26" s="23" t="s">
        <v>454</v>
      </c>
      <c r="BD26" s="23" t="s">
        <v>455</v>
      </c>
      <c r="BE26" s="23" t="s">
        <v>456</v>
      </c>
      <c r="BF26" s="14" t="s">
        <v>457</v>
      </c>
    </row>
    <row r="27" ht="24" customHeight="1" spans="1:58">
      <c r="A27" s="14" t="str">
        <f>_xlfn.DISPIMG("ID_FFAB03174D4D48A7B8099076551149A2",1)</f>
        <v>=DISPIMG("ID_FFAB03174D4D48A7B8099076551149A2",1)</v>
      </c>
      <c r="B27" s="15" t="s">
        <v>458</v>
      </c>
      <c r="C27" s="15" t="s">
        <v>459</v>
      </c>
      <c r="D27" s="15" t="s">
        <v>460</v>
      </c>
      <c r="E27" s="15" t="s">
        <v>59</v>
      </c>
      <c r="F27" s="15" t="s">
        <v>60</v>
      </c>
      <c r="G27" s="15" t="s">
        <v>461</v>
      </c>
      <c r="H27" s="15" t="s">
        <v>462</v>
      </c>
      <c r="I27" s="15" t="s">
        <v>463</v>
      </c>
      <c r="J27" s="15" t="s">
        <v>464</v>
      </c>
      <c r="K27" s="15" t="s">
        <v>65</v>
      </c>
      <c r="L27" s="15" t="s">
        <v>66</v>
      </c>
      <c r="M27" s="18">
        <v>3191</v>
      </c>
      <c r="N27" s="18">
        <v>1031</v>
      </c>
      <c r="O27" s="19">
        <v>0.2067</v>
      </c>
      <c r="P27" s="20" t="s">
        <v>67</v>
      </c>
      <c r="Q27" s="22" t="s">
        <v>465</v>
      </c>
      <c r="R27" s="18">
        <v>6331</v>
      </c>
      <c r="S27" s="19">
        <v>1.7613</v>
      </c>
      <c r="T27" s="18">
        <v>75338.9</v>
      </c>
      <c r="U27" s="23" t="s">
        <v>150</v>
      </c>
      <c r="V27" s="18">
        <v>5950</v>
      </c>
      <c r="W27" s="24">
        <v>19</v>
      </c>
      <c r="X27" s="25">
        <v>11.9</v>
      </c>
      <c r="Y27" s="10"/>
      <c r="Z27" s="7"/>
      <c r="AA27" s="18">
        <v>113</v>
      </c>
      <c r="AB27" s="24">
        <v>31788</v>
      </c>
      <c r="AC27" s="18">
        <v>24</v>
      </c>
      <c r="AD27" s="28">
        <v>4</v>
      </c>
      <c r="AE27" s="29">
        <v>0.0038</v>
      </c>
      <c r="AF27" s="25">
        <v>6.44</v>
      </c>
      <c r="AG27" s="19">
        <v>0.2588</v>
      </c>
      <c r="AI27" s="14" t="s">
        <v>466</v>
      </c>
      <c r="AJ27" s="24">
        <v>3382</v>
      </c>
      <c r="AK27" s="14" t="s">
        <v>92</v>
      </c>
      <c r="AL27" s="24">
        <v>9.6</v>
      </c>
      <c r="AM27" s="24">
        <v>8</v>
      </c>
      <c r="AN27" s="15" t="s">
        <v>467</v>
      </c>
      <c r="AO27" s="14" t="s">
        <v>92</v>
      </c>
      <c r="AP27" s="14" t="s">
        <v>131</v>
      </c>
      <c r="AQ27" s="15" t="s">
        <v>468</v>
      </c>
      <c r="AR27" s="14" t="s">
        <v>469</v>
      </c>
      <c r="AS27" s="14" t="s">
        <v>73</v>
      </c>
      <c r="AT27" s="14" t="s">
        <v>74</v>
      </c>
      <c r="AU27" s="14" t="s">
        <v>73</v>
      </c>
      <c r="AV27" s="14" t="s">
        <v>74</v>
      </c>
      <c r="AW27" s="14" t="s">
        <v>73</v>
      </c>
      <c r="AX27" s="14" t="s">
        <v>73</v>
      </c>
      <c r="AY27" s="14" t="s">
        <v>73</v>
      </c>
      <c r="AZ27" s="14" t="s">
        <v>73</v>
      </c>
      <c r="BA27" s="15" t="s">
        <v>73</v>
      </c>
      <c r="BB27" s="23" t="s">
        <v>73</v>
      </c>
      <c r="BC27" s="23" t="s">
        <v>470</v>
      </c>
      <c r="BD27" s="23" t="s">
        <v>471</v>
      </c>
      <c r="BE27" s="23" t="s">
        <v>472</v>
      </c>
      <c r="BF27" s="14" t="s">
        <v>473</v>
      </c>
    </row>
    <row r="28" ht="24" customHeight="1" spans="1:58">
      <c r="A28" s="14" t="str">
        <f>_xlfn.DISPIMG("ID_B7385B54CB364124A2B177DCB654BF33",1)</f>
        <v>=DISPIMG("ID_B7385B54CB364124A2B177DCB654BF33",1)</v>
      </c>
      <c r="B28" s="15" t="s">
        <v>474</v>
      </c>
      <c r="C28" s="15" t="s">
        <v>475</v>
      </c>
      <c r="D28" s="15" t="s">
        <v>476</v>
      </c>
      <c r="E28" s="15" t="s">
        <v>477</v>
      </c>
      <c r="F28" s="15" t="s">
        <v>478</v>
      </c>
      <c r="G28" s="15" t="s">
        <v>479</v>
      </c>
      <c r="H28" s="15" t="s">
        <v>480</v>
      </c>
      <c r="I28" s="15" t="s">
        <v>481</v>
      </c>
      <c r="J28" s="15" t="s">
        <v>482</v>
      </c>
      <c r="K28" s="15" t="s">
        <v>65</v>
      </c>
      <c r="L28" s="15" t="s">
        <v>66</v>
      </c>
      <c r="M28" s="18">
        <v>3202</v>
      </c>
      <c r="N28" s="18">
        <v>700</v>
      </c>
      <c r="O28" s="19">
        <v>0.1629</v>
      </c>
      <c r="P28" s="20" t="s">
        <v>67</v>
      </c>
      <c r="Q28" s="22" t="s">
        <v>483</v>
      </c>
      <c r="R28" s="18">
        <v>8706</v>
      </c>
      <c r="S28" s="19">
        <v>1.1887</v>
      </c>
      <c r="T28" s="18">
        <v>304622.97</v>
      </c>
      <c r="U28" s="23" t="s">
        <v>450</v>
      </c>
      <c r="V28" s="18">
        <v>10497</v>
      </c>
      <c r="W28" s="24">
        <v>123</v>
      </c>
      <c r="X28" s="25">
        <v>34.99</v>
      </c>
      <c r="Z28" s="7"/>
      <c r="AA28" s="18">
        <v>23</v>
      </c>
      <c r="AB28" s="24">
        <v>2059</v>
      </c>
      <c r="AC28" s="18">
        <v>92</v>
      </c>
      <c r="AD28" s="28">
        <v>4.3</v>
      </c>
      <c r="AE28" s="29">
        <v>0.0106</v>
      </c>
      <c r="AF28" s="10"/>
      <c r="AG28" s="19">
        <v>0</v>
      </c>
      <c r="AI28" s="14" t="s">
        <v>484</v>
      </c>
      <c r="AJ28" s="24">
        <v>1133</v>
      </c>
      <c r="AK28" s="14" t="s">
        <v>92</v>
      </c>
      <c r="AL28" s="24">
        <v>10</v>
      </c>
      <c r="AM28" s="24">
        <v>1</v>
      </c>
      <c r="AN28" s="15" t="s">
        <v>485</v>
      </c>
      <c r="AO28" s="14" t="s">
        <v>92</v>
      </c>
      <c r="AP28" s="14" t="s">
        <v>94</v>
      </c>
      <c r="AQ28" s="15" t="s">
        <v>486</v>
      </c>
      <c r="AR28" s="14" t="s">
        <v>487</v>
      </c>
      <c r="AS28" s="14" t="s">
        <v>73</v>
      </c>
      <c r="AT28" s="14" t="s">
        <v>74</v>
      </c>
      <c r="AU28" s="14" t="s">
        <v>73</v>
      </c>
      <c r="AV28" s="14" t="s">
        <v>74</v>
      </c>
      <c r="AW28" s="14" t="s">
        <v>74</v>
      </c>
      <c r="AX28" s="14" t="s">
        <v>73</v>
      </c>
      <c r="AY28" s="14" t="s">
        <v>74</v>
      </c>
      <c r="AZ28" s="14" t="s">
        <v>73</v>
      </c>
      <c r="BA28" s="15" t="s">
        <v>73</v>
      </c>
      <c r="BB28" s="23" t="s">
        <v>488</v>
      </c>
      <c r="BC28" s="23" t="s">
        <v>277</v>
      </c>
      <c r="BD28" s="23" t="s">
        <v>278</v>
      </c>
      <c r="BE28" s="23" t="s">
        <v>489</v>
      </c>
      <c r="BF28" s="14" t="s">
        <v>490</v>
      </c>
    </row>
    <row r="29" ht="24" customHeight="1" spans="1:58">
      <c r="A29" s="14" t="str">
        <f>_xlfn.DISPIMG("ID_D75CC65534E048EAA0FA7AE12EFB34EE",1)</f>
        <v>=DISPIMG("ID_D75CC65534E048EAA0FA7AE12EFB34EE",1)</v>
      </c>
      <c r="B29" s="15" t="s">
        <v>491</v>
      </c>
      <c r="C29" s="15" t="s">
        <v>81</v>
      </c>
      <c r="D29" s="15" t="s">
        <v>492</v>
      </c>
      <c r="E29" s="15" t="s">
        <v>493</v>
      </c>
      <c r="F29" s="15" t="s">
        <v>494</v>
      </c>
      <c r="G29" s="15" t="s">
        <v>495</v>
      </c>
      <c r="H29" s="15" t="s">
        <v>496</v>
      </c>
      <c r="I29" s="15" t="s">
        <v>497</v>
      </c>
      <c r="J29" s="15" t="s">
        <v>498</v>
      </c>
      <c r="K29" s="15" t="s">
        <v>65</v>
      </c>
      <c r="L29" s="15" t="s">
        <v>66</v>
      </c>
      <c r="M29" s="18">
        <v>3435</v>
      </c>
      <c r="N29" s="18">
        <v>94474</v>
      </c>
      <c r="O29" s="19">
        <v>0.9649</v>
      </c>
      <c r="P29" s="20" t="s">
        <v>67</v>
      </c>
      <c r="Q29" s="22" t="s">
        <v>499</v>
      </c>
      <c r="R29" s="18">
        <v>3267</v>
      </c>
      <c r="S29" s="19">
        <v>8.0147</v>
      </c>
      <c r="T29" s="18">
        <v>65307.33</v>
      </c>
      <c r="U29" s="23" t="s">
        <v>432</v>
      </c>
      <c r="V29" s="18">
        <v>3998</v>
      </c>
      <c r="W29" s="24">
        <v>30</v>
      </c>
      <c r="X29" s="25">
        <v>19.99</v>
      </c>
      <c r="Z29" s="23" t="s">
        <v>128</v>
      </c>
      <c r="AA29" s="8"/>
      <c r="AB29" s="24">
        <v>17</v>
      </c>
      <c r="AC29" s="18">
        <v>11</v>
      </c>
      <c r="AD29" s="28">
        <v>4.2</v>
      </c>
      <c r="AE29" s="29">
        <v>0.0034</v>
      </c>
      <c r="AF29" s="25">
        <v>6.27</v>
      </c>
      <c r="AG29" s="19">
        <v>0.4863</v>
      </c>
      <c r="AI29" s="14" t="s">
        <v>500</v>
      </c>
      <c r="AJ29" s="24">
        <v>71</v>
      </c>
      <c r="AK29" s="14" t="s">
        <v>92</v>
      </c>
      <c r="AL29" s="24" t="s">
        <v>73</v>
      </c>
      <c r="AM29" s="24">
        <v>1</v>
      </c>
      <c r="AN29" s="15" t="s">
        <v>501</v>
      </c>
      <c r="AO29" s="14" t="s">
        <v>92</v>
      </c>
      <c r="AP29" s="14" t="s">
        <v>94</v>
      </c>
      <c r="AQ29" s="15" t="s">
        <v>502</v>
      </c>
      <c r="AR29" s="14" t="s">
        <v>503</v>
      </c>
      <c r="AS29" s="14" t="s">
        <v>73</v>
      </c>
      <c r="AT29" s="14" t="s">
        <v>73</v>
      </c>
      <c r="AU29" s="14" t="s">
        <v>74</v>
      </c>
      <c r="AV29" s="14" t="s">
        <v>73</v>
      </c>
      <c r="AW29" s="14" t="s">
        <v>73</v>
      </c>
      <c r="AX29" s="14" t="s">
        <v>73</v>
      </c>
      <c r="AY29" s="14" t="s">
        <v>73</v>
      </c>
      <c r="AZ29" s="14" t="s">
        <v>73</v>
      </c>
      <c r="BA29" s="15" t="s">
        <v>74</v>
      </c>
      <c r="BB29" s="7"/>
      <c r="BC29" s="7"/>
      <c r="BD29" s="23" t="s">
        <v>73</v>
      </c>
      <c r="BE29" s="7"/>
      <c r="BF29" s="14" t="s">
        <v>73</v>
      </c>
    </row>
    <row r="30" ht="24" customHeight="1" spans="1:58">
      <c r="A30" s="14" t="str">
        <f>_xlfn.DISPIMG("ID_E7C4D953A59649F7A926840D84EB7408",1)</f>
        <v>=DISPIMG("ID_E7C4D953A59649F7A926840D84EB7408",1)</v>
      </c>
      <c r="B30" s="15" t="s">
        <v>504</v>
      </c>
      <c r="C30" s="15" t="s">
        <v>81</v>
      </c>
      <c r="D30" s="15" t="s">
        <v>505</v>
      </c>
      <c r="E30" s="15" t="s">
        <v>409</v>
      </c>
      <c r="F30" s="15" t="s">
        <v>410</v>
      </c>
      <c r="G30" s="15" t="s">
        <v>506</v>
      </c>
      <c r="H30" s="15" t="s">
        <v>507</v>
      </c>
      <c r="I30" s="15" t="s">
        <v>508</v>
      </c>
      <c r="J30" s="15" t="s">
        <v>509</v>
      </c>
      <c r="K30" s="15" t="s">
        <v>65</v>
      </c>
      <c r="L30" s="15" t="s">
        <v>66</v>
      </c>
      <c r="M30" s="18">
        <v>3517</v>
      </c>
      <c r="N30" s="18">
        <v>-1726</v>
      </c>
      <c r="O30" s="19">
        <v>-0.7456</v>
      </c>
      <c r="P30" s="20" t="s">
        <v>67</v>
      </c>
      <c r="Q30" s="22" t="s">
        <v>510</v>
      </c>
      <c r="R30" s="18">
        <v>7719</v>
      </c>
      <c r="S30" s="19">
        <v>0.7129</v>
      </c>
      <c r="T30" s="18">
        <v>254649.83</v>
      </c>
      <c r="U30" s="23" t="s">
        <v>150</v>
      </c>
      <c r="V30" s="18">
        <v>16495</v>
      </c>
      <c r="W30" s="24">
        <v>50</v>
      </c>
      <c r="X30" s="25">
        <v>32.99</v>
      </c>
      <c r="Z30" s="23" t="s">
        <v>416</v>
      </c>
      <c r="AA30" s="18">
        <v>3</v>
      </c>
      <c r="AB30" s="24">
        <v>182</v>
      </c>
      <c r="AC30" s="18">
        <v>44</v>
      </c>
      <c r="AD30" s="28">
        <v>4</v>
      </c>
      <c r="AE30" s="29">
        <v>0.0057</v>
      </c>
      <c r="AF30" s="25">
        <v>6.27</v>
      </c>
      <c r="AG30" s="19">
        <v>0.6099</v>
      </c>
      <c r="AI30" s="14" t="s">
        <v>511</v>
      </c>
      <c r="AJ30" s="24">
        <v>415</v>
      </c>
      <c r="AK30" s="14" t="s">
        <v>92</v>
      </c>
      <c r="AL30" s="24">
        <v>9</v>
      </c>
      <c r="AM30" s="24">
        <v>1</v>
      </c>
      <c r="AN30" s="15" t="s">
        <v>409</v>
      </c>
      <c r="AO30" s="14" t="s">
        <v>92</v>
      </c>
      <c r="AP30" s="14" t="s">
        <v>94</v>
      </c>
      <c r="AQ30" s="15" t="s">
        <v>418</v>
      </c>
      <c r="AR30" s="14" t="s">
        <v>419</v>
      </c>
      <c r="AS30" s="14" t="s">
        <v>73</v>
      </c>
      <c r="AT30" s="14" t="s">
        <v>73</v>
      </c>
      <c r="AU30" s="14" t="s">
        <v>73</v>
      </c>
      <c r="AV30" s="14" t="s">
        <v>74</v>
      </c>
      <c r="AW30" s="14" t="s">
        <v>74</v>
      </c>
      <c r="AX30" s="14" t="s">
        <v>73</v>
      </c>
      <c r="AY30" s="14" t="s">
        <v>74</v>
      </c>
      <c r="AZ30" s="14" t="s">
        <v>73</v>
      </c>
      <c r="BA30" s="15" t="s">
        <v>73</v>
      </c>
      <c r="BC30" s="23" t="s">
        <v>403</v>
      </c>
      <c r="BD30" s="23" t="s">
        <v>404</v>
      </c>
      <c r="BE30" s="23" t="s">
        <v>512</v>
      </c>
      <c r="BF30" s="14" t="s">
        <v>513</v>
      </c>
    </row>
    <row r="31" ht="24" customHeight="1" spans="1:58">
      <c r="A31" s="14" t="str">
        <f>_xlfn.DISPIMG("ID_E27C185E0F694510A55CF65541A8655E",1)</f>
        <v>=DISPIMG("ID_E27C185E0F694510A55CF65541A8655E",1)</v>
      </c>
      <c r="B31" s="15" t="s">
        <v>514</v>
      </c>
      <c r="C31" s="15" t="s">
        <v>81</v>
      </c>
      <c r="D31" s="15" t="s">
        <v>73</v>
      </c>
      <c r="E31" s="15" t="s">
        <v>515</v>
      </c>
      <c r="F31" s="15" t="s">
        <v>516</v>
      </c>
      <c r="G31" s="15" t="s">
        <v>517</v>
      </c>
      <c r="H31" s="15" t="s">
        <v>518</v>
      </c>
      <c r="I31" s="15" t="s">
        <v>519</v>
      </c>
      <c r="J31" s="15" t="s">
        <v>520</v>
      </c>
      <c r="K31" s="15" t="s">
        <v>65</v>
      </c>
      <c r="L31" s="15" t="s">
        <v>66</v>
      </c>
      <c r="M31" s="18">
        <v>3561</v>
      </c>
      <c r="N31" s="18">
        <v>892</v>
      </c>
      <c r="O31" s="19">
        <v>0.1777</v>
      </c>
      <c r="P31" s="20" t="s">
        <v>67</v>
      </c>
      <c r="Q31" s="22" t="s">
        <v>521</v>
      </c>
      <c r="R31" s="18">
        <v>5507</v>
      </c>
      <c r="S31" s="19">
        <v>0.1929</v>
      </c>
      <c r="T31" s="18">
        <v>93563.93</v>
      </c>
      <c r="U31" s="23" t="s">
        <v>385</v>
      </c>
      <c r="V31" s="18">
        <v>10194</v>
      </c>
      <c r="W31" s="24">
        <v>54</v>
      </c>
      <c r="X31" s="25">
        <v>16.99</v>
      </c>
      <c r="Z31" s="7"/>
      <c r="AA31" s="18">
        <v>44</v>
      </c>
      <c r="AB31" s="24">
        <v>12605</v>
      </c>
      <c r="AC31" s="18">
        <v>0</v>
      </c>
      <c r="AD31" s="28">
        <v>4.3</v>
      </c>
      <c r="AE31" s="29">
        <v>0</v>
      </c>
      <c r="AF31" s="25">
        <v>5</v>
      </c>
      <c r="AG31" s="19">
        <v>0.5057</v>
      </c>
      <c r="AI31" s="14" t="s">
        <v>522</v>
      </c>
      <c r="AJ31" s="24">
        <v>1495</v>
      </c>
      <c r="AK31" s="14" t="s">
        <v>92</v>
      </c>
      <c r="AL31" s="24">
        <v>9</v>
      </c>
      <c r="AM31" s="24">
        <v>1</v>
      </c>
      <c r="AN31" s="15" t="s">
        <v>523</v>
      </c>
      <c r="AO31" s="14" t="s">
        <v>92</v>
      </c>
      <c r="AP31" s="14" t="s">
        <v>94</v>
      </c>
      <c r="AQ31" s="15" t="s">
        <v>524</v>
      </c>
      <c r="AR31" s="14" t="s">
        <v>525</v>
      </c>
      <c r="AS31" s="14" t="s">
        <v>74</v>
      </c>
      <c r="AT31" s="14" t="s">
        <v>73</v>
      </c>
      <c r="AU31" s="14" t="s">
        <v>73</v>
      </c>
      <c r="AV31" s="14" t="s">
        <v>74</v>
      </c>
      <c r="AW31" s="14" t="s">
        <v>74</v>
      </c>
      <c r="AX31" s="14" t="s">
        <v>73</v>
      </c>
      <c r="AY31" s="14" t="s">
        <v>74</v>
      </c>
      <c r="AZ31" s="14" t="s">
        <v>73</v>
      </c>
      <c r="BA31" s="15" t="s">
        <v>73</v>
      </c>
      <c r="BB31" s="7"/>
      <c r="BC31" s="23" t="s">
        <v>526</v>
      </c>
      <c r="BD31" s="23" t="s">
        <v>527</v>
      </c>
      <c r="BE31" s="23" t="s">
        <v>528</v>
      </c>
      <c r="BF31" s="14" t="s">
        <v>529</v>
      </c>
    </row>
    <row r="32" ht="24" customHeight="1" spans="1:58">
      <c r="A32" s="14" t="str">
        <f>_xlfn.DISPIMG("ID_B8CCCD09A4C14BA6AB487B70F945F6A1",1)</f>
        <v>=DISPIMG("ID_B8CCCD09A4C14BA6AB487B70F945F6A1",1)</v>
      </c>
      <c r="B32" s="15" t="s">
        <v>530</v>
      </c>
      <c r="C32" s="15" t="s">
        <v>531</v>
      </c>
      <c r="D32" s="15" t="s">
        <v>532</v>
      </c>
      <c r="E32" s="15" t="s">
        <v>533</v>
      </c>
      <c r="F32" s="15" t="s">
        <v>534</v>
      </c>
      <c r="G32" s="15" t="s">
        <v>535</v>
      </c>
      <c r="H32" s="15" t="s">
        <v>536</v>
      </c>
      <c r="I32" s="15" t="s">
        <v>537</v>
      </c>
      <c r="J32" s="15" t="s">
        <v>538</v>
      </c>
      <c r="K32" s="15" t="s">
        <v>65</v>
      </c>
      <c r="L32" s="15" t="s">
        <v>66</v>
      </c>
      <c r="M32" s="18">
        <v>3659</v>
      </c>
      <c r="N32" s="18">
        <v>1388</v>
      </c>
      <c r="O32" s="19">
        <v>0.2444</v>
      </c>
      <c r="P32" s="20" t="s">
        <v>67</v>
      </c>
      <c r="Q32" s="22" t="s">
        <v>539</v>
      </c>
      <c r="R32" s="18">
        <v>7456</v>
      </c>
      <c r="S32" s="19">
        <v>1.043</v>
      </c>
      <c r="T32" s="18">
        <v>260885.45</v>
      </c>
      <c r="U32" s="23" t="s">
        <v>321</v>
      </c>
      <c r="V32" s="18">
        <v>24493</v>
      </c>
      <c r="W32" s="24">
        <v>73</v>
      </c>
      <c r="X32" s="25">
        <v>34.99</v>
      </c>
      <c r="Z32" s="7"/>
      <c r="AA32" s="18">
        <v>221</v>
      </c>
      <c r="AB32" s="24">
        <v>19813</v>
      </c>
      <c r="AC32" s="18">
        <v>3</v>
      </c>
      <c r="AD32" s="28">
        <v>4.3</v>
      </c>
      <c r="AE32" s="29">
        <v>0.0004</v>
      </c>
      <c r="AF32" s="25">
        <v>6.27</v>
      </c>
      <c r="AG32" s="19">
        <v>0.6208</v>
      </c>
      <c r="AI32" s="14" t="s">
        <v>540</v>
      </c>
      <c r="AJ32" s="24">
        <v>2596</v>
      </c>
      <c r="AK32" s="14" t="s">
        <v>92</v>
      </c>
      <c r="AL32" s="24">
        <v>8.9</v>
      </c>
      <c r="AM32" s="24">
        <v>1</v>
      </c>
      <c r="AN32" s="15" t="s">
        <v>541</v>
      </c>
      <c r="AO32" s="14" t="s">
        <v>92</v>
      </c>
      <c r="AP32" s="14" t="s">
        <v>131</v>
      </c>
      <c r="AQ32" s="15" t="s">
        <v>542</v>
      </c>
      <c r="AR32" s="14" t="s">
        <v>543</v>
      </c>
      <c r="AS32" s="14" t="s">
        <v>73</v>
      </c>
      <c r="AT32" s="14" t="s">
        <v>73</v>
      </c>
      <c r="AU32" s="14" t="s">
        <v>73</v>
      </c>
      <c r="AV32" s="14" t="s">
        <v>74</v>
      </c>
      <c r="AW32" s="14" t="s">
        <v>74</v>
      </c>
      <c r="AX32" s="14" t="s">
        <v>73</v>
      </c>
      <c r="AY32" s="14" t="s">
        <v>74</v>
      </c>
      <c r="AZ32" s="14" t="s">
        <v>73</v>
      </c>
      <c r="BA32" s="15" t="s">
        <v>73</v>
      </c>
      <c r="BB32" s="7"/>
      <c r="BC32" s="23" t="s">
        <v>544</v>
      </c>
      <c r="BD32" s="23" t="s">
        <v>545</v>
      </c>
      <c r="BE32" s="23" t="s">
        <v>546</v>
      </c>
      <c r="BF32" s="14" t="s">
        <v>547</v>
      </c>
    </row>
    <row r="33" ht="24" customHeight="1" spans="1:58">
      <c r="A33" s="14" t="str">
        <f>_xlfn.DISPIMG("ID_AD8448CEAF4642709FADB5B597BE84DA",1)</f>
        <v>=DISPIMG("ID_AD8448CEAF4642709FADB5B597BE84DA",1)</v>
      </c>
      <c r="B33" s="15" t="s">
        <v>548</v>
      </c>
      <c r="C33" s="15" t="s">
        <v>549</v>
      </c>
      <c r="D33" s="15" t="s">
        <v>550</v>
      </c>
      <c r="E33" s="15" t="s">
        <v>551</v>
      </c>
      <c r="F33" s="15" t="s">
        <v>552</v>
      </c>
      <c r="G33" s="15" t="s">
        <v>553</v>
      </c>
      <c r="H33" s="15" t="s">
        <v>554</v>
      </c>
      <c r="I33" s="15" t="s">
        <v>555</v>
      </c>
      <c r="J33" s="15" t="s">
        <v>556</v>
      </c>
      <c r="K33" s="15" t="s">
        <v>65</v>
      </c>
      <c r="L33" s="15" t="s">
        <v>66</v>
      </c>
      <c r="M33" s="18">
        <v>4080</v>
      </c>
      <c r="N33" s="18">
        <v>-453</v>
      </c>
      <c r="O33" s="19">
        <v>-0.1249</v>
      </c>
      <c r="P33" s="20" t="s">
        <v>67</v>
      </c>
      <c r="Q33" s="22" t="s">
        <v>557</v>
      </c>
      <c r="R33" s="18">
        <v>13437</v>
      </c>
      <c r="S33" s="19">
        <v>0.0056</v>
      </c>
      <c r="T33" s="18">
        <v>335790.62</v>
      </c>
      <c r="U33" s="23" t="s">
        <v>166</v>
      </c>
      <c r="V33" s="18">
        <v>22491</v>
      </c>
      <c r="W33" s="24">
        <v>99</v>
      </c>
      <c r="X33" s="25">
        <v>24.99</v>
      </c>
      <c r="Z33" s="7"/>
      <c r="AA33" s="18">
        <v>26</v>
      </c>
      <c r="AB33" s="24">
        <v>4449</v>
      </c>
      <c r="AC33" s="18">
        <v>107</v>
      </c>
      <c r="AD33" s="28">
        <v>4.1</v>
      </c>
      <c r="AE33" s="29">
        <v>0.008</v>
      </c>
      <c r="AF33" s="25">
        <v>7.13</v>
      </c>
      <c r="AG33" s="19">
        <v>0.5147</v>
      </c>
      <c r="AI33" s="14" t="s">
        <v>558</v>
      </c>
      <c r="AJ33" s="24">
        <v>1192</v>
      </c>
      <c r="AK33" s="14" t="s">
        <v>92</v>
      </c>
      <c r="AL33" s="24">
        <v>9.5</v>
      </c>
      <c r="AM33" s="24">
        <v>1</v>
      </c>
      <c r="AN33" s="15" t="s">
        <v>559</v>
      </c>
      <c r="AO33" s="14" t="s">
        <v>92</v>
      </c>
      <c r="AP33" s="14" t="s">
        <v>94</v>
      </c>
      <c r="AQ33" s="15" t="s">
        <v>560</v>
      </c>
      <c r="AR33" s="14" t="s">
        <v>561</v>
      </c>
      <c r="AS33" s="14" t="s">
        <v>74</v>
      </c>
      <c r="AT33" s="14" t="s">
        <v>74</v>
      </c>
      <c r="AU33" s="14" t="s">
        <v>73</v>
      </c>
      <c r="AV33" s="14" t="s">
        <v>74</v>
      </c>
      <c r="AW33" s="14" t="s">
        <v>74</v>
      </c>
      <c r="AX33" s="14" t="s">
        <v>73</v>
      </c>
      <c r="AY33" s="14" t="s">
        <v>74</v>
      </c>
      <c r="AZ33" s="14" t="s">
        <v>73</v>
      </c>
      <c r="BA33" s="15" t="s">
        <v>73</v>
      </c>
      <c r="BB33" s="23" t="s">
        <v>562</v>
      </c>
      <c r="BC33" s="23" t="s">
        <v>563</v>
      </c>
      <c r="BD33" s="23" t="s">
        <v>564</v>
      </c>
      <c r="BE33" s="23" t="s">
        <v>565</v>
      </c>
      <c r="BF33" s="14" t="s">
        <v>566</v>
      </c>
    </row>
    <row r="34" ht="24" customHeight="1" spans="1:58">
      <c r="A34" s="14" t="str">
        <f>_xlfn.DISPIMG("ID_596A1A12E56C408881E05E5B6AB19018",1)</f>
        <v>=DISPIMG("ID_596A1A12E56C408881E05E5B6AB19018",1)</v>
      </c>
      <c r="B34" s="15" t="s">
        <v>567</v>
      </c>
      <c r="C34" s="15" t="s">
        <v>102</v>
      </c>
      <c r="D34" s="15" t="s">
        <v>568</v>
      </c>
      <c r="E34" s="15" t="s">
        <v>377</v>
      </c>
      <c r="F34" s="15" t="s">
        <v>378</v>
      </c>
      <c r="G34" s="15" t="s">
        <v>569</v>
      </c>
      <c r="H34" s="15" t="s">
        <v>570</v>
      </c>
      <c r="I34" s="15" t="s">
        <v>571</v>
      </c>
      <c r="J34" s="15" t="s">
        <v>572</v>
      </c>
      <c r="K34" s="15" t="s">
        <v>65</v>
      </c>
      <c r="L34" s="15" t="s">
        <v>66</v>
      </c>
      <c r="M34" s="18">
        <v>4566</v>
      </c>
      <c r="N34" s="18">
        <v>1074</v>
      </c>
      <c r="O34" s="19">
        <v>0.1974</v>
      </c>
      <c r="P34" s="20" t="s">
        <v>67</v>
      </c>
      <c r="Q34" s="22" t="s">
        <v>573</v>
      </c>
      <c r="R34" s="18">
        <v>7316</v>
      </c>
      <c r="S34" s="19">
        <v>-0.1967</v>
      </c>
      <c r="T34" s="18">
        <v>256060</v>
      </c>
      <c r="U34" s="23" t="s">
        <v>166</v>
      </c>
      <c r="V34" s="18">
        <v>35000</v>
      </c>
      <c r="W34" s="24">
        <v>116</v>
      </c>
      <c r="X34" s="25">
        <v>35</v>
      </c>
      <c r="Z34" s="7"/>
      <c r="AA34" s="18">
        <v>40</v>
      </c>
      <c r="AB34" s="24">
        <v>6295</v>
      </c>
      <c r="AC34" s="18">
        <v>88</v>
      </c>
      <c r="AD34" s="28">
        <v>4.4</v>
      </c>
      <c r="AE34" s="29">
        <v>0.012</v>
      </c>
      <c r="AF34" s="25">
        <v>6.53</v>
      </c>
      <c r="AG34" s="19">
        <v>0.6134</v>
      </c>
      <c r="AI34" s="14" t="s">
        <v>574</v>
      </c>
      <c r="AJ34" s="24">
        <v>2353</v>
      </c>
      <c r="AK34" s="14" t="s">
        <v>92</v>
      </c>
      <c r="AL34" s="24">
        <v>9</v>
      </c>
      <c r="AM34" s="24">
        <v>1</v>
      </c>
      <c r="AN34" s="15" t="s">
        <v>377</v>
      </c>
      <c r="AO34" s="14" t="s">
        <v>92</v>
      </c>
      <c r="AP34" s="14" t="s">
        <v>94</v>
      </c>
      <c r="AQ34" s="15" t="s">
        <v>387</v>
      </c>
      <c r="AR34" s="14" t="s">
        <v>388</v>
      </c>
      <c r="AS34" s="14" t="s">
        <v>74</v>
      </c>
      <c r="AT34" s="14" t="s">
        <v>74</v>
      </c>
      <c r="AU34" s="14" t="s">
        <v>73</v>
      </c>
      <c r="AV34" s="14" t="s">
        <v>74</v>
      </c>
      <c r="AW34" s="14" t="s">
        <v>73</v>
      </c>
      <c r="AX34" s="14" t="s">
        <v>73</v>
      </c>
      <c r="AY34" s="14" t="s">
        <v>74</v>
      </c>
      <c r="AZ34" s="14" t="s">
        <v>73</v>
      </c>
      <c r="BA34" s="15" t="s">
        <v>73</v>
      </c>
      <c r="BB34" s="23" t="s">
        <v>575</v>
      </c>
      <c r="BC34" s="23" t="s">
        <v>576</v>
      </c>
      <c r="BD34" s="23" t="s">
        <v>577</v>
      </c>
      <c r="BE34" s="23" t="s">
        <v>578</v>
      </c>
      <c r="BF34" s="14" t="s">
        <v>579</v>
      </c>
    </row>
    <row r="35" ht="24" customHeight="1" spans="1:58">
      <c r="A35" s="14" t="str">
        <f>_xlfn.DISPIMG("ID_8F0B719A2D37463E880A0411B854D7C0",1)</f>
        <v>=DISPIMG("ID_8F0B719A2D37463E880A0411B854D7C0",1)</v>
      </c>
      <c r="B35" s="15" t="s">
        <v>580</v>
      </c>
      <c r="C35" s="15" t="s">
        <v>581</v>
      </c>
      <c r="D35" s="15" t="s">
        <v>582</v>
      </c>
      <c r="E35" s="15" t="s">
        <v>583</v>
      </c>
      <c r="F35" s="15" t="s">
        <v>584</v>
      </c>
      <c r="G35" s="15" t="s">
        <v>585</v>
      </c>
      <c r="H35" s="15" t="s">
        <v>586</v>
      </c>
      <c r="I35" s="15" t="s">
        <v>587</v>
      </c>
      <c r="J35" s="15" t="s">
        <v>588</v>
      </c>
      <c r="K35" s="15" t="s">
        <v>65</v>
      </c>
      <c r="L35" s="15" t="s">
        <v>66</v>
      </c>
      <c r="M35" s="18">
        <v>4756</v>
      </c>
      <c r="N35" s="18">
        <v>3063</v>
      </c>
      <c r="O35" s="19">
        <v>0.3638</v>
      </c>
      <c r="P35" s="20" t="s">
        <v>383</v>
      </c>
      <c r="Q35" s="22" t="s">
        <v>589</v>
      </c>
      <c r="R35" s="18">
        <v>5855</v>
      </c>
      <c r="S35" s="19">
        <v>0.1214</v>
      </c>
      <c r="T35" s="18">
        <v>175591.45</v>
      </c>
      <c r="U35" s="23" t="s">
        <v>450</v>
      </c>
      <c r="V35" s="18">
        <v>8997</v>
      </c>
      <c r="W35" s="24">
        <v>263</v>
      </c>
      <c r="X35" s="25">
        <v>29.99</v>
      </c>
      <c r="Z35" s="23" t="s">
        <v>590</v>
      </c>
      <c r="AA35" s="18">
        <v>32</v>
      </c>
      <c r="AB35" s="24">
        <v>3965</v>
      </c>
      <c r="AC35" s="18">
        <v>68</v>
      </c>
      <c r="AD35" s="28">
        <v>4.4</v>
      </c>
      <c r="AE35" s="29">
        <v>0.0116</v>
      </c>
      <c r="AF35" s="25">
        <v>4.67</v>
      </c>
      <c r="AG35" s="19">
        <v>0.6443</v>
      </c>
      <c r="AI35" s="14" t="s">
        <v>591</v>
      </c>
      <c r="AJ35" s="24">
        <v>1473</v>
      </c>
      <c r="AK35" s="14" t="s">
        <v>92</v>
      </c>
      <c r="AL35" s="24">
        <v>9</v>
      </c>
      <c r="AM35" s="24">
        <v>1</v>
      </c>
      <c r="AN35" s="15" t="s">
        <v>592</v>
      </c>
      <c r="AO35" s="14" t="s">
        <v>92</v>
      </c>
      <c r="AP35" s="14" t="s">
        <v>94</v>
      </c>
      <c r="AQ35" s="15" t="s">
        <v>593</v>
      </c>
      <c r="AR35" s="14" t="s">
        <v>594</v>
      </c>
      <c r="AS35" s="14" t="s">
        <v>73</v>
      </c>
      <c r="AT35" s="14" t="s">
        <v>74</v>
      </c>
      <c r="AU35" s="14" t="s">
        <v>73</v>
      </c>
      <c r="AV35" s="14" t="s">
        <v>74</v>
      </c>
      <c r="AW35" s="14" t="s">
        <v>74</v>
      </c>
      <c r="AX35" s="14" t="s">
        <v>73</v>
      </c>
      <c r="AY35" s="14" t="s">
        <v>74</v>
      </c>
      <c r="AZ35" s="14" t="s">
        <v>73</v>
      </c>
      <c r="BA35" s="15" t="s">
        <v>73</v>
      </c>
      <c r="BB35" s="23" t="s">
        <v>73</v>
      </c>
      <c r="BC35" s="23" t="s">
        <v>595</v>
      </c>
      <c r="BD35" s="23" t="s">
        <v>596</v>
      </c>
      <c r="BE35" s="23" t="s">
        <v>597</v>
      </c>
      <c r="BF35" s="14" t="s">
        <v>598</v>
      </c>
    </row>
    <row r="36" ht="24" customHeight="1" spans="1:58">
      <c r="A36" s="14" t="str">
        <f>_xlfn.DISPIMG("ID_C38E60B945B142E18EAD6F8ADF26B603",1)</f>
        <v>=DISPIMG("ID_C38E60B945B142E18EAD6F8ADF26B603",1)</v>
      </c>
      <c r="B36" s="15" t="s">
        <v>599</v>
      </c>
      <c r="C36" s="15" t="s">
        <v>600</v>
      </c>
      <c r="D36" s="15" t="s">
        <v>601</v>
      </c>
      <c r="E36" s="15" t="s">
        <v>602</v>
      </c>
      <c r="F36" s="15" t="s">
        <v>603</v>
      </c>
      <c r="G36" s="15" t="s">
        <v>604</v>
      </c>
      <c r="H36" s="15" t="s">
        <v>605</v>
      </c>
      <c r="I36" s="15" t="s">
        <v>606</v>
      </c>
      <c r="J36" s="15" t="s">
        <v>607</v>
      </c>
      <c r="K36" s="15" t="s">
        <v>65</v>
      </c>
      <c r="L36" s="15" t="s">
        <v>66</v>
      </c>
      <c r="M36" s="18">
        <v>4847</v>
      </c>
      <c r="N36" s="18">
        <v>1186</v>
      </c>
      <c r="O36" s="19">
        <v>0.1398</v>
      </c>
      <c r="P36" s="20" t="s">
        <v>67</v>
      </c>
      <c r="Q36" s="22" t="s">
        <v>608</v>
      </c>
      <c r="R36" s="18">
        <v>5397</v>
      </c>
      <c r="S36" s="19">
        <v>0.9048</v>
      </c>
      <c r="T36" s="18">
        <v>75558</v>
      </c>
      <c r="U36" s="23" t="s">
        <v>111</v>
      </c>
      <c r="V36" s="18">
        <v>14000</v>
      </c>
      <c r="W36" s="24">
        <v>15</v>
      </c>
      <c r="X36" s="25">
        <v>14</v>
      </c>
      <c r="Z36" s="7"/>
      <c r="AA36" s="18">
        <v>53</v>
      </c>
      <c r="AB36" s="24">
        <v>12325</v>
      </c>
      <c r="AC36" s="18">
        <v>38</v>
      </c>
      <c r="AD36" s="28">
        <v>4.3</v>
      </c>
      <c r="AE36" s="29">
        <v>0.007</v>
      </c>
      <c r="AF36" s="25">
        <v>7.13</v>
      </c>
      <c r="AG36" s="19">
        <v>0.2907</v>
      </c>
      <c r="AI36" s="14" t="s">
        <v>609</v>
      </c>
      <c r="AJ36" s="24">
        <v>3318</v>
      </c>
      <c r="AK36" s="14" t="s">
        <v>71</v>
      </c>
      <c r="AL36" s="24">
        <v>7</v>
      </c>
      <c r="AM36" s="24">
        <v>4</v>
      </c>
      <c r="AN36" s="15" t="s">
        <v>72</v>
      </c>
      <c r="AO36" s="14" t="s">
        <v>71</v>
      </c>
      <c r="AP36" s="14" t="s">
        <v>73</v>
      </c>
      <c r="AQ36" s="15" t="s">
        <v>73</v>
      </c>
      <c r="AR36" s="14" t="s">
        <v>73</v>
      </c>
      <c r="AS36" s="14" t="s">
        <v>73</v>
      </c>
      <c r="AT36" s="14" t="s">
        <v>74</v>
      </c>
      <c r="AU36" s="14" t="s">
        <v>73</v>
      </c>
      <c r="AV36" s="14" t="s">
        <v>73</v>
      </c>
      <c r="AW36" s="14" t="s">
        <v>73</v>
      </c>
      <c r="AX36" s="14" t="s">
        <v>73</v>
      </c>
      <c r="AY36" s="14" t="s">
        <v>73</v>
      </c>
      <c r="AZ36" s="14" t="s">
        <v>73</v>
      </c>
      <c r="BA36" s="15" t="s">
        <v>73</v>
      </c>
      <c r="BB36" s="23" t="s">
        <v>73</v>
      </c>
      <c r="BC36" s="23" t="s">
        <v>171</v>
      </c>
      <c r="BD36" s="23" t="s">
        <v>172</v>
      </c>
      <c r="BE36" s="23" t="s">
        <v>610</v>
      </c>
      <c r="BF36" s="14" t="s">
        <v>611</v>
      </c>
    </row>
    <row r="37" ht="24" customHeight="1" spans="1:58">
      <c r="A37" s="14" t="str">
        <f>_xlfn.DISPIMG("ID_0CED576E5C5B4E16BA65FA19E04C0818",1)</f>
        <v>=DISPIMG("ID_0CED576E5C5B4E16BA65FA19E04C0818",1)</v>
      </c>
      <c r="B37" s="15" t="s">
        <v>612</v>
      </c>
      <c r="C37" s="15" t="s">
        <v>73</v>
      </c>
      <c r="D37" s="15" t="s">
        <v>73</v>
      </c>
      <c r="E37" s="15" t="s">
        <v>613</v>
      </c>
      <c r="F37" s="15" t="s">
        <v>614</v>
      </c>
      <c r="G37" s="15" t="s">
        <v>615</v>
      </c>
      <c r="H37" s="15" t="s">
        <v>616</v>
      </c>
      <c r="I37" s="15" t="s">
        <v>617</v>
      </c>
      <c r="J37" s="15" t="s">
        <v>612</v>
      </c>
      <c r="K37" s="15" t="s">
        <v>65</v>
      </c>
      <c r="L37" s="15" t="s">
        <v>66</v>
      </c>
      <c r="M37" s="18">
        <v>5270</v>
      </c>
      <c r="N37" s="18">
        <v>927</v>
      </c>
      <c r="O37" s="19">
        <v>0.1496</v>
      </c>
      <c r="P37" s="20" t="s">
        <v>67</v>
      </c>
      <c r="Q37" s="22" t="s">
        <v>618</v>
      </c>
      <c r="R37" s="18">
        <v>5100</v>
      </c>
      <c r="S37" s="19">
        <v>0.4928</v>
      </c>
      <c r="T37" s="18">
        <v>147849</v>
      </c>
      <c r="U37" s="23" t="s">
        <v>247</v>
      </c>
      <c r="V37" s="18">
        <v>2899</v>
      </c>
      <c r="W37" s="24">
        <v>110</v>
      </c>
      <c r="X37" s="25">
        <v>28.99</v>
      </c>
      <c r="AA37" s="18">
        <v>47</v>
      </c>
      <c r="AB37" s="24">
        <v>6513</v>
      </c>
      <c r="AC37" s="18">
        <v>26</v>
      </c>
      <c r="AD37" s="28">
        <v>4.2</v>
      </c>
      <c r="AE37" s="29">
        <v>0.0051</v>
      </c>
      <c r="AF37" s="25">
        <v>6.05</v>
      </c>
      <c r="AG37" s="19">
        <v>0.5758</v>
      </c>
      <c r="AI37" s="14" t="s">
        <v>619</v>
      </c>
      <c r="AJ37" s="24">
        <v>1311</v>
      </c>
      <c r="AK37" s="14" t="s">
        <v>92</v>
      </c>
      <c r="AL37" s="24">
        <v>10</v>
      </c>
      <c r="AM37" s="24">
        <v>1</v>
      </c>
      <c r="AN37" s="15" t="s">
        <v>613</v>
      </c>
      <c r="AO37" s="14" t="s">
        <v>92</v>
      </c>
      <c r="AP37" s="14" t="s">
        <v>94</v>
      </c>
      <c r="AQ37" s="15" t="s">
        <v>620</v>
      </c>
      <c r="AR37" s="14" t="s">
        <v>621</v>
      </c>
      <c r="AS37" s="14" t="s">
        <v>73</v>
      </c>
      <c r="AT37" s="14" t="s">
        <v>74</v>
      </c>
      <c r="AU37" s="14" t="s">
        <v>73</v>
      </c>
      <c r="AV37" s="14" t="s">
        <v>74</v>
      </c>
      <c r="AW37" s="14" t="s">
        <v>74</v>
      </c>
      <c r="AX37" s="14" t="s">
        <v>73</v>
      </c>
      <c r="AY37" s="14" t="s">
        <v>73</v>
      </c>
      <c r="AZ37" s="14" t="s">
        <v>73</v>
      </c>
      <c r="BA37" s="15" t="s">
        <v>73</v>
      </c>
      <c r="BB37" s="23" t="s">
        <v>622</v>
      </c>
      <c r="BC37" s="23" t="s">
        <v>623</v>
      </c>
      <c r="BD37" s="23" t="s">
        <v>624</v>
      </c>
      <c r="BE37" s="23" t="s">
        <v>625</v>
      </c>
      <c r="BF37" s="14" t="s">
        <v>626</v>
      </c>
    </row>
    <row r="38" ht="24" customHeight="1" spans="1:58">
      <c r="A38" s="14" t="str">
        <f>_xlfn.DISPIMG("ID_F4D53785C67B404BA330631A2308445C",1)</f>
        <v>=DISPIMG("ID_F4D53785C67B404BA330631A2308445C",1)</v>
      </c>
      <c r="B38" s="15" t="s">
        <v>627</v>
      </c>
      <c r="C38" s="15" t="s">
        <v>209</v>
      </c>
      <c r="D38" s="15" t="s">
        <v>628</v>
      </c>
      <c r="E38" s="15" t="s">
        <v>629</v>
      </c>
      <c r="F38" s="15" t="s">
        <v>630</v>
      </c>
      <c r="G38" s="15" t="s">
        <v>631</v>
      </c>
      <c r="H38" s="15" t="s">
        <v>632</v>
      </c>
      <c r="I38" s="15" t="s">
        <v>633</v>
      </c>
      <c r="J38" s="15" t="s">
        <v>634</v>
      </c>
      <c r="K38" s="15" t="s">
        <v>65</v>
      </c>
      <c r="L38" s="15" t="s">
        <v>66</v>
      </c>
      <c r="M38" s="18">
        <v>5285</v>
      </c>
      <c r="N38" s="18">
        <v>224</v>
      </c>
      <c r="O38" s="19">
        <v>0.0407</v>
      </c>
      <c r="P38" s="20" t="s">
        <v>67</v>
      </c>
      <c r="Q38" s="22" t="s">
        <v>635</v>
      </c>
      <c r="R38" s="18">
        <v>7283</v>
      </c>
      <c r="S38" s="19">
        <v>0.5734</v>
      </c>
      <c r="T38" s="18">
        <v>218417.17</v>
      </c>
      <c r="U38" s="23" t="s">
        <v>150</v>
      </c>
      <c r="V38" s="18">
        <v>14995</v>
      </c>
      <c r="W38" s="24">
        <v>49</v>
      </c>
      <c r="X38" s="25">
        <v>29.99</v>
      </c>
      <c r="Z38" s="7"/>
      <c r="AA38" s="18">
        <v>29</v>
      </c>
      <c r="AB38" s="24">
        <v>5574</v>
      </c>
      <c r="AC38" s="18">
        <v>43</v>
      </c>
      <c r="AD38" s="28">
        <v>4.3</v>
      </c>
      <c r="AE38" s="29">
        <v>0.0059</v>
      </c>
      <c r="AF38" s="25">
        <v>6.44</v>
      </c>
      <c r="AG38" s="19">
        <v>0.5853</v>
      </c>
      <c r="AI38" s="14" t="s">
        <v>636</v>
      </c>
      <c r="AJ38" s="24">
        <v>1579</v>
      </c>
      <c r="AK38" s="14" t="s">
        <v>92</v>
      </c>
      <c r="AL38" s="24">
        <v>8.9</v>
      </c>
      <c r="AM38" s="24">
        <v>1</v>
      </c>
      <c r="AN38" s="15" t="s">
        <v>629</v>
      </c>
      <c r="AO38" s="14" t="s">
        <v>92</v>
      </c>
      <c r="AP38" s="14" t="s">
        <v>94</v>
      </c>
      <c r="AQ38" s="15" t="s">
        <v>637</v>
      </c>
      <c r="AR38" s="14" t="s">
        <v>638</v>
      </c>
      <c r="AS38" s="14" t="s">
        <v>73</v>
      </c>
      <c r="AT38" s="14" t="s">
        <v>74</v>
      </c>
      <c r="AU38" s="14" t="s">
        <v>73</v>
      </c>
      <c r="AV38" s="14" t="s">
        <v>74</v>
      </c>
      <c r="AW38" s="14" t="s">
        <v>74</v>
      </c>
      <c r="AX38" s="14" t="s">
        <v>73</v>
      </c>
      <c r="AY38" s="14" t="s">
        <v>74</v>
      </c>
      <c r="AZ38" s="14" t="s">
        <v>73</v>
      </c>
      <c r="BA38" s="15" t="s">
        <v>73</v>
      </c>
      <c r="BB38" s="23" t="s">
        <v>73</v>
      </c>
      <c r="BC38" s="23" t="s">
        <v>639</v>
      </c>
      <c r="BD38" s="23" t="s">
        <v>640</v>
      </c>
      <c r="BE38" s="23" t="s">
        <v>641</v>
      </c>
      <c r="BF38" s="14" t="s">
        <v>642</v>
      </c>
    </row>
    <row r="39" ht="24" customHeight="1" spans="1:58">
      <c r="A39" s="14" t="str">
        <f>_xlfn.DISPIMG("ID_2D25D08BC43A433C871D15CC2B03D6C6",1)</f>
        <v>=DISPIMG("ID_2D25D08BC43A433C871D15CC2B03D6C6",1)</v>
      </c>
      <c r="B39" s="15" t="s">
        <v>643</v>
      </c>
      <c r="C39" s="15" t="s">
        <v>549</v>
      </c>
      <c r="D39" s="15" t="s">
        <v>644</v>
      </c>
      <c r="E39" s="15" t="s">
        <v>493</v>
      </c>
      <c r="F39" s="15" t="s">
        <v>494</v>
      </c>
      <c r="G39" s="15" t="s">
        <v>645</v>
      </c>
      <c r="H39" s="15" t="s">
        <v>646</v>
      </c>
      <c r="I39" s="15" t="s">
        <v>647</v>
      </c>
      <c r="J39" s="15" t="s">
        <v>648</v>
      </c>
      <c r="K39" s="15" t="s">
        <v>65</v>
      </c>
      <c r="L39" s="15" t="s">
        <v>66</v>
      </c>
      <c r="M39" s="18">
        <v>5346</v>
      </c>
      <c r="N39" s="18">
        <v>1378</v>
      </c>
      <c r="O39" s="19">
        <v>0.2049</v>
      </c>
      <c r="P39" s="20" t="s">
        <v>67</v>
      </c>
      <c r="Q39" s="22" t="s">
        <v>649</v>
      </c>
      <c r="R39" s="18">
        <v>5668</v>
      </c>
      <c r="S39" s="19">
        <v>1.2167</v>
      </c>
      <c r="T39" s="18">
        <v>186987.33</v>
      </c>
      <c r="U39" s="23" t="s">
        <v>321</v>
      </c>
      <c r="V39" s="18">
        <v>23093</v>
      </c>
      <c r="W39" s="24">
        <v>30</v>
      </c>
      <c r="X39" s="25">
        <v>32.99</v>
      </c>
      <c r="Z39" s="23" t="s">
        <v>401</v>
      </c>
      <c r="AA39" s="8"/>
      <c r="AB39" s="24">
        <v>40</v>
      </c>
      <c r="AC39" s="18">
        <v>17</v>
      </c>
      <c r="AD39" s="28">
        <v>4.2</v>
      </c>
      <c r="AE39" s="29">
        <v>0.003</v>
      </c>
      <c r="AF39" s="25">
        <v>7.53</v>
      </c>
      <c r="AG39" s="19">
        <v>0.5718</v>
      </c>
      <c r="AI39" s="14" t="s">
        <v>650</v>
      </c>
      <c r="AJ39" s="24">
        <v>95</v>
      </c>
      <c r="AK39" s="14" t="s">
        <v>92</v>
      </c>
      <c r="AL39" s="24">
        <v>8</v>
      </c>
      <c r="AM39" s="24">
        <v>1</v>
      </c>
      <c r="AN39" s="15" t="s">
        <v>501</v>
      </c>
      <c r="AO39" s="14" t="s">
        <v>92</v>
      </c>
      <c r="AP39" s="14" t="s">
        <v>94</v>
      </c>
      <c r="AQ39" s="15" t="s">
        <v>502</v>
      </c>
      <c r="AR39" s="14" t="s">
        <v>503</v>
      </c>
      <c r="AS39" s="14" t="s">
        <v>73</v>
      </c>
      <c r="AT39" s="14" t="s">
        <v>74</v>
      </c>
      <c r="AU39" s="14" t="s">
        <v>74</v>
      </c>
      <c r="AV39" s="14" t="s">
        <v>73</v>
      </c>
      <c r="AW39" s="14" t="s">
        <v>73</v>
      </c>
      <c r="AX39" s="14" t="s">
        <v>73</v>
      </c>
      <c r="AY39" s="14" t="s">
        <v>73</v>
      </c>
      <c r="AZ39" s="14" t="s">
        <v>73</v>
      </c>
      <c r="BA39" s="15" t="s">
        <v>73</v>
      </c>
      <c r="BB39" s="23" t="s">
        <v>73</v>
      </c>
      <c r="BC39" s="23" t="s">
        <v>651</v>
      </c>
      <c r="BD39" s="23" t="s">
        <v>652</v>
      </c>
      <c r="BE39" s="23" t="s">
        <v>653</v>
      </c>
      <c r="BF39" s="14" t="s">
        <v>654</v>
      </c>
    </row>
    <row r="40" ht="24" customHeight="1" spans="1:58">
      <c r="A40" s="14" t="str">
        <f>_xlfn.DISPIMG("ID_8A11C87EBBE64AF8BBD534E9028AE4B3",1)</f>
        <v>=DISPIMG("ID_8A11C87EBBE64AF8BBD534E9028AE4B3",1)</v>
      </c>
      <c r="B40" s="15" t="s">
        <v>655</v>
      </c>
      <c r="C40" s="15" t="s">
        <v>656</v>
      </c>
      <c r="D40" s="15" t="s">
        <v>657</v>
      </c>
      <c r="E40" s="15" t="s">
        <v>658</v>
      </c>
      <c r="F40" s="15" t="s">
        <v>659</v>
      </c>
      <c r="G40" s="15" t="s">
        <v>660</v>
      </c>
      <c r="H40" s="15" t="s">
        <v>661</v>
      </c>
      <c r="I40" s="15" t="s">
        <v>662</v>
      </c>
      <c r="J40" s="15" t="s">
        <v>663</v>
      </c>
      <c r="K40" s="15" t="s">
        <v>65</v>
      </c>
      <c r="L40" s="15" t="s">
        <v>66</v>
      </c>
      <c r="M40" s="18">
        <v>5386</v>
      </c>
      <c r="N40" s="18">
        <v>1003</v>
      </c>
      <c r="O40" s="19">
        <v>0.138</v>
      </c>
      <c r="P40" s="20" t="s">
        <v>67</v>
      </c>
      <c r="Q40" s="22" t="s">
        <v>664</v>
      </c>
      <c r="R40" s="18">
        <v>7185</v>
      </c>
      <c r="S40" s="19">
        <v>0.4272</v>
      </c>
      <c r="T40" s="18">
        <v>237033.16</v>
      </c>
      <c r="U40" s="23" t="s">
        <v>450</v>
      </c>
      <c r="V40" s="18">
        <v>9897</v>
      </c>
      <c r="W40" s="24">
        <v>93</v>
      </c>
      <c r="X40" s="25">
        <v>32.99</v>
      </c>
      <c r="Y40" s="10"/>
      <c r="Z40" s="7"/>
      <c r="AA40" s="18">
        <v>172</v>
      </c>
      <c r="AB40" s="24">
        <v>897</v>
      </c>
      <c r="AC40" s="18">
        <v>72</v>
      </c>
      <c r="AD40" s="28">
        <v>4.2</v>
      </c>
      <c r="AE40" s="29">
        <v>0.01</v>
      </c>
      <c r="AF40" s="25">
        <v>6.19</v>
      </c>
      <c r="AG40" s="19">
        <v>0.6124</v>
      </c>
      <c r="AI40" s="14" t="s">
        <v>665</v>
      </c>
      <c r="AJ40" s="24">
        <v>367</v>
      </c>
      <c r="AK40" s="14" t="s">
        <v>92</v>
      </c>
      <c r="AL40" s="24">
        <v>10</v>
      </c>
      <c r="AM40" s="24">
        <v>1</v>
      </c>
      <c r="AN40" s="15" t="s">
        <v>666</v>
      </c>
      <c r="AO40" s="14" t="s">
        <v>92</v>
      </c>
      <c r="AP40" s="14" t="s">
        <v>131</v>
      </c>
      <c r="AQ40" s="15" t="s">
        <v>667</v>
      </c>
      <c r="AR40" s="14" t="s">
        <v>668</v>
      </c>
      <c r="AS40" s="14" t="s">
        <v>73</v>
      </c>
      <c r="AT40" s="14" t="s">
        <v>73</v>
      </c>
      <c r="AU40" s="14" t="s">
        <v>73</v>
      </c>
      <c r="AV40" s="14" t="s">
        <v>74</v>
      </c>
      <c r="AW40" s="14" t="s">
        <v>74</v>
      </c>
      <c r="AX40" s="14" t="s">
        <v>73</v>
      </c>
      <c r="AY40" s="14" t="s">
        <v>74</v>
      </c>
      <c r="AZ40" s="14" t="s">
        <v>73</v>
      </c>
      <c r="BA40" s="15" t="s">
        <v>73</v>
      </c>
      <c r="BB40" s="7"/>
      <c r="BC40" s="23" t="s">
        <v>669</v>
      </c>
      <c r="BD40" s="23" t="s">
        <v>670</v>
      </c>
      <c r="BE40" s="23" t="s">
        <v>671</v>
      </c>
      <c r="BF40" s="14" t="s">
        <v>672</v>
      </c>
    </row>
    <row r="41" ht="24" customHeight="1" spans="1:58">
      <c r="A41" s="14" t="str">
        <f>_xlfn.DISPIMG("ID_7B596DDA552F44F08752C5994B18E2BD",1)</f>
        <v>=DISPIMG("ID_7B596DDA552F44F08752C5994B18E2BD",1)</v>
      </c>
      <c r="B41" s="15" t="s">
        <v>673</v>
      </c>
      <c r="C41" s="15" t="s">
        <v>674</v>
      </c>
      <c r="D41" s="15" t="s">
        <v>120</v>
      </c>
      <c r="E41" s="15" t="s">
        <v>675</v>
      </c>
      <c r="F41" s="15" t="s">
        <v>676</v>
      </c>
      <c r="G41" s="15" t="s">
        <v>677</v>
      </c>
      <c r="H41" s="15" t="s">
        <v>678</v>
      </c>
      <c r="I41" s="15" t="s">
        <v>679</v>
      </c>
      <c r="J41" s="15" t="s">
        <v>680</v>
      </c>
      <c r="K41" s="15" t="s">
        <v>65</v>
      </c>
      <c r="L41" s="15" t="s">
        <v>66</v>
      </c>
      <c r="M41" s="18">
        <v>5527</v>
      </c>
      <c r="N41" s="18">
        <v>2975</v>
      </c>
      <c r="O41" s="19">
        <v>0.3499</v>
      </c>
      <c r="P41" s="20" t="s">
        <v>67</v>
      </c>
      <c r="Q41" s="22" t="s">
        <v>681</v>
      </c>
      <c r="R41" s="18">
        <v>5358</v>
      </c>
      <c r="S41" s="19">
        <v>2.8062</v>
      </c>
      <c r="T41" s="18">
        <v>112464.42</v>
      </c>
      <c r="U41" s="23" t="s">
        <v>230</v>
      </c>
      <c r="V41" s="18">
        <v>16792</v>
      </c>
      <c r="W41" s="24">
        <v>34</v>
      </c>
      <c r="X41" s="25">
        <v>20.99</v>
      </c>
      <c r="Y41" s="25">
        <v>18.89</v>
      </c>
      <c r="Z41" s="7"/>
      <c r="AA41" s="18">
        <v>7</v>
      </c>
      <c r="AB41" s="24">
        <v>241</v>
      </c>
      <c r="AC41" s="18">
        <v>32</v>
      </c>
      <c r="AD41" s="28">
        <v>4.6</v>
      </c>
      <c r="AE41" s="29">
        <v>0.006</v>
      </c>
      <c r="AF41" s="25">
        <v>6.44</v>
      </c>
      <c r="AG41" s="19">
        <v>0.4932</v>
      </c>
      <c r="AI41" s="14" t="s">
        <v>682</v>
      </c>
      <c r="AJ41" s="24">
        <v>413</v>
      </c>
      <c r="AK41" s="14" t="s">
        <v>92</v>
      </c>
      <c r="AL41" s="24">
        <v>9.8</v>
      </c>
      <c r="AM41" s="24">
        <v>1</v>
      </c>
      <c r="AN41" s="15" t="s">
        <v>683</v>
      </c>
      <c r="AO41" s="14" t="s">
        <v>92</v>
      </c>
      <c r="AP41" s="14" t="s">
        <v>94</v>
      </c>
      <c r="AQ41" s="15" t="s">
        <v>684</v>
      </c>
      <c r="AR41" s="14" t="s">
        <v>685</v>
      </c>
      <c r="AS41" s="14" t="s">
        <v>73</v>
      </c>
      <c r="AT41" s="14" t="s">
        <v>74</v>
      </c>
      <c r="AU41" s="14" t="s">
        <v>73</v>
      </c>
      <c r="AV41" s="14" t="s">
        <v>74</v>
      </c>
      <c r="AW41" s="14" t="s">
        <v>74</v>
      </c>
      <c r="AX41" s="14" t="s">
        <v>73</v>
      </c>
      <c r="AY41" s="14" t="s">
        <v>74</v>
      </c>
      <c r="AZ41" s="14" t="s">
        <v>73</v>
      </c>
      <c r="BA41" s="15" t="s">
        <v>73</v>
      </c>
      <c r="BB41" s="23" t="s">
        <v>73</v>
      </c>
      <c r="BC41" s="23" t="s">
        <v>686</v>
      </c>
      <c r="BD41" s="23" t="s">
        <v>687</v>
      </c>
      <c r="BE41" s="23" t="s">
        <v>688</v>
      </c>
      <c r="BF41" s="14" t="s">
        <v>689</v>
      </c>
    </row>
    <row r="42" ht="24" customHeight="1" spans="1:58">
      <c r="A42" s="14" t="str">
        <f>_xlfn.DISPIMG("ID_F9959129AB614604B1993BB41C9E7D14",1)</f>
        <v>=DISPIMG("ID_F9959129AB614604B1993BB41C9E7D14",1)</v>
      </c>
      <c r="B42" s="15" t="s">
        <v>690</v>
      </c>
      <c r="C42" s="15" t="s">
        <v>81</v>
      </c>
      <c r="D42" s="15" t="s">
        <v>691</v>
      </c>
      <c r="E42" s="15" t="s">
        <v>59</v>
      </c>
      <c r="F42" s="15" t="s">
        <v>60</v>
      </c>
      <c r="G42" s="15" t="s">
        <v>692</v>
      </c>
      <c r="H42" s="15" t="s">
        <v>693</v>
      </c>
      <c r="I42" s="15" t="s">
        <v>694</v>
      </c>
      <c r="J42" s="15" t="s">
        <v>695</v>
      </c>
      <c r="K42" s="15" t="s">
        <v>65</v>
      </c>
      <c r="L42" s="15" t="s">
        <v>66</v>
      </c>
      <c r="M42" s="18">
        <v>5604</v>
      </c>
      <c r="N42" s="18">
        <v>7067</v>
      </c>
      <c r="O42" s="19">
        <v>0.5119</v>
      </c>
      <c r="P42" s="20" t="s">
        <v>67</v>
      </c>
      <c r="Q42" s="22" t="s">
        <v>696</v>
      </c>
      <c r="R42" s="18">
        <v>2403</v>
      </c>
      <c r="S42" s="19">
        <v>25.1724</v>
      </c>
      <c r="T42" s="18">
        <v>33642</v>
      </c>
      <c r="U42" s="23" t="s">
        <v>432</v>
      </c>
      <c r="V42" s="18">
        <v>2800</v>
      </c>
      <c r="W42" s="24">
        <v>18</v>
      </c>
      <c r="X42" s="25">
        <v>14</v>
      </c>
      <c r="Z42" s="7"/>
      <c r="AA42" s="18">
        <v>9</v>
      </c>
      <c r="AB42" s="24">
        <v>260</v>
      </c>
      <c r="AC42" s="18">
        <v>11</v>
      </c>
      <c r="AD42" s="28">
        <v>3.8</v>
      </c>
      <c r="AE42" s="29">
        <v>0.0046</v>
      </c>
      <c r="AF42" s="25">
        <v>6.44</v>
      </c>
      <c r="AG42" s="19">
        <v>0.34</v>
      </c>
      <c r="AI42" s="14" t="s">
        <v>451</v>
      </c>
      <c r="AJ42" s="24">
        <v>189</v>
      </c>
      <c r="AK42" s="14" t="s">
        <v>71</v>
      </c>
      <c r="AL42" s="24">
        <v>9.3</v>
      </c>
      <c r="AM42" s="24">
        <v>1</v>
      </c>
      <c r="AN42" s="15" t="s">
        <v>72</v>
      </c>
      <c r="AO42" s="14" t="s">
        <v>71</v>
      </c>
      <c r="AP42" s="14" t="s">
        <v>73</v>
      </c>
      <c r="AQ42" s="15" t="s">
        <v>73</v>
      </c>
      <c r="AR42" s="14" t="s">
        <v>73</v>
      </c>
      <c r="AS42" s="14" t="s">
        <v>73</v>
      </c>
      <c r="AT42" s="14" t="s">
        <v>73</v>
      </c>
      <c r="AU42" s="14" t="s">
        <v>73</v>
      </c>
      <c r="AV42" s="14" t="s">
        <v>74</v>
      </c>
      <c r="AW42" s="14" t="s">
        <v>73</v>
      </c>
      <c r="AX42" s="14" t="s">
        <v>73</v>
      </c>
      <c r="AY42" s="14" t="s">
        <v>73</v>
      </c>
      <c r="AZ42" s="14" t="s">
        <v>73</v>
      </c>
      <c r="BA42" s="15" t="s">
        <v>73</v>
      </c>
      <c r="BB42" s="7"/>
      <c r="BC42" s="23" t="s">
        <v>697</v>
      </c>
      <c r="BD42" s="23" t="s">
        <v>698</v>
      </c>
      <c r="BE42" s="23" t="s">
        <v>699</v>
      </c>
      <c r="BF42" s="14" t="s">
        <v>700</v>
      </c>
    </row>
    <row r="43" ht="24" customHeight="1" spans="1:58">
      <c r="A43" s="14" t="str">
        <f>_xlfn.DISPIMG("ID_77FDC8A03C4B4A40A43D506D0DB02C44",1)</f>
        <v>=DISPIMG("ID_77FDC8A03C4B4A40A43D506D0DB02C44",1)</v>
      </c>
      <c r="B43" s="15" t="s">
        <v>701</v>
      </c>
      <c r="C43" s="15" t="s">
        <v>73</v>
      </c>
      <c r="D43" s="15" t="s">
        <v>73</v>
      </c>
      <c r="E43" s="15" t="s">
        <v>409</v>
      </c>
      <c r="F43" s="15" t="s">
        <v>410</v>
      </c>
      <c r="G43" s="15" t="s">
        <v>702</v>
      </c>
      <c r="H43" s="15" t="s">
        <v>703</v>
      </c>
      <c r="I43" s="15" t="s">
        <v>704</v>
      </c>
      <c r="J43" s="15" t="s">
        <v>701</v>
      </c>
      <c r="K43" s="15" t="s">
        <v>65</v>
      </c>
      <c r="L43" s="15" t="s">
        <v>66</v>
      </c>
      <c r="M43" s="18">
        <v>5776</v>
      </c>
      <c r="N43" s="18">
        <v>-813</v>
      </c>
      <c r="O43" s="19">
        <v>-0.1638</v>
      </c>
      <c r="P43" s="20" t="s">
        <v>67</v>
      </c>
      <c r="Q43" s="22" t="s">
        <v>705</v>
      </c>
      <c r="R43" s="18">
        <v>6296</v>
      </c>
      <c r="S43" s="19">
        <v>0.3533</v>
      </c>
      <c r="T43" s="18">
        <v>207579.12</v>
      </c>
      <c r="U43" s="23" t="s">
        <v>450</v>
      </c>
      <c r="V43" s="18">
        <v>9891</v>
      </c>
      <c r="W43" s="24">
        <v>72</v>
      </c>
      <c r="X43" s="25">
        <v>32.97</v>
      </c>
      <c r="AA43" s="18">
        <v>4</v>
      </c>
      <c r="AB43" s="24">
        <v>436</v>
      </c>
      <c r="AC43" s="18">
        <v>54</v>
      </c>
      <c r="AD43" s="28">
        <v>4.3</v>
      </c>
      <c r="AE43" s="29">
        <v>0.0086</v>
      </c>
      <c r="AF43" s="25">
        <v>6.92</v>
      </c>
      <c r="AG43" s="19">
        <v>0.5901</v>
      </c>
      <c r="AI43" s="14" t="s">
        <v>706</v>
      </c>
      <c r="AJ43" s="24">
        <v>501</v>
      </c>
      <c r="AK43" s="14" t="s">
        <v>92</v>
      </c>
      <c r="AL43" s="24">
        <v>10</v>
      </c>
      <c r="AM43" s="24">
        <v>2</v>
      </c>
      <c r="AN43" s="15" t="s">
        <v>409</v>
      </c>
      <c r="AO43" s="14" t="s">
        <v>92</v>
      </c>
      <c r="AP43" s="14" t="s">
        <v>94</v>
      </c>
      <c r="AQ43" s="15" t="s">
        <v>418</v>
      </c>
      <c r="AR43" s="14" t="s">
        <v>419</v>
      </c>
      <c r="AS43" s="14" t="s">
        <v>73</v>
      </c>
      <c r="AT43" s="14" t="s">
        <v>73</v>
      </c>
      <c r="AU43" s="14" t="s">
        <v>73</v>
      </c>
      <c r="AV43" s="14" t="s">
        <v>74</v>
      </c>
      <c r="AW43" s="14" t="s">
        <v>74</v>
      </c>
      <c r="AX43" s="14" t="s">
        <v>73</v>
      </c>
      <c r="AY43" s="14" t="s">
        <v>73</v>
      </c>
      <c r="AZ43" s="14" t="s">
        <v>73</v>
      </c>
      <c r="BA43" s="15" t="s">
        <v>73</v>
      </c>
      <c r="BC43" s="23" t="s">
        <v>707</v>
      </c>
      <c r="BD43" s="23" t="s">
        <v>708</v>
      </c>
      <c r="BE43" s="23" t="s">
        <v>709</v>
      </c>
      <c r="BF43" s="14" t="s">
        <v>710</v>
      </c>
    </row>
    <row r="44" ht="24" customHeight="1" spans="1:58">
      <c r="A44" s="14" t="str">
        <f>_xlfn.DISPIMG("ID_268BB688AC264556B2C6EA125425A906",1)</f>
        <v>=DISPIMG("ID_268BB688AC264556B2C6EA125425A906",1)</v>
      </c>
      <c r="B44" s="15" t="s">
        <v>711</v>
      </c>
      <c r="C44" s="15" t="s">
        <v>73</v>
      </c>
      <c r="D44" s="15" t="s">
        <v>73</v>
      </c>
      <c r="E44" s="15" t="s">
        <v>658</v>
      </c>
      <c r="F44" s="15" t="s">
        <v>712</v>
      </c>
      <c r="G44" s="15" t="s">
        <v>713</v>
      </c>
      <c r="H44" s="15" t="s">
        <v>714</v>
      </c>
      <c r="I44" s="15" t="s">
        <v>715</v>
      </c>
      <c r="J44" s="15" t="s">
        <v>711</v>
      </c>
      <c r="K44" s="15" t="s">
        <v>716</v>
      </c>
      <c r="L44" s="15" t="s">
        <v>66</v>
      </c>
      <c r="M44" s="18">
        <v>6026</v>
      </c>
      <c r="N44" s="18">
        <v>-424</v>
      </c>
      <c r="O44" s="19">
        <v>-0.0814</v>
      </c>
      <c r="P44" s="20" t="s">
        <v>717</v>
      </c>
      <c r="Q44" s="22" t="s">
        <v>483</v>
      </c>
      <c r="R44" s="18">
        <v>6326</v>
      </c>
      <c r="S44" s="19">
        <v>0.2892</v>
      </c>
      <c r="T44" s="18">
        <v>94826.74</v>
      </c>
      <c r="U44" s="23" t="s">
        <v>73</v>
      </c>
      <c r="V44" s="18" t="s">
        <v>73</v>
      </c>
      <c r="W44" s="24">
        <v>146</v>
      </c>
      <c r="X44" s="25">
        <v>16.99</v>
      </c>
      <c r="AA44" s="18">
        <v>172</v>
      </c>
      <c r="AB44" s="24">
        <v>20425</v>
      </c>
      <c r="AC44" s="18">
        <v>69</v>
      </c>
      <c r="AD44" s="28">
        <v>4</v>
      </c>
      <c r="AE44" s="29">
        <v>0.0109</v>
      </c>
      <c r="AF44" s="25">
        <v>7.35</v>
      </c>
      <c r="AG44" s="19">
        <v>0.4323</v>
      </c>
      <c r="AI44" s="14" t="s">
        <v>718</v>
      </c>
      <c r="AJ44" s="24">
        <v>339</v>
      </c>
      <c r="AK44" s="14" t="s">
        <v>92</v>
      </c>
      <c r="AL44" s="24">
        <v>9.4</v>
      </c>
      <c r="AM44" s="24">
        <v>1</v>
      </c>
      <c r="AN44" s="15" t="s">
        <v>666</v>
      </c>
      <c r="AO44" s="14" t="s">
        <v>92</v>
      </c>
      <c r="AP44" s="14" t="s">
        <v>131</v>
      </c>
      <c r="AQ44" s="15" t="s">
        <v>667</v>
      </c>
      <c r="AR44" s="14" t="s">
        <v>668</v>
      </c>
      <c r="AS44" s="14" t="s">
        <v>73</v>
      </c>
      <c r="AT44" s="14" t="s">
        <v>74</v>
      </c>
      <c r="AU44" s="14" t="s">
        <v>73</v>
      </c>
      <c r="AV44" s="14" t="s">
        <v>74</v>
      </c>
      <c r="AW44" s="14" t="s">
        <v>73</v>
      </c>
      <c r="AX44" s="14" t="s">
        <v>73</v>
      </c>
      <c r="AY44" s="14" t="s">
        <v>73</v>
      </c>
      <c r="AZ44" s="14" t="s">
        <v>73</v>
      </c>
      <c r="BA44" s="15" t="s">
        <v>73</v>
      </c>
      <c r="BB44" s="23" t="s">
        <v>719</v>
      </c>
      <c r="BC44" s="23" t="s">
        <v>720</v>
      </c>
      <c r="BD44" s="23" t="s">
        <v>670</v>
      </c>
      <c r="BE44" s="7"/>
      <c r="BF44" s="14" t="s">
        <v>73</v>
      </c>
    </row>
    <row r="45" ht="24" customHeight="1" spans="1:58">
      <c r="A45" s="14" t="str">
        <f>_xlfn.DISPIMG("ID_71632E4CB44E411AA5EF0468453C2B46",1)</f>
        <v>=DISPIMG("ID_71632E4CB44E411AA5EF0468453C2B46",1)</v>
      </c>
      <c r="B45" s="15" t="s">
        <v>721</v>
      </c>
      <c r="C45" s="15" t="s">
        <v>81</v>
      </c>
      <c r="D45" s="15" t="s">
        <v>722</v>
      </c>
      <c r="E45" s="15" t="s">
        <v>177</v>
      </c>
      <c r="F45" s="15" t="s">
        <v>178</v>
      </c>
      <c r="G45" s="15" t="s">
        <v>723</v>
      </c>
      <c r="H45" s="15" t="s">
        <v>724</v>
      </c>
      <c r="I45" s="15" t="s">
        <v>725</v>
      </c>
      <c r="J45" s="15" t="s">
        <v>726</v>
      </c>
      <c r="K45" s="15" t="s">
        <v>65</v>
      </c>
      <c r="L45" s="15" t="s">
        <v>66</v>
      </c>
      <c r="M45" s="18">
        <v>6723</v>
      </c>
      <c r="N45" s="18">
        <v>-1689</v>
      </c>
      <c r="O45" s="19">
        <v>-0.3565</v>
      </c>
      <c r="P45" s="20" t="s">
        <v>67</v>
      </c>
      <c r="Q45" s="22" t="s">
        <v>727</v>
      </c>
      <c r="R45" s="18">
        <v>5330</v>
      </c>
      <c r="S45" s="19">
        <v>0.5644</v>
      </c>
      <c r="T45" s="18">
        <v>159846.7</v>
      </c>
      <c r="U45" s="23" t="s">
        <v>368</v>
      </c>
      <c r="V45" s="18">
        <v>11996</v>
      </c>
      <c r="W45" s="24">
        <v>112</v>
      </c>
      <c r="X45" s="25">
        <v>29.99</v>
      </c>
      <c r="Z45" s="7"/>
      <c r="AA45" s="18">
        <v>3</v>
      </c>
      <c r="AB45" s="24">
        <v>774</v>
      </c>
      <c r="AC45" s="18">
        <v>38</v>
      </c>
      <c r="AD45" s="28">
        <v>4.5</v>
      </c>
      <c r="AE45" s="29">
        <v>0.0071</v>
      </c>
      <c r="AF45" s="25">
        <v>5.12</v>
      </c>
      <c r="AG45" s="19">
        <v>0.6293</v>
      </c>
      <c r="AI45" s="14" t="s">
        <v>728</v>
      </c>
      <c r="AJ45" s="24">
        <v>718</v>
      </c>
      <c r="AK45" s="14" t="s">
        <v>92</v>
      </c>
      <c r="AL45" s="24">
        <v>9</v>
      </c>
      <c r="AM45" s="24">
        <v>1</v>
      </c>
      <c r="AN45" s="15" t="s">
        <v>186</v>
      </c>
      <c r="AO45" s="14" t="s">
        <v>92</v>
      </c>
      <c r="AP45" s="14" t="s">
        <v>94</v>
      </c>
      <c r="AQ45" s="15" t="s">
        <v>187</v>
      </c>
      <c r="AR45" s="14" t="s">
        <v>188</v>
      </c>
      <c r="AS45" s="14" t="s">
        <v>73</v>
      </c>
      <c r="AT45" s="14" t="s">
        <v>74</v>
      </c>
      <c r="AU45" s="14" t="s">
        <v>73</v>
      </c>
      <c r="AV45" s="14" t="s">
        <v>74</v>
      </c>
      <c r="AW45" s="14" t="s">
        <v>74</v>
      </c>
      <c r="AX45" s="14" t="s">
        <v>73</v>
      </c>
      <c r="AY45" s="14" t="s">
        <v>74</v>
      </c>
      <c r="AZ45" s="14" t="s">
        <v>73</v>
      </c>
      <c r="BA45" s="15" t="s">
        <v>73</v>
      </c>
      <c r="BB45" s="23" t="s">
        <v>73</v>
      </c>
      <c r="BC45" s="23" t="s">
        <v>729</v>
      </c>
      <c r="BD45" s="23" t="s">
        <v>730</v>
      </c>
      <c r="BE45" s="23" t="s">
        <v>731</v>
      </c>
      <c r="BF45" s="14" t="s">
        <v>732</v>
      </c>
    </row>
    <row r="46" ht="24" customHeight="1" spans="1:58">
      <c r="A46" s="14" t="str">
        <f>_xlfn.DISPIMG("ID_F20863D2BCCF4EDBA1DEA9FEB99C8A14",1)</f>
        <v>=DISPIMG("ID_F20863D2BCCF4EDBA1DEA9FEB99C8A14",1)</v>
      </c>
      <c r="B46" s="15" t="s">
        <v>733</v>
      </c>
      <c r="C46" s="15" t="s">
        <v>81</v>
      </c>
      <c r="D46" s="15" t="s">
        <v>734</v>
      </c>
      <c r="E46" s="15" t="s">
        <v>735</v>
      </c>
      <c r="F46" s="15" t="s">
        <v>736</v>
      </c>
      <c r="G46" s="15" t="s">
        <v>737</v>
      </c>
      <c r="H46" s="15" t="s">
        <v>738</v>
      </c>
      <c r="I46" s="15" t="s">
        <v>739</v>
      </c>
      <c r="J46" s="15" t="s">
        <v>740</v>
      </c>
      <c r="K46" s="15" t="s">
        <v>65</v>
      </c>
      <c r="L46" s="15" t="s">
        <v>66</v>
      </c>
      <c r="M46" s="18">
        <v>6953</v>
      </c>
      <c r="N46" s="18">
        <v>2220</v>
      </c>
      <c r="O46" s="19">
        <v>0.2538</v>
      </c>
      <c r="P46" s="20" t="s">
        <v>67</v>
      </c>
      <c r="Q46" s="22" t="s">
        <v>741</v>
      </c>
      <c r="R46" s="18">
        <v>5421</v>
      </c>
      <c r="S46" s="19">
        <v>0.1634</v>
      </c>
      <c r="T46" s="18">
        <v>184259.8</v>
      </c>
      <c r="U46" s="23" t="s">
        <v>368</v>
      </c>
      <c r="V46" s="18">
        <v>13596</v>
      </c>
      <c r="W46" s="24">
        <v>70</v>
      </c>
      <c r="X46" s="25">
        <v>33.99</v>
      </c>
      <c r="Z46" s="23" t="s">
        <v>271</v>
      </c>
      <c r="AA46" s="18">
        <v>115</v>
      </c>
      <c r="AB46" s="24">
        <v>10363</v>
      </c>
      <c r="AC46" s="18">
        <v>25</v>
      </c>
      <c r="AD46" s="28">
        <v>4.5</v>
      </c>
      <c r="AE46" s="29">
        <v>0.0046</v>
      </c>
      <c r="AF46" s="25">
        <v>6.27</v>
      </c>
      <c r="AG46" s="19">
        <v>0.6155</v>
      </c>
      <c r="AI46" s="14" t="s">
        <v>742</v>
      </c>
      <c r="AJ46" s="24">
        <v>1913</v>
      </c>
      <c r="AK46" s="14" t="s">
        <v>92</v>
      </c>
      <c r="AL46" s="24">
        <v>10</v>
      </c>
      <c r="AM46" s="24">
        <v>2</v>
      </c>
      <c r="AN46" s="15" t="s">
        <v>743</v>
      </c>
      <c r="AO46" s="14" t="s">
        <v>92</v>
      </c>
      <c r="AP46" s="14" t="s">
        <v>94</v>
      </c>
      <c r="AQ46" s="15" t="s">
        <v>744</v>
      </c>
      <c r="AR46" s="14" t="s">
        <v>745</v>
      </c>
      <c r="AS46" s="14" t="s">
        <v>74</v>
      </c>
      <c r="AT46" s="14" t="s">
        <v>74</v>
      </c>
      <c r="AU46" s="14" t="s">
        <v>73</v>
      </c>
      <c r="AV46" s="14" t="s">
        <v>74</v>
      </c>
      <c r="AW46" s="14" t="s">
        <v>74</v>
      </c>
      <c r="AX46" s="14" t="s">
        <v>73</v>
      </c>
      <c r="AY46" s="14" t="s">
        <v>74</v>
      </c>
      <c r="AZ46" s="14" t="s">
        <v>73</v>
      </c>
      <c r="BA46" s="15" t="s">
        <v>73</v>
      </c>
      <c r="BB46" s="23" t="s">
        <v>746</v>
      </c>
      <c r="BC46" s="23" t="s">
        <v>729</v>
      </c>
      <c r="BD46" s="23" t="s">
        <v>730</v>
      </c>
      <c r="BE46" s="23" t="s">
        <v>747</v>
      </c>
      <c r="BF46" s="14" t="s">
        <v>748</v>
      </c>
    </row>
    <row r="47" ht="24" customHeight="1" spans="1:58">
      <c r="A47" s="14" t="str">
        <f>_xlfn.DISPIMG("ID_8CF88108CC0140A782E2E96C30C23686",1)</f>
        <v>=DISPIMG("ID_8CF88108CC0140A782E2E96C30C23686",1)</v>
      </c>
      <c r="B47" s="15" t="s">
        <v>749</v>
      </c>
      <c r="C47" s="15" t="s">
        <v>140</v>
      </c>
      <c r="D47" s="15" t="s">
        <v>750</v>
      </c>
      <c r="E47" s="15" t="s">
        <v>83</v>
      </c>
      <c r="F47" s="15" t="s">
        <v>84</v>
      </c>
      <c r="G47" s="15" t="s">
        <v>751</v>
      </c>
      <c r="H47" s="15" t="s">
        <v>752</v>
      </c>
      <c r="I47" s="15" t="s">
        <v>753</v>
      </c>
      <c r="J47" s="15" t="s">
        <v>754</v>
      </c>
      <c r="K47" s="15" t="s">
        <v>65</v>
      </c>
      <c r="L47" s="15" t="s">
        <v>66</v>
      </c>
      <c r="M47" s="18">
        <v>7052</v>
      </c>
      <c r="N47" s="18">
        <v>119</v>
      </c>
      <c r="O47" s="19">
        <v>0.0193</v>
      </c>
      <c r="P47" s="20" t="s">
        <v>67</v>
      </c>
      <c r="Q47" s="22" t="s">
        <v>755</v>
      </c>
      <c r="R47" s="18">
        <v>10149</v>
      </c>
      <c r="S47" s="19">
        <v>1.1297</v>
      </c>
      <c r="T47" s="18">
        <v>304368.5</v>
      </c>
      <c r="U47" s="23" t="s">
        <v>150</v>
      </c>
      <c r="V47" s="18">
        <v>14995</v>
      </c>
      <c r="W47" s="24">
        <v>61</v>
      </c>
      <c r="X47" s="25">
        <v>29.99</v>
      </c>
      <c r="Z47" s="7"/>
      <c r="AA47" s="18">
        <v>8</v>
      </c>
      <c r="AB47" s="24">
        <v>1730</v>
      </c>
      <c r="AC47" s="18">
        <v>54</v>
      </c>
      <c r="AD47" s="28">
        <v>4.2</v>
      </c>
      <c r="AE47" s="29">
        <v>0.0053</v>
      </c>
      <c r="AF47" s="25">
        <v>6.44</v>
      </c>
      <c r="AG47" s="19">
        <v>0.5853</v>
      </c>
      <c r="AI47" s="14" t="s">
        <v>756</v>
      </c>
      <c r="AJ47" s="24">
        <v>856</v>
      </c>
      <c r="AK47" s="14" t="s">
        <v>92</v>
      </c>
      <c r="AL47" s="24">
        <v>9.4</v>
      </c>
      <c r="AM47" s="24">
        <v>1</v>
      </c>
      <c r="AN47" s="15" t="s">
        <v>93</v>
      </c>
      <c r="AO47" s="14" t="s">
        <v>92</v>
      </c>
      <c r="AP47" s="14" t="s">
        <v>94</v>
      </c>
      <c r="AQ47" s="15" t="s">
        <v>95</v>
      </c>
      <c r="AR47" s="14" t="s">
        <v>96</v>
      </c>
      <c r="AS47" s="14" t="s">
        <v>73</v>
      </c>
      <c r="AT47" s="14" t="s">
        <v>73</v>
      </c>
      <c r="AU47" s="14" t="s">
        <v>73</v>
      </c>
      <c r="AV47" s="14" t="s">
        <v>74</v>
      </c>
      <c r="AW47" s="14" t="s">
        <v>74</v>
      </c>
      <c r="AX47" s="14" t="s">
        <v>73</v>
      </c>
      <c r="AY47" s="14" t="s">
        <v>74</v>
      </c>
      <c r="AZ47" s="14" t="s">
        <v>73</v>
      </c>
      <c r="BA47" s="15" t="s">
        <v>73</v>
      </c>
      <c r="BC47" s="23" t="s">
        <v>757</v>
      </c>
      <c r="BD47" s="23" t="s">
        <v>758</v>
      </c>
      <c r="BE47" s="23" t="s">
        <v>759</v>
      </c>
      <c r="BF47" s="14" t="s">
        <v>760</v>
      </c>
    </row>
    <row r="48" ht="24" customHeight="1" spans="1:58">
      <c r="A48" s="14" t="str">
        <f>_xlfn.DISPIMG("ID_A1F5FD0DA7C246908BCE0AF022FF83EE",1)</f>
        <v>=DISPIMG("ID_A1F5FD0DA7C246908BCE0AF022FF83EE",1)</v>
      </c>
      <c r="B48" s="15" t="s">
        <v>761</v>
      </c>
      <c r="C48" s="15" t="s">
        <v>102</v>
      </c>
      <c r="D48" s="15" t="s">
        <v>762</v>
      </c>
      <c r="E48" s="15" t="s">
        <v>763</v>
      </c>
      <c r="F48" s="15" t="s">
        <v>764</v>
      </c>
      <c r="G48" s="15" t="s">
        <v>765</v>
      </c>
      <c r="H48" s="15" t="s">
        <v>766</v>
      </c>
      <c r="I48" s="15" t="s">
        <v>767</v>
      </c>
      <c r="J48" s="15" t="s">
        <v>768</v>
      </c>
      <c r="K48" s="15" t="s">
        <v>65</v>
      </c>
      <c r="L48" s="15" t="s">
        <v>66</v>
      </c>
      <c r="M48" s="18">
        <v>7295</v>
      </c>
      <c r="N48" s="18">
        <v>-550</v>
      </c>
      <c r="O48" s="19">
        <v>-0.0815</v>
      </c>
      <c r="P48" s="20" t="s">
        <v>67</v>
      </c>
      <c r="Q48" s="22" t="s">
        <v>769</v>
      </c>
      <c r="R48" s="18">
        <v>10387</v>
      </c>
      <c r="S48" s="19">
        <v>0.8918</v>
      </c>
      <c r="T48" s="18">
        <v>259571.12</v>
      </c>
      <c r="U48" s="23" t="s">
        <v>150</v>
      </c>
      <c r="V48" s="18">
        <v>12495</v>
      </c>
      <c r="W48" s="24">
        <v>109</v>
      </c>
      <c r="X48" s="25">
        <v>24.99</v>
      </c>
      <c r="Z48" s="23" t="s">
        <v>770</v>
      </c>
      <c r="AA48" s="8"/>
      <c r="AB48" s="24">
        <v>115</v>
      </c>
      <c r="AC48" s="18">
        <v>56</v>
      </c>
      <c r="AD48" s="28">
        <v>4</v>
      </c>
      <c r="AE48" s="29">
        <v>0.0054</v>
      </c>
      <c r="AF48" s="25">
        <v>6.27</v>
      </c>
      <c r="AG48" s="19">
        <v>0.5491</v>
      </c>
      <c r="AI48" s="14" t="s">
        <v>771</v>
      </c>
      <c r="AJ48" s="24">
        <v>93</v>
      </c>
      <c r="AK48" s="14" t="s">
        <v>92</v>
      </c>
      <c r="AL48" s="24">
        <v>10</v>
      </c>
      <c r="AM48" s="24">
        <v>1</v>
      </c>
      <c r="AN48" s="15" t="s">
        <v>763</v>
      </c>
      <c r="AO48" s="14" t="s">
        <v>92</v>
      </c>
      <c r="AP48" s="14" t="s">
        <v>94</v>
      </c>
      <c r="AQ48" s="15" t="s">
        <v>772</v>
      </c>
      <c r="AR48" s="14" t="s">
        <v>773</v>
      </c>
      <c r="AS48" s="14" t="s">
        <v>73</v>
      </c>
      <c r="AT48" s="14" t="s">
        <v>74</v>
      </c>
      <c r="AU48" s="14" t="s">
        <v>74</v>
      </c>
      <c r="AV48" s="14" t="s">
        <v>74</v>
      </c>
      <c r="AW48" s="14" t="s">
        <v>74</v>
      </c>
      <c r="AX48" s="14" t="s">
        <v>73</v>
      </c>
      <c r="AY48" s="14" t="s">
        <v>74</v>
      </c>
      <c r="AZ48" s="14" t="s">
        <v>73</v>
      </c>
      <c r="BA48" s="15" t="s">
        <v>73</v>
      </c>
      <c r="BB48" s="23" t="s">
        <v>73</v>
      </c>
      <c r="BC48" s="23" t="s">
        <v>774</v>
      </c>
      <c r="BD48" s="23" t="s">
        <v>775</v>
      </c>
      <c r="BE48" s="23" t="s">
        <v>776</v>
      </c>
      <c r="BF48" s="14" t="s">
        <v>777</v>
      </c>
    </row>
    <row r="49" ht="24" customHeight="1" spans="1:58">
      <c r="A49" s="14" t="str">
        <f>_xlfn.DISPIMG("ID_35CC6D35A60A4898BD01B4ECA54226C9",1)</f>
        <v>=DISPIMG("ID_35CC6D35A60A4898BD01B4ECA54226C9",1)</v>
      </c>
      <c r="B49" s="15" t="s">
        <v>778</v>
      </c>
      <c r="C49" s="15" t="s">
        <v>73</v>
      </c>
      <c r="D49" s="15" t="s">
        <v>73</v>
      </c>
      <c r="E49" s="15" t="s">
        <v>377</v>
      </c>
      <c r="F49" s="15" t="s">
        <v>378</v>
      </c>
      <c r="G49" s="15" t="s">
        <v>779</v>
      </c>
      <c r="H49" s="15" t="s">
        <v>780</v>
      </c>
      <c r="I49" s="15" t="s">
        <v>781</v>
      </c>
      <c r="J49" s="15" t="s">
        <v>778</v>
      </c>
      <c r="K49" s="15" t="s">
        <v>65</v>
      </c>
      <c r="L49" s="15" t="s">
        <v>66</v>
      </c>
      <c r="M49" s="18">
        <v>7399</v>
      </c>
      <c r="N49" s="18">
        <v>-546</v>
      </c>
      <c r="O49" s="19">
        <v>-0.0794</v>
      </c>
      <c r="P49" s="20" t="s">
        <v>782</v>
      </c>
      <c r="Q49" s="22" t="s">
        <v>783</v>
      </c>
      <c r="R49" s="18">
        <v>5784</v>
      </c>
      <c r="S49" s="19">
        <v>0.1911</v>
      </c>
      <c r="T49" s="18">
        <v>219792</v>
      </c>
      <c r="U49" s="23" t="s">
        <v>111</v>
      </c>
      <c r="V49" s="18">
        <v>38000</v>
      </c>
      <c r="W49" s="24">
        <v>20</v>
      </c>
      <c r="X49" s="25">
        <v>38</v>
      </c>
      <c r="AB49" s="24">
        <v>89</v>
      </c>
      <c r="AC49" s="18">
        <v>30</v>
      </c>
      <c r="AD49" s="28">
        <v>4.3</v>
      </c>
      <c r="AE49" s="29">
        <v>0.0052</v>
      </c>
      <c r="AF49" s="25">
        <v>6.27</v>
      </c>
      <c r="AG49" s="19">
        <v>0.635</v>
      </c>
      <c r="AI49" s="14" t="s">
        <v>784</v>
      </c>
      <c r="AJ49" s="24">
        <v>227</v>
      </c>
      <c r="AK49" s="14" t="s">
        <v>785</v>
      </c>
      <c r="AL49" s="24">
        <v>8.8</v>
      </c>
      <c r="AM49" s="24">
        <v>1</v>
      </c>
      <c r="AN49" s="15" t="s">
        <v>377</v>
      </c>
      <c r="AO49" s="14" t="s">
        <v>785</v>
      </c>
      <c r="AP49" s="14" t="s">
        <v>94</v>
      </c>
      <c r="AQ49" s="15" t="s">
        <v>387</v>
      </c>
      <c r="AR49" s="14" t="s">
        <v>388</v>
      </c>
      <c r="AS49" s="14" t="s">
        <v>73</v>
      </c>
      <c r="AT49" s="14" t="s">
        <v>73</v>
      </c>
      <c r="AU49" s="14" t="s">
        <v>73</v>
      </c>
      <c r="AV49" s="14" t="s">
        <v>74</v>
      </c>
      <c r="AW49" s="14" t="s">
        <v>73</v>
      </c>
      <c r="AX49" s="14" t="s">
        <v>73</v>
      </c>
      <c r="AY49" s="14" t="s">
        <v>73</v>
      </c>
      <c r="AZ49" s="14" t="s">
        <v>73</v>
      </c>
      <c r="BA49" s="15" t="s">
        <v>73</v>
      </c>
      <c r="BC49" s="23" t="s">
        <v>786</v>
      </c>
      <c r="BD49" s="23" t="s">
        <v>787</v>
      </c>
      <c r="BE49" s="23" t="s">
        <v>788</v>
      </c>
      <c r="BF49" s="14" t="s">
        <v>789</v>
      </c>
    </row>
    <row r="50" ht="24" customHeight="1" spans="1:58">
      <c r="A50" s="14" t="str">
        <f>_xlfn.DISPIMG("ID_71D8E4B721754E2BA5385D55C3341A31",1)</f>
        <v>=DISPIMG("ID_71D8E4B721754E2BA5385D55C3341A31",1)</v>
      </c>
      <c r="B50" s="15" t="s">
        <v>790</v>
      </c>
      <c r="C50" s="15" t="s">
        <v>73</v>
      </c>
      <c r="D50" s="15" t="s">
        <v>73</v>
      </c>
      <c r="E50" s="15" t="s">
        <v>791</v>
      </c>
      <c r="F50" s="15" t="s">
        <v>792</v>
      </c>
      <c r="G50" s="15" t="s">
        <v>793</v>
      </c>
      <c r="H50" s="15" t="s">
        <v>794</v>
      </c>
      <c r="I50" s="15" t="s">
        <v>795</v>
      </c>
      <c r="J50" s="15" t="s">
        <v>790</v>
      </c>
      <c r="K50" s="15" t="s">
        <v>65</v>
      </c>
      <c r="L50" s="15" t="s">
        <v>66</v>
      </c>
      <c r="M50" s="18">
        <v>7524</v>
      </c>
      <c r="N50" s="18">
        <v>5862</v>
      </c>
      <c r="O50" s="19">
        <v>0.4379</v>
      </c>
      <c r="P50" s="20" t="s">
        <v>67</v>
      </c>
      <c r="Q50" s="22" t="s">
        <v>769</v>
      </c>
      <c r="R50" s="18">
        <v>3678</v>
      </c>
      <c r="S50" s="19">
        <v>1.0639</v>
      </c>
      <c r="T50" s="18">
        <v>88235.22</v>
      </c>
      <c r="U50" s="23" t="s">
        <v>450</v>
      </c>
      <c r="V50" s="18">
        <v>7197</v>
      </c>
      <c r="W50" s="24">
        <v>63</v>
      </c>
      <c r="X50" s="25">
        <v>23.99</v>
      </c>
      <c r="AB50" s="24">
        <v>63</v>
      </c>
      <c r="AC50" s="18">
        <v>26</v>
      </c>
      <c r="AD50" s="28">
        <v>4.4</v>
      </c>
      <c r="AE50" s="29">
        <v>0.0071</v>
      </c>
      <c r="AF50" s="25">
        <v>6.44</v>
      </c>
      <c r="AG50" s="19">
        <v>0.5315</v>
      </c>
      <c r="AI50" s="14" t="s">
        <v>796</v>
      </c>
      <c r="AJ50" s="24">
        <v>143</v>
      </c>
      <c r="AK50" s="14" t="s">
        <v>92</v>
      </c>
      <c r="AL50" s="24">
        <v>9</v>
      </c>
      <c r="AM50" s="24">
        <v>1</v>
      </c>
      <c r="AN50" s="15" t="s">
        <v>791</v>
      </c>
      <c r="AO50" s="14" t="s">
        <v>92</v>
      </c>
      <c r="AP50" s="14" t="s">
        <v>94</v>
      </c>
      <c r="AQ50" s="15" t="s">
        <v>797</v>
      </c>
      <c r="AR50" s="14" t="s">
        <v>798</v>
      </c>
      <c r="AS50" s="14" t="s">
        <v>73</v>
      </c>
      <c r="AT50" s="14" t="s">
        <v>73</v>
      </c>
      <c r="AU50" s="14" t="s">
        <v>74</v>
      </c>
      <c r="AV50" s="14" t="s">
        <v>74</v>
      </c>
      <c r="AW50" s="14" t="s">
        <v>74</v>
      </c>
      <c r="AX50" s="14" t="s">
        <v>73</v>
      </c>
      <c r="AY50" s="14" t="s">
        <v>73</v>
      </c>
      <c r="AZ50" s="14" t="s">
        <v>73</v>
      </c>
      <c r="BA50" s="15" t="s">
        <v>73</v>
      </c>
      <c r="BC50" s="23" t="s">
        <v>97</v>
      </c>
      <c r="BD50" s="23" t="s">
        <v>98</v>
      </c>
      <c r="BE50" s="23" t="s">
        <v>799</v>
      </c>
      <c r="BF50" s="14" t="s">
        <v>800</v>
      </c>
    </row>
    <row r="51" ht="24" customHeight="1" spans="1:58">
      <c r="A51" s="14" t="str">
        <f>_xlfn.DISPIMG("ID_055BDFDB4C5D424BBA55185D3DAEAABE",1)</f>
        <v>=DISPIMG("ID_055BDFDB4C5D424BBA55185D3DAEAABE",1)</v>
      </c>
      <c r="B51" s="15" t="s">
        <v>801</v>
      </c>
      <c r="C51" s="15" t="s">
        <v>73</v>
      </c>
      <c r="D51" s="15" t="s">
        <v>73</v>
      </c>
      <c r="E51" s="15" t="s">
        <v>223</v>
      </c>
      <c r="F51" s="15" t="s">
        <v>224</v>
      </c>
      <c r="G51" s="15" t="s">
        <v>802</v>
      </c>
      <c r="H51" s="15" t="s">
        <v>803</v>
      </c>
      <c r="I51" s="15" t="s">
        <v>804</v>
      </c>
      <c r="J51" s="15" t="s">
        <v>801</v>
      </c>
      <c r="K51" s="15" t="s">
        <v>65</v>
      </c>
      <c r="L51" s="15" t="s">
        <v>66</v>
      </c>
      <c r="M51" s="18">
        <v>7896</v>
      </c>
      <c r="N51" s="18">
        <v>18805</v>
      </c>
      <c r="O51" s="19">
        <v>0.7261</v>
      </c>
      <c r="P51" s="20" t="s">
        <v>67</v>
      </c>
      <c r="Q51" s="22" t="s">
        <v>805</v>
      </c>
      <c r="R51" s="18">
        <v>6301</v>
      </c>
      <c r="S51" s="19">
        <v>1.1125</v>
      </c>
      <c r="T51" s="18">
        <v>89663.23</v>
      </c>
      <c r="U51" s="23" t="s">
        <v>432</v>
      </c>
      <c r="V51" s="18">
        <v>2846</v>
      </c>
      <c r="W51" s="24">
        <v>96</v>
      </c>
      <c r="X51" s="25">
        <v>14.23</v>
      </c>
      <c r="AB51" s="24">
        <v>176</v>
      </c>
      <c r="AC51" s="18">
        <v>52</v>
      </c>
      <c r="AD51" s="28">
        <v>4.2</v>
      </c>
      <c r="AE51" s="29">
        <v>0.0083</v>
      </c>
      <c r="AF51" s="25">
        <v>6.19</v>
      </c>
      <c r="AG51" s="19">
        <v>0.365</v>
      </c>
      <c r="AI51" s="14" t="s">
        <v>806</v>
      </c>
      <c r="AJ51" s="24">
        <v>200</v>
      </c>
      <c r="AK51" s="14" t="s">
        <v>92</v>
      </c>
      <c r="AL51" s="24">
        <v>9.8</v>
      </c>
      <c r="AM51" s="24">
        <v>1</v>
      </c>
      <c r="AN51" s="15" t="s">
        <v>232</v>
      </c>
      <c r="AO51" s="14" t="s">
        <v>92</v>
      </c>
      <c r="AP51" s="14" t="s">
        <v>94</v>
      </c>
      <c r="AQ51" s="15" t="s">
        <v>233</v>
      </c>
      <c r="AR51" s="14" t="s">
        <v>234</v>
      </c>
      <c r="AS51" s="14" t="s">
        <v>73</v>
      </c>
      <c r="AT51" s="14" t="s">
        <v>73</v>
      </c>
      <c r="AU51" s="14" t="s">
        <v>73</v>
      </c>
      <c r="AV51" s="14" t="s">
        <v>74</v>
      </c>
      <c r="AW51" s="14" t="s">
        <v>73</v>
      </c>
      <c r="AX51" s="14" t="s">
        <v>73</v>
      </c>
      <c r="AY51" s="14" t="s">
        <v>73</v>
      </c>
      <c r="AZ51" s="14" t="s">
        <v>73</v>
      </c>
      <c r="BA51" s="15" t="s">
        <v>73</v>
      </c>
      <c r="BB51" s="7"/>
      <c r="BC51" s="23" t="s">
        <v>807</v>
      </c>
      <c r="BD51" s="23" t="s">
        <v>808</v>
      </c>
      <c r="BE51" s="23" t="s">
        <v>809</v>
      </c>
      <c r="BF51" s="14" t="s">
        <v>810</v>
      </c>
    </row>
    <row r="52" ht="24" customHeight="1" spans="1:58">
      <c r="A52" s="14" t="str">
        <f>_xlfn.DISPIMG("ID_B7EFC98572FE4B399567ECAE67368112",1)</f>
        <v>=DISPIMG("ID_B7EFC98572FE4B399567ECAE67368112",1)</v>
      </c>
      <c r="B52" s="15" t="s">
        <v>811</v>
      </c>
      <c r="C52" s="15" t="s">
        <v>73</v>
      </c>
      <c r="D52" s="15" t="s">
        <v>73</v>
      </c>
      <c r="E52" s="15" t="s">
        <v>515</v>
      </c>
      <c r="F52" s="15" t="s">
        <v>516</v>
      </c>
      <c r="G52" s="15" t="s">
        <v>812</v>
      </c>
      <c r="H52" s="15" t="s">
        <v>813</v>
      </c>
      <c r="I52" s="15" t="s">
        <v>814</v>
      </c>
      <c r="J52" s="15" t="s">
        <v>811</v>
      </c>
      <c r="K52" s="15" t="s">
        <v>65</v>
      </c>
      <c r="L52" s="15" t="s">
        <v>66</v>
      </c>
      <c r="M52" s="18">
        <v>8118</v>
      </c>
      <c r="N52" s="18">
        <v>279</v>
      </c>
      <c r="O52" s="19">
        <v>0.0322</v>
      </c>
      <c r="P52" s="20" t="s">
        <v>67</v>
      </c>
      <c r="Q52" s="22" t="s">
        <v>815</v>
      </c>
      <c r="R52" s="18">
        <v>4140</v>
      </c>
      <c r="S52" s="19">
        <v>0.343</v>
      </c>
      <c r="T52" s="18">
        <v>136578.61</v>
      </c>
      <c r="U52" s="23" t="s">
        <v>450</v>
      </c>
      <c r="V52" s="18">
        <v>9897</v>
      </c>
      <c r="W52" s="24">
        <v>51</v>
      </c>
      <c r="X52" s="25">
        <v>32.99</v>
      </c>
      <c r="AA52" s="18">
        <v>6</v>
      </c>
      <c r="AB52" s="24">
        <v>1333</v>
      </c>
      <c r="AC52" s="18">
        <v>54</v>
      </c>
      <c r="AD52" s="28">
        <v>4.4</v>
      </c>
      <c r="AE52" s="29">
        <v>0.013</v>
      </c>
      <c r="AF52" s="25">
        <v>7.75</v>
      </c>
      <c r="AG52" s="19">
        <v>0.5651</v>
      </c>
      <c r="AI52" s="14" t="s">
        <v>816</v>
      </c>
      <c r="AJ52" s="24">
        <v>627</v>
      </c>
      <c r="AK52" s="14" t="s">
        <v>92</v>
      </c>
      <c r="AL52" s="24">
        <v>10</v>
      </c>
      <c r="AM52" s="24">
        <v>2</v>
      </c>
      <c r="AN52" s="15" t="s">
        <v>523</v>
      </c>
      <c r="AO52" s="14" t="s">
        <v>92</v>
      </c>
      <c r="AP52" s="14" t="s">
        <v>94</v>
      </c>
      <c r="AQ52" s="15" t="s">
        <v>524</v>
      </c>
      <c r="AR52" s="14" t="s">
        <v>525</v>
      </c>
      <c r="AS52" s="14" t="s">
        <v>73</v>
      </c>
      <c r="AT52" s="14" t="s">
        <v>74</v>
      </c>
      <c r="AU52" s="14" t="s">
        <v>73</v>
      </c>
      <c r="AV52" s="14" t="s">
        <v>74</v>
      </c>
      <c r="AW52" s="14" t="s">
        <v>74</v>
      </c>
      <c r="AX52" s="14" t="s">
        <v>73</v>
      </c>
      <c r="AY52" s="14" t="s">
        <v>73</v>
      </c>
      <c r="AZ52" s="14" t="s">
        <v>73</v>
      </c>
      <c r="BA52" s="15" t="s">
        <v>73</v>
      </c>
      <c r="BB52" s="23" t="s">
        <v>817</v>
      </c>
      <c r="BC52" s="23" t="s">
        <v>818</v>
      </c>
      <c r="BD52" s="23" t="s">
        <v>819</v>
      </c>
      <c r="BE52" s="23" t="s">
        <v>820</v>
      </c>
      <c r="BF52" s="14" t="s">
        <v>821</v>
      </c>
    </row>
    <row r="53" ht="24" customHeight="1" spans="1:58">
      <c r="A53" s="14" t="str">
        <f>_xlfn.DISPIMG("ID_8DEA424174454E02804FE6273C055A56",1)</f>
        <v>=DISPIMG("ID_8DEA424174454E02804FE6273C055A56",1)</v>
      </c>
      <c r="B53" s="15" t="s">
        <v>822</v>
      </c>
      <c r="C53" s="15" t="s">
        <v>73</v>
      </c>
      <c r="D53" s="15" t="s">
        <v>73</v>
      </c>
      <c r="E53" s="15" t="s">
        <v>763</v>
      </c>
      <c r="F53" s="15" t="s">
        <v>764</v>
      </c>
      <c r="G53" s="15" t="s">
        <v>823</v>
      </c>
      <c r="H53" s="15" t="s">
        <v>824</v>
      </c>
      <c r="I53" s="15" t="s">
        <v>825</v>
      </c>
      <c r="J53" s="15" t="s">
        <v>822</v>
      </c>
      <c r="K53" s="15" t="s">
        <v>65</v>
      </c>
      <c r="L53" s="15" t="s">
        <v>66</v>
      </c>
      <c r="M53" s="18">
        <v>8302</v>
      </c>
      <c r="N53" s="18">
        <v>-2873</v>
      </c>
      <c r="O53" s="19">
        <v>-0.5292</v>
      </c>
      <c r="P53" s="20" t="s">
        <v>67</v>
      </c>
      <c r="Q53" s="22" t="s">
        <v>826</v>
      </c>
      <c r="R53" s="18">
        <v>4889</v>
      </c>
      <c r="S53" s="19">
        <v>1.3522</v>
      </c>
      <c r="T53" s="18">
        <v>156399.11</v>
      </c>
      <c r="U53" s="23" t="s">
        <v>432</v>
      </c>
      <c r="V53" s="18">
        <v>6398</v>
      </c>
      <c r="W53" s="24">
        <v>126</v>
      </c>
      <c r="X53" s="25">
        <v>31.99</v>
      </c>
      <c r="AB53" s="24">
        <v>80</v>
      </c>
      <c r="AC53" s="18">
        <v>42</v>
      </c>
      <c r="AD53" s="28">
        <v>4.3</v>
      </c>
      <c r="AE53" s="29">
        <v>0.0086</v>
      </c>
      <c r="AF53" s="25">
        <v>5.9</v>
      </c>
      <c r="AG53" s="19">
        <v>0.6033</v>
      </c>
      <c r="AI53" s="14" t="s">
        <v>827</v>
      </c>
      <c r="AJ53" s="24">
        <v>98</v>
      </c>
      <c r="AK53" s="14" t="s">
        <v>92</v>
      </c>
      <c r="AL53" s="24">
        <v>10</v>
      </c>
      <c r="AM53" s="24">
        <v>1</v>
      </c>
      <c r="AN53" s="15" t="s">
        <v>763</v>
      </c>
      <c r="AO53" s="14" t="s">
        <v>92</v>
      </c>
      <c r="AP53" s="14" t="s">
        <v>94</v>
      </c>
      <c r="AQ53" s="15" t="s">
        <v>772</v>
      </c>
      <c r="AR53" s="14" t="s">
        <v>773</v>
      </c>
      <c r="AS53" s="14" t="s">
        <v>73</v>
      </c>
      <c r="AT53" s="14" t="s">
        <v>73</v>
      </c>
      <c r="AU53" s="14" t="s">
        <v>74</v>
      </c>
      <c r="AV53" s="14" t="s">
        <v>74</v>
      </c>
      <c r="AW53" s="14" t="s">
        <v>74</v>
      </c>
      <c r="AX53" s="14" t="s">
        <v>73</v>
      </c>
      <c r="AY53" s="14" t="s">
        <v>73</v>
      </c>
      <c r="AZ53" s="14" t="s">
        <v>73</v>
      </c>
      <c r="BA53" s="15" t="s">
        <v>73</v>
      </c>
      <c r="BB53" s="7"/>
      <c r="BC53" s="23" t="s">
        <v>828</v>
      </c>
      <c r="BD53" s="23" t="s">
        <v>829</v>
      </c>
      <c r="BE53" s="23" t="s">
        <v>830</v>
      </c>
      <c r="BF53" s="14" t="s">
        <v>831</v>
      </c>
    </row>
    <row r="54" ht="24" customHeight="1" spans="1:58">
      <c r="A54" s="14" t="str">
        <f>_xlfn.DISPIMG("ID_FAA0546D6F324084A7827A25CD6C1174",1)</f>
        <v>=DISPIMG("ID_FAA0546D6F324084A7827A25CD6C1174",1)</v>
      </c>
      <c r="B54" s="15" t="s">
        <v>832</v>
      </c>
      <c r="C54" s="15" t="s">
        <v>73</v>
      </c>
      <c r="D54" s="15" t="s">
        <v>73</v>
      </c>
      <c r="E54" s="15" t="s">
        <v>763</v>
      </c>
      <c r="F54" s="15" t="s">
        <v>764</v>
      </c>
      <c r="G54" s="15" t="s">
        <v>833</v>
      </c>
      <c r="H54" s="15" t="s">
        <v>834</v>
      </c>
      <c r="I54" s="15" t="s">
        <v>835</v>
      </c>
      <c r="J54" s="15" t="s">
        <v>832</v>
      </c>
      <c r="K54" s="15" t="s">
        <v>65</v>
      </c>
      <c r="L54" s="15" t="s">
        <v>66</v>
      </c>
      <c r="M54" s="18">
        <v>8649</v>
      </c>
      <c r="N54" s="18">
        <v>1837</v>
      </c>
      <c r="O54" s="19">
        <v>0.1752</v>
      </c>
      <c r="P54" s="20" t="s">
        <v>67</v>
      </c>
      <c r="Q54" s="22" t="s">
        <v>705</v>
      </c>
      <c r="R54" s="18">
        <v>4231</v>
      </c>
      <c r="S54" s="19">
        <v>1.2885</v>
      </c>
      <c r="T54" s="18">
        <v>139580.7</v>
      </c>
      <c r="U54" s="23" t="s">
        <v>247</v>
      </c>
      <c r="V54" s="18">
        <v>3299</v>
      </c>
      <c r="W54" s="24">
        <v>137</v>
      </c>
      <c r="X54" s="25">
        <v>32.99</v>
      </c>
      <c r="AB54" s="24">
        <v>65</v>
      </c>
      <c r="AC54" s="18">
        <v>28</v>
      </c>
      <c r="AD54" s="28">
        <v>4.1</v>
      </c>
      <c r="AE54" s="29">
        <v>0.0066</v>
      </c>
      <c r="AF54" s="10"/>
      <c r="AG54" s="19">
        <v>0</v>
      </c>
      <c r="AI54" s="14" t="s">
        <v>836</v>
      </c>
      <c r="AJ54" s="24">
        <v>90</v>
      </c>
      <c r="AK54" s="14" t="s">
        <v>92</v>
      </c>
      <c r="AL54" s="24">
        <v>8.8</v>
      </c>
      <c r="AM54" s="24">
        <v>1</v>
      </c>
      <c r="AN54" s="15" t="s">
        <v>763</v>
      </c>
      <c r="AO54" s="14" t="s">
        <v>92</v>
      </c>
      <c r="AP54" s="14" t="s">
        <v>94</v>
      </c>
      <c r="AQ54" s="15" t="s">
        <v>772</v>
      </c>
      <c r="AR54" s="14" t="s">
        <v>773</v>
      </c>
      <c r="AS54" s="14" t="s">
        <v>73</v>
      </c>
      <c r="AT54" s="14" t="s">
        <v>73</v>
      </c>
      <c r="AU54" s="14" t="s">
        <v>74</v>
      </c>
      <c r="AV54" s="14" t="s">
        <v>74</v>
      </c>
      <c r="AW54" s="14" t="s">
        <v>73</v>
      </c>
      <c r="AX54" s="14" t="s">
        <v>73</v>
      </c>
      <c r="AY54" s="14" t="s">
        <v>73</v>
      </c>
      <c r="AZ54" s="14" t="s">
        <v>73</v>
      </c>
      <c r="BA54" s="15" t="s">
        <v>73</v>
      </c>
      <c r="BB54" s="7"/>
      <c r="BC54" s="23" t="s">
        <v>837</v>
      </c>
      <c r="BD54" s="23" t="s">
        <v>838</v>
      </c>
      <c r="BE54" s="23" t="s">
        <v>839</v>
      </c>
      <c r="BF54" s="14" t="s">
        <v>840</v>
      </c>
    </row>
    <row r="55" ht="24" customHeight="1" spans="1:58">
      <c r="A55" s="14" t="str">
        <f>_xlfn.DISPIMG("ID_12AEB74F64B146A5982F723A612156DD",1)</f>
        <v>=DISPIMG("ID_12AEB74F64B146A5982F723A612156DD",1)</v>
      </c>
      <c r="B55" s="15" t="s">
        <v>841</v>
      </c>
      <c r="C55" s="15" t="s">
        <v>81</v>
      </c>
      <c r="D55" s="15" t="s">
        <v>842</v>
      </c>
      <c r="E55" s="15" t="s">
        <v>409</v>
      </c>
      <c r="F55" s="15" t="s">
        <v>410</v>
      </c>
      <c r="G55" s="15" t="s">
        <v>843</v>
      </c>
      <c r="H55" s="15" t="s">
        <v>844</v>
      </c>
      <c r="I55" s="15" t="s">
        <v>845</v>
      </c>
      <c r="J55" s="15" t="s">
        <v>846</v>
      </c>
      <c r="K55" s="15" t="s">
        <v>65</v>
      </c>
      <c r="L55" s="15" t="s">
        <v>66</v>
      </c>
      <c r="M55" s="18">
        <v>8883</v>
      </c>
      <c r="N55" s="18">
        <v>960</v>
      </c>
      <c r="O55" s="19">
        <v>0.054</v>
      </c>
      <c r="P55" s="20" t="s">
        <v>67</v>
      </c>
      <c r="Q55" s="22" t="s">
        <v>805</v>
      </c>
      <c r="R55" s="18">
        <v>444</v>
      </c>
      <c r="S55" s="19">
        <v>0.0159</v>
      </c>
      <c r="T55" s="18">
        <v>13315.56</v>
      </c>
      <c r="U55" s="23" t="s">
        <v>73</v>
      </c>
      <c r="V55" s="18" t="s">
        <v>73</v>
      </c>
      <c r="W55" s="24">
        <v>32</v>
      </c>
      <c r="X55" s="25">
        <v>29.99</v>
      </c>
      <c r="Z55" s="23" t="s">
        <v>847</v>
      </c>
      <c r="AA55" s="8"/>
      <c r="AB55" s="24">
        <v>35</v>
      </c>
      <c r="AC55" s="18">
        <v>4</v>
      </c>
      <c r="AD55" s="28">
        <v>4.3</v>
      </c>
      <c r="AE55" s="29">
        <v>0.009</v>
      </c>
      <c r="AF55" s="25">
        <v>6.53</v>
      </c>
      <c r="AG55" s="19">
        <v>0.5823</v>
      </c>
      <c r="AI55" s="14" t="s">
        <v>848</v>
      </c>
      <c r="AJ55" s="24">
        <v>127</v>
      </c>
      <c r="AK55" s="14" t="s">
        <v>92</v>
      </c>
      <c r="AL55" s="24">
        <v>10</v>
      </c>
      <c r="AM55" s="24">
        <v>1</v>
      </c>
      <c r="AN55" s="15" t="s">
        <v>409</v>
      </c>
      <c r="AO55" s="14" t="s">
        <v>92</v>
      </c>
      <c r="AP55" s="14" t="s">
        <v>94</v>
      </c>
      <c r="AQ55" s="15" t="s">
        <v>418</v>
      </c>
      <c r="AR55" s="14" t="s">
        <v>419</v>
      </c>
      <c r="AS55" s="14" t="s">
        <v>73</v>
      </c>
      <c r="AT55" s="14" t="s">
        <v>73</v>
      </c>
      <c r="AU55" s="14" t="s">
        <v>74</v>
      </c>
      <c r="AV55" s="14" t="s">
        <v>74</v>
      </c>
      <c r="AW55" s="14" t="s">
        <v>74</v>
      </c>
      <c r="AX55" s="14" t="s">
        <v>73</v>
      </c>
      <c r="AY55" s="14" t="s">
        <v>74</v>
      </c>
      <c r="AZ55" s="14" t="s">
        <v>73</v>
      </c>
      <c r="BA55" s="15" t="s">
        <v>73</v>
      </c>
      <c r="BC55" s="23" t="s">
        <v>849</v>
      </c>
      <c r="BD55" s="23" t="s">
        <v>850</v>
      </c>
      <c r="BE55" s="23" t="s">
        <v>851</v>
      </c>
      <c r="BF55" s="14" t="s">
        <v>852</v>
      </c>
    </row>
    <row r="56" ht="24" customHeight="1" spans="1:58">
      <c r="A56" s="14" t="str">
        <f>_xlfn.DISPIMG("ID_E8072B907FD0475A8A1399ED598DE3C3",1)</f>
        <v>=DISPIMG("ID_E8072B907FD0475A8A1399ED598DE3C3",1)</v>
      </c>
      <c r="B56" s="15" t="s">
        <v>853</v>
      </c>
      <c r="C56" s="15" t="s">
        <v>73</v>
      </c>
      <c r="D56" s="15" t="s">
        <v>73</v>
      </c>
      <c r="E56" s="15" t="s">
        <v>854</v>
      </c>
      <c r="F56" s="15" t="s">
        <v>855</v>
      </c>
      <c r="G56" s="15" t="s">
        <v>856</v>
      </c>
      <c r="H56" s="15" t="s">
        <v>857</v>
      </c>
      <c r="I56" s="15" t="s">
        <v>858</v>
      </c>
      <c r="J56" s="15" t="s">
        <v>853</v>
      </c>
      <c r="K56" s="15" t="s">
        <v>65</v>
      </c>
      <c r="L56" s="15" t="s">
        <v>66</v>
      </c>
      <c r="M56" s="18">
        <v>8938</v>
      </c>
      <c r="N56" s="18">
        <v>7923</v>
      </c>
      <c r="O56" s="19">
        <v>0.2769</v>
      </c>
      <c r="P56" s="20" t="s">
        <v>67</v>
      </c>
      <c r="Q56" s="22" t="s">
        <v>859</v>
      </c>
      <c r="R56" s="18">
        <v>2242</v>
      </c>
      <c r="S56" s="19">
        <v>0.1619</v>
      </c>
      <c r="T56" s="18">
        <v>112077.586</v>
      </c>
      <c r="U56" s="23" t="s">
        <v>247</v>
      </c>
      <c r="V56" s="18">
        <v>4999</v>
      </c>
      <c r="W56" s="24">
        <v>86</v>
      </c>
      <c r="X56" s="25">
        <v>49.99</v>
      </c>
      <c r="AB56" s="24">
        <v>949</v>
      </c>
      <c r="AC56" s="18">
        <v>91</v>
      </c>
      <c r="AD56" s="28">
        <v>4</v>
      </c>
      <c r="AE56" s="29">
        <v>0.0406</v>
      </c>
      <c r="AF56" s="25">
        <v>7.27</v>
      </c>
      <c r="AG56" s="19">
        <v>0.6546</v>
      </c>
      <c r="AI56" s="14" t="s">
        <v>860</v>
      </c>
      <c r="AJ56" s="24">
        <v>389</v>
      </c>
      <c r="AK56" s="14" t="s">
        <v>92</v>
      </c>
      <c r="AL56" s="24">
        <v>10</v>
      </c>
      <c r="AM56" s="24">
        <v>1</v>
      </c>
      <c r="AN56" s="15" t="s">
        <v>861</v>
      </c>
      <c r="AO56" s="14" t="s">
        <v>92</v>
      </c>
      <c r="AP56" s="14" t="s">
        <v>94</v>
      </c>
      <c r="AQ56" s="15" t="s">
        <v>862</v>
      </c>
      <c r="AR56" s="14" t="s">
        <v>863</v>
      </c>
      <c r="AS56" s="14" t="s">
        <v>73</v>
      </c>
      <c r="AT56" s="14" t="s">
        <v>73</v>
      </c>
      <c r="AU56" s="14" t="s">
        <v>73</v>
      </c>
      <c r="AV56" s="14" t="s">
        <v>74</v>
      </c>
      <c r="AW56" s="14" t="s">
        <v>74</v>
      </c>
      <c r="AX56" s="14" t="s">
        <v>73</v>
      </c>
      <c r="AY56" s="14" t="s">
        <v>73</v>
      </c>
      <c r="AZ56" s="14" t="s">
        <v>73</v>
      </c>
      <c r="BA56" s="15" t="s">
        <v>73</v>
      </c>
      <c r="BC56" s="23" t="s">
        <v>864</v>
      </c>
      <c r="BD56" s="23" t="s">
        <v>865</v>
      </c>
      <c r="BE56" s="23" t="s">
        <v>866</v>
      </c>
      <c r="BF56" s="14" t="s">
        <v>867</v>
      </c>
    </row>
    <row r="57" ht="24" customHeight="1" spans="1:58">
      <c r="A57" s="14" t="str">
        <f>_xlfn.DISPIMG("ID_F8B25F33307E41D0ABC3F51ED47BD368",1)</f>
        <v>=DISPIMG("ID_F8B25F33307E41D0ABC3F51ED47BD368",1)</v>
      </c>
      <c r="B57" s="15" t="s">
        <v>868</v>
      </c>
      <c r="C57" s="15" t="s">
        <v>73</v>
      </c>
      <c r="D57" s="15" t="s">
        <v>73</v>
      </c>
      <c r="E57" s="15" t="s">
        <v>59</v>
      </c>
      <c r="F57" s="15" t="s">
        <v>60</v>
      </c>
      <c r="G57" s="15" t="s">
        <v>869</v>
      </c>
      <c r="H57" s="15" t="s">
        <v>870</v>
      </c>
      <c r="I57" s="15" t="s">
        <v>871</v>
      </c>
      <c r="J57" s="15" t="s">
        <v>868</v>
      </c>
      <c r="K57" s="15" t="s">
        <v>65</v>
      </c>
      <c r="L57" s="15" t="s">
        <v>66</v>
      </c>
      <c r="M57" s="18">
        <v>9191</v>
      </c>
      <c r="N57" s="18">
        <v>3985</v>
      </c>
      <c r="O57" s="19">
        <v>0.3024</v>
      </c>
      <c r="P57" s="20" t="s">
        <v>67</v>
      </c>
      <c r="Q57" s="22" t="s">
        <v>872</v>
      </c>
      <c r="R57" s="18">
        <v>2388</v>
      </c>
      <c r="S57" s="19">
        <v>2.7075</v>
      </c>
      <c r="T57" s="18">
        <v>38208</v>
      </c>
      <c r="U57" s="23" t="s">
        <v>368</v>
      </c>
      <c r="V57" s="18">
        <v>6400</v>
      </c>
      <c r="W57" s="24">
        <v>14</v>
      </c>
      <c r="X57" s="25">
        <v>16</v>
      </c>
      <c r="AA57" s="18">
        <v>4</v>
      </c>
      <c r="AB57" s="24">
        <v>764</v>
      </c>
      <c r="AC57" s="18">
        <v>21</v>
      </c>
      <c r="AD57" s="28">
        <v>4.1</v>
      </c>
      <c r="AE57" s="29">
        <v>0.0088</v>
      </c>
      <c r="AF57" s="25">
        <v>6.53</v>
      </c>
      <c r="AG57" s="19">
        <v>0.3919</v>
      </c>
      <c r="AI57" s="14" t="s">
        <v>451</v>
      </c>
      <c r="AJ57" s="24">
        <v>189</v>
      </c>
      <c r="AK57" s="14" t="s">
        <v>71</v>
      </c>
      <c r="AL57" s="24">
        <v>8</v>
      </c>
      <c r="AM57" s="24">
        <v>2</v>
      </c>
      <c r="AN57" s="15" t="s">
        <v>452</v>
      </c>
      <c r="AO57" s="14" t="s">
        <v>71</v>
      </c>
      <c r="AP57" s="14" t="s">
        <v>73</v>
      </c>
      <c r="AQ57" s="15" t="s">
        <v>73</v>
      </c>
      <c r="AR57" s="14" t="s">
        <v>73</v>
      </c>
      <c r="AS57" s="14" t="s">
        <v>73</v>
      </c>
      <c r="AT57" s="14" t="s">
        <v>74</v>
      </c>
      <c r="AU57" s="14" t="s">
        <v>73</v>
      </c>
      <c r="AV57" s="14" t="s">
        <v>73</v>
      </c>
      <c r="AW57" s="14" t="s">
        <v>73</v>
      </c>
      <c r="AX57" s="14" t="s">
        <v>73</v>
      </c>
      <c r="AY57" s="14" t="s">
        <v>73</v>
      </c>
      <c r="AZ57" s="14" t="s">
        <v>73</v>
      </c>
      <c r="BA57" s="15" t="s">
        <v>73</v>
      </c>
      <c r="BB57" s="23" t="s">
        <v>873</v>
      </c>
      <c r="BC57" s="23" t="s">
        <v>874</v>
      </c>
      <c r="BD57" s="23" t="s">
        <v>875</v>
      </c>
      <c r="BE57" s="23" t="s">
        <v>876</v>
      </c>
      <c r="BF57" s="14" t="s">
        <v>877</v>
      </c>
    </row>
    <row r="58" ht="24" customHeight="1" spans="1:58">
      <c r="A58" s="14" t="str">
        <f>_xlfn.DISPIMG("ID_CA7A0A81A3CC4EA09F5C94CA13C7290D",1)</f>
        <v>=DISPIMG("ID_CA7A0A81A3CC4EA09F5C94CA13C7290D",1)</v>
      </c>
      <c r="B58" s="15" t="s">
        <v>878</v>
      </c>
      <c r="C58" s="15" t="s">
        <v>73</v>
      </c>
      <c r="D58" s="15" t="s">
        <v>73</v>
      </c>
      <c r="E58" s="15" t="s">
        <v>879</v>
      </c>
      <c r="F58" s="15" t="s">
        <v>880</v>
      </c>
      <c r="G58" s="15" t="s">
        <v>881</v>
      </c>
      <c r="H58" s="15" t="s">
        <v>882</v>
      </c>
      <c r="I58" s="15" t="s">
        <v>883</v>
      </c>
      <c r="J58" s="15" t="s">
        <v>878</v>
      </c>
      <c r="K58" s="15" t="s">
        <v>65</v>
      </c>
      <c r="L58" s="15" t="s">
        <v>66</v>
      </c>
      <c r="M58" s="18">
        <v>9429</v>
      </c>
      <c r="N58" s="18">
        <v>4515</v>
      </c>
      <c r="O58" s="19">
        <v>0.3238</v>
      </c>
      <c r="P58" s="20" t="s">
        <v>67</v>
      </c>
      <c r="Q58" s="22" t="s">
        <v>884</v>
      </c>
      <c r="R58" s="18">
        <v>4121</v>
      </c>
      <c r="S58" s="19">
        <v>2.3434</v>
      </c>
      <c r="T58" s="18">
        <v>90620.79</v>
      </c>
      <c r="U58" s="23" t="s">
        <v>150</v>
      </c>
      <c r="V58" s="18">
        <v>10995</v>
      </c>
      <c r="W58" s="24">
        <v>35</v>
      </c>
      <c r="X58" s="25">
        <v>21.99</v>
      </c>
      <c r="AA58" s="18">
        <v>4</v>
      </c>
      <c r="AB58" s="24">
        <v>391</v>
      </c>
      <c r="AC58" s="18">
        <v>0</v>
      </c>
      <c r="AD58" s="28">
        <v>4.7</v>
      </c>
      <c r="AE58" s="29">
        <v>0</v>
      </c>
      <c r="AF58" s="25">
        <v>6.92</v>
      </c>
      <c r="AG58" s="19">
        <v>0.4853</v>
      </c>
      <c r="AI58" s="14" t="s">
        <v>885</v>
      </c>
      <c r="AJ58" s="24">
        <v>401</v>
      </c>
      <c r="AK58" s="14" t="s">
        <v>92</v>
      </c>
      <c r="AL58" s="24">
        <v>10</v>
      </c>
      <c r="AM58" s="24">
        <v>1</v>
      </c>
      <c r="AN58" s="15" t="s">
        <v>886</v>
      </c>
      <c r="AO58" s="14" t="s">
        <v>92</v>
      </c>
      <c r="AP58" s="14" t="s">
        <v>94</v>
      </c>
      <c r="AQ58" s="15" t="s">
        <v>887</v>
      </c>
      <c r="AR58" s="14" t="s">
        <v>888</v>
      </c>
      <c r="AS58" s="14" t="s">
        <v>73</v>
      </c>
      <c r="AT58" s="14" t="s">
        <v>74</v>
      </c>
      <c r="AU58" s="14" t="s">
        <v>73</v>
      </c>
      <c r="AV58" s="14" t="s">
        <v>74</v>
      </c>
      <c r="AW58" s="14" t="s">
        <v>74</v>
      </c>
      <c r="AX58" s="14" t="s">
        <v>73</v>
      </c>
      <c r="AY58" s="14" t="s">
        <v>73</v>
      </c>
      <c r="AZ58" s="14" t="s">
        <v>73</v>
      </c>
      <c r="BA58" s="15" t="s">
        <v>73</v>
      </c>
      <c r="BB58" s="23" t="s">
        <v>889</v>
      </c>
      <c r="BC58" s="23" t="s">
        <v>890</v>
      </c>
      <c r="BD58" s="23" t="s">
        <v>891</v>
      </c>
      <c r="BE58" s="23" t="s">
        <v>892</v>
      </c>
      <c r="BF58" s="14" t="s">
        <v>893</v>
      </c>
    </row>
    <row r="59" ht="24" customHeight="1" spans="1:58">
      <c r="A59" s="14" t="str">
        <f>_xlfn.DISPIMG("ID_085D2DDB5EF34714B9510AE69141425B",1)</f>
        <v>=DISPIMG("ID_085D2DDB5EF34714B9510AE69141425B",1)</v>
      </c>
      <c r="B59" s="15" t="s">
        <v>894</v>
      </c>
      <c r="C59" s="15" t="s">
        <v>73</v>
      </c>
      <c r="D59" s="15" t="s">
        <v>73</v>
      </c>
      <c r="E59" s="15" t="s">
        <v>895</v>
      </c>
      <c r="F59" s="15" t="s">
        <v>896</v>
      </c>
      <c r="G59" s="15" t="s">
        <v>897</v>
      </c>
      <c r="H59" s="15" t="s">
        <v>898</v>
      </c>
      <c r="I59" s="15" t="s">
        <v>899</v>
      </c>
      <c r="J59" s="15" t="s">
        <v>894</v>
      </c>
      <c r="K59" s="15" t="s">
        <v>65</v>
      </c>
      <c r="L59" s="15" t="s">
        <v>66</v>
      </c>
      <c r="M59" s="18">
        <v>9877</v>
      </c>
      <c r="N59" s="18">
        <v>-2992</v>
      </c>
      <c r="O59" s="19">
        <v>-0.4346</v>
      </c>
      <c r="P59" s="20" t="s">
        <v>67</v>
      </c>
      <c r="Q59" s="22" t="s">
        <v>900</v>
      </c>
      <c r="R59" s="18">
        <v>3485</v>
      </c>
      <c r="S59" s="19">
        <v>0.9971</v>
      </c>
      <c r="T59" s="18">
        <v>128910.16</v>
      </c>
      <c r="U59" s="23" t="s">
        <v>432</v>
      </c>
      <c r="V59" s="18">
        <v>7398</v>
      </c>
      <c r="W59" s="24">
        <v>135</v>
      </c>
      <c r="X59" s="25">
        <v>36.99</v>
      </c>
      <c r="AA59" s="18">
        <v>42</v>
      </c>
      <c r="AB59" s="24">
        <v>3734</v>
      </c>
      <c r="AC59" s="18">
        <v>32</v>
      </c>
      <c r="AD59" s="28">
        <v>4.4</v>
      </c>
      <c r="AE59" s="29">
        <v>0.0092</v>
      </c>
      <c r="AF59" s="25">
        <v>6.14</v>
      </c>
      <c r="AG59" s="19">
        <v>0.634</v>
      </c>
      <c r="AI59" s="14" t="s">
        <v>901</v>
      </c>
      <c r="AJ59" s="24">
        <v>1608</v>
      </c>
      <c r="AK59" s="14" t="s">
        <v>92</v>
      </c>
      <c r="AL59" s="24">
        <v>8.5</v>
      </c>
      <c r="AM59" s="24">
        <v>1</v>
      </c>
      <c r="AN59" s="15" t="s">
        <v>902</v>
      </c>
      <c r="AO59" s="14" t="s">
        <v>92</v>
      </c>
      <c r="AP59" s="14" t="s">
        <v>94</v>
      </c>
      <c r="AQ59" s="15" t="s">
        <v>903</v>
      </c>
      <c r="AR59" s="14" t="s">
        <v>904</v>
      </c>
      <c r="AS59" s="14" t="s">
        <v>73</v>
      </c>
      <c r="AT59" s="14" t="s">
        <v>74</v>
      </c>
      <c r="AU59" s="14" t="s">
        <v>73</v>
      </c>
      <c r="AV59" s="14" t="s">
        <v>74</v>
      </c>
      <c r="AW59" s="14" t="s">
        <v>74</v>
      </c>
      <c r="AX59" s="14" t="s">
        <v>73</v>
      </c>
      <c r="AY59" s="14" t="s">
        <v>73</v>
      </c>
      <c r="AZ59" s="14" t="s">
        <v>73</v>
      </c>
      <c r="BA59" s="15" t="s">
        <v>73</v>
      </c>
      <c r="BB59" s="23" t="s">
        <v>905</v>
      </c>
      <c r="BC59" s="23" t="s">
        <v>906</v>
      </c>
      <c r="BD59" s="23" t="s">
        <v>907</v>
      </c>
      <c r="BE59" s="23" t="s">
        <v>908</v>
      </c>
      <c r="BF59" s="14" t="s">
        <v>909</v>
      </c>
    </row>
    <row r="60" ht="24" customHeight="1" spans="1:58">
      <c r="A60" s="14" t="str">
        <f>_xlfn.DISPIMG("ID_8131D76CEA37432E9B2A10C4708F3A39",1)</f>
        <v>=DISPIMG("ID_8131D76CEA37432E9B2A10C4708F3A39",1)</v>
      </c>
      <c r="B60" s="15" t="s">
        <v>910</v>
      </c>
      <c r="C60" s="15" t="s">
        <v>73</v>
      </c>
      <c r="D60" s="15" t="s">
        <v>73</v>
      </c>
      <c r="E60" s="15" t="s">
        <v>911</v>
      </c>
      <c r="F60" s="15" t="s">
        <v>912</v>
      </c>
      <c r="G60" s="15" t="s">
        <v>913</v>
      </c>
      <c r="H60" s="15" t="s">
        <v>914</v>
      </c>
      <c r="I60" s="15" t="s">
        <v>915</v>
      </c>
      <c r="J60" s="15" t="s">
        <v>910</v>
      </c>
      <c r="K60" s="15" t="s">
        <v>65</v>
      </c>
      <c r="L60" s="15" t="s">
        <v>66</v>
      </c>
      <c r="M60" s="18">
        <v>10056</v>
      </c>
      <c r="N60" s="18">
        <v>5101</v>
      </c>
      <c r="O60" s="19">
        <v>0.3163</v>
      </c>
      <c r="P60" s="20" t="s">
        <v>67</v>
      </c>
      <c r="Q60" s="22" t="s">
        <v>872</v>
      </c>
      <c r="R60" s="18">
        <v>3346</v>
      </c>
      <c r="S60" s="19">
        <v>0.1176</v>
      </c>
      <c r="T60" s="18">
        <v>137152.55</v>
      </c>
      <c r="U60" s="23" t="s">
        <v>247</v>
      </c>
      <c r="V60" s="18">
        <v>4099</v>
      </c>
      <c r="W60" s="24">
        <v>41</v>
      </c>
      <c r="X60" s="25">
        <v>40.99</v>
      </c>
      <c r="AA60" s="18">
        <v>12</v>
      </c>
      <c r="AB60" s="24">
        <v>886</v>
      </c>
      <c r="AC60" s="18">
        <v>63</v>
      </c>
      <c r="AD60" s="28">
        <v>4.4</v>
      </c>
      <c r="AE60" s="29">
        <v>0.0188</v>
      </c>
      <c r="AF60" s="25">
        <v>7.27</v>
      </c>
      <c r="AG60" s="19">
        <v>0.6226</v>
      </c>
      <c r="AI60" s="14" t="s">
        <v>916</v>
      </c>
      <c r="AJ60" s="24">
        <v>734</v>
      </c>
      <c r="AK60" s="14" t="s">
        <v>92</v>
      </c>
      <c r="AL60" s="24">
        <v>8.6</v>
      </c>
      <c r="AM60" s="24">
        <v>1</v>
      </c>
      <c r="AN60" s="15" t="s">
        <v>917</v>
      </c>
      <c r="AO60" s="14" t="s">
        <v>92</v>
      </c>
      <c r="AP60" s="14" t="s">
        <v>94</v>
      </c>
      <c r="AQ60" s="15" t="s">
        <v>918</v>
      </c>
      <c r="AR60" s="14" t="s">
        <v>919</v>
      </c>
      <c r="AS60" s="14" t="s">
        <v>73</v>
      </c>
      <c r="AT60" s="14" t="s">
        <v>74</v>
      </c>
      <c r="AU60" s="14" t="s">
        <v>74</v>
      </c>
      <c r="AV60" s="14" t="s">
        <v>74</v>
      </c>
      <c r="AW60" s="14" t="s">
        <v>74</v>
      </c>
      <c r="AX60" s="14" t="s">
        <v>73</v>
      </c>
      <c r="AY60" s="14" t="s">
        <v>73</v>
      </c>
      <c r="AZ60" s="14" t="s">
        <v>73</v>
      </c>
      <c r="BA60" s="15" t="s">
        <v>73</v>
      </c>
      <c r="BB60" s="23" t="s">
        <v>920</v>
      </c>
      <c r="BC60" s="23" t="s">
        <v>921</v>
      </c>
      <c r="BD60" s="23" t="s">
        <v>922</v>
      </c>
      <c r="BE60" s="23" t="s">
        <v>923</v>
      </c>
      <c r="BF60" s="14" t="s">
        <v>924</v>
      </c>
    </row>
    <row r="61" ht="24" customHeight="1" spans="1:58">
      <c r="A61" s="14" t="str">
        <f>_xlfn.DISPIMG("ID_5F41335A6DB043158E1F44549E8511FA",1)</f>
        <v>=DISPIMG("ID_5F41335A6DB043158E1F44549E8511FA",1)</v>
      </c>
      <c r="B61" s="15" t="s">
        <v>925</v>
      </c>
      <c r="C61" s="15" t="s">
        <v>73</v>
      </c>
      <c r="D61" s="15" t="s">
        <v>73</v>
      </c>
      <c r="E61" s="15" t="s">
        <v>59</v>
      </c>
      <c r="F61" s="15" t="s">
        <v>60</v>
      </c>
      <c r="G61" s="15" t="s">
        <v>926</v>
      </c>
      <c r="H61" s="15" t="s">
        <v>927</v>
      </c>
      <c r="I61" s="15" t="s">
        <v>928</v>
      </c>
      <c r="J61" s="15" t="s">
        <v>925</v>
      </c>
      <c r="K61" s="15" t="s">
        <v>65</v>
      </c>
      <c r="L61" s="15" t="s">
        <v>66</v>
      </c>
      <c r="M61" s="18">
        <v>10097</v>
      </c>
      <c r="N61" s="18">
        <v>4675</v>
      </c>
      <c r="O61" s="19">
        <v>0.3296</v>
      </c>
      <c r="P61" s="20" t="s">
        <v>67</v>
      </c>
      <c r="Q61" s="22" t="s">
        <v>872</v>
      </c>
      <c r="R61" s="18">
        <v>2116</v>
      </c>
      <c r="S61" s="19">
        <v>0.5215</v>
      </c>
      <c r="T61" s="18">
        <v>39421.08</v>
      </c>
      <c r="U61" s="23" t="s">
        <v>247</v>
      </c>
      <c r="V61" s="18">
        <v>1863</v>
      </c>
      <c r="W61" s="24">
        <v>24</v>
      </c>
      <c r="X61" s="25">
        <v>18.63</v>
      </c>
      <c r="AA61" s="18">
        <v>41</v>
      </c>
      <c r="AB61" s="24">
        <v>10132</v>
      </c>
      <c r="AC61" s="18">
        <v>21</v>
      </c>
      <c r="AD61" s="28">
        <v>4.2</v>
      </c>
      <c r="AE61" s="29">
        <v>0.0099</v>
      </c>
      <c r="AF61" s="25">
        <v>6.92</v>
      </c>
      <c r="AG61" s="19">
        <v>0.4286</v>
      </c>
      <c r="AI61" s="14" t="s">
        <v>929</v>
      </c>
      <c r="AJ61" s="24">
        <v>2738</v>
      </c>
      <c r="AK61" s="14" t="s">
        <v>71</v>
      </c>
      <c r="AL61" s="24">
        <v>8.4</v>
      </c>
      <c r="AM61" s="24">
        <v>4</v>
      </c>
      <c r="AN61" s="15" t="s">
        <v>452</v>
      </c>
      <c r="AO61" s="14" t="s">
        <v>71</v>
      </c>
      <c r="AP61" s="14" t="s">
        <v>73</v>
      </c>
      <c r="AQ61" s="15" t="s">
        <v>73</v>
      </c>
      <c r="AR61" s="14" t="s">
        <v>73</v>
      </c>
      <c r="AS61" s="14" t="s">
        <v>73</v>
      </c>
      <c r="AT61" s="14" t="s">
        <v>74</v>
      </c>
      <c r="AU61" s="14" t="s">
        <v>73</v>
      </c>
      <c r="AV61" s="14" t="s">
        <v>74</v>
      </c>
      <c r="AW61" s="14" t="s">
        <v>73</v>
      </c>
      <c r="AX61" s="14" t="s">
        <v>73</v>
      </c>
      <c r="AY61" s="14" t="s">
        <v>73</v>
      </c>
      <c r="AZ61" s="14" t="s">
        <v>73</v>
      </c>
      <c r="BA61" s="15" t="s">
        <v>73</v>
      </c>
      <c r="BB61" s="23" t="s">
        <v>930</v>
      </c>
      <c r="BC61" s="23" t="s">
        <v>135</v>
      </c>
      <c r="BD61" s="23" t="s">
        <v>136</v>
      </c>
      <c r="BE61" s="23" t="s">
        <v>78</v>
      </c>
      <c r="BF61" s="14" t="s">
        <v>79</v>
      </c>
    </row>
    <row r="62" ht="24" customHeight="1" spans="1:58">
      <c r="A62" s="14" t="str">
        <f>_xlfn.DISPIMG("ID_0EC96455B57145189804D202EE91350A",1)</f>
        <v>=DISPIMG("ID_0EC96455B57145189804D202EE91350A",1)</v>
      </c>
      <c r="B62" s="15" t="s">
        <v>931</v>
      </c>
      <c r="C62" s="15" t="s">
        <v>73</v>
      </c>
      <c r="D62" s="15" t="s">
        <v>73</v>
      </c>
      <c r="E62" s="15" t="s">
        <v>602</v>
      </c>
      <c r="F62" s="15" t="s">
        <v>603</v>
      </c>
      <c r="G62" s="15" t="s">
        <v>932</v>
      </c>
      <c r="H62" s="15" t="s">
        <v>933</v>
      </c>
      <c r="I62" s="15" t="s">
        <v>606</v>
      </c>
      <c r="J62" s="15" t="s">
        <v>931</v>
      </c>
      <c r="K62" s="15" t="s">
        <v>65</v>
      </c>
      <c r="L62" s="15" t="s">
        <v>66</v>
      </c>
      <c r="M62" s="18">
        <v>10298</v>
      </c>
      <c r="N62" s="18">
        <v>5348</v>
      </c>
      <c r="O62" s="19">
        <v>0.283</v>
      </c>
      <c r="P62" s="20" t="s">
        <v>67</v>
      </c>
      <c r="Q62" s="22" t="s">
        <v>934</v>
      </c>
      <c r="R62" s="18">
        <v>3753</v>
      </c>
      <c r="S62" s="19">
        <v>0.7949</v>
      </c>
      <c r="T62" s="18">
        <v>52542</v>
      </c>
      <c r="U62" s="23" t="s">
        <v>150</v>
      </c>
      <c r="V62" s="18">
        <v>7000</v>
      </c>
      <c r="W62" s="24">
        <v>18</v>
      </c>
      <c r="X62" s="25">
        <v>14</v>
      </c>
      <c r="AA62" s="18">
        <v>32</v>
      </c>
      <c r="AB62" s="24">
        <v>7455</v>
      </c>
      <c r="AC62" s="18">
        <v>18</v>
      </c>
      <c r="AD62" s="28">
        <v>4.2</v>
      </c>
      <c r="AE62" s="29">
        <v>0.0049</v>
      </c>
      <c r="AF62" s="25">
        <v>7.13</v>
      </c>
      <c r="AG62" s="19">
        <v>0.2907</v>
      </c>
      <c r="AI62" s="14" t="s">
        <v>935</v>
      </c>
      <c r="AJ62" s="24">
        <v>374</v>
      </c>
      <c r="AK62" s="14" t="s">
        <v>785</v>
      </c>
      <c r="AL62" s="24">
        <v>6.8</v>
      </c>
      <c r="AM62" s="24">
        <v>4</v>
      </c>
      <c r="AN62" s="15" t="s">
        <v>72</v>
      </c>
      <c r="AO62" s="14" t="s">
        <v>785</v>
      </c>
      <c r="AP62" s="14" t="s">
        <v>73</v>
      </c>
      <c r="AQ62" s="15" t="s">
        <v>73</v>
      </c>
      <c r="AR62" s="14" t="s">
        <v>73</v>
      </c>
      <c r="AS62" s="14" t="s">
        <v>73</v>
      </c>
      <c r="AT62" s="14" t="s">
        <v>74</v>
      </c>
      <c r="AU62" s="14" t="s">
        <v>73</v>
      </c>
      <c r="AV62" s="14" t="s">
        <v>73</v>
      </c>
      <c r="AW62" s="14" t="s">
        <v>73</v>
      </c>
      <c r="AX62" s="14" t="s">
        <v>73</v>
      </c>
      <c r="AY62" s="14" t="s">
        <v>73</v>
      </c>
      <c r="AZ62" s="14" t="s">
        <v>73</v>
      </c>
      <c r="BA62" s="15" t="s">
        <v>73</v>
      </c>
      <c r="BB62" s="23" t="s">
        <v>936</v>
      </c>
      <c r="BC62" s="23" t="s">
        <v>669</v>
      </c>
      <c r="BD62" s="23" t="s">
        <v>670</v>
      </c>
      <c r="BE62" s="23" t="s">
        <v>78</v>
      </c>
      <c r="BF62" s="14" t="s">
        <v>79</v>
      </c>
    </row>
    <row r="63" ht="24" customHeight="1" spans="1:58">
      <c r="A63" s="14" t="str">
        <f>_xlfn.DISPIMG("ID_1B343BCEEA5A49F89EAC9A75FDD53F6D",1)</f>
        <v>=DISPIMG("ID_1B343BCEEA5A49F89EAC9A75FDD53F6D",1)</v>
      </c>
      <c r="B63" s="15" t="s">
        <v>937</v>
      </c>
      <c r="C63" s="15" t="s">
        <v>73</v>
      </c>
      <c r="D63" s="15" t="s">
        <v>73</v>
      </c>
      <c r="E63" s="15" t="s">
        <v>938</v>
      </c>
      <c r="F63" s="15" t="s">
        <v>939</v>
      </c>
      <c r="G63" s="15" t="s">
        <v>940</v>
      </c>
      <c r="H63" s="15" t="s">
        <v>941</v>
      </c>
      <c r="I63" s="15" t="s">
        <v>942</v>
      </c>
      <c r="J63" s="15" t="s">
        <v>937</v>
      </c>
      <c r="K63" s="15" t="s">
        <v>65</v>
      </c>
      <c r="L63" s="15" t="s">
        <v>66</v>
      </c>
      <c r="M63" s="18">
        <v>10498</v>
      </c>
      <c r="N63" s="18">
        <v>2160</v>
      </c>
      <c r="O63" s="19">
        <v>0.2011</v>
      </c>
      <c r="P63" s="20" t="s">
        <v>67</v>
      </c>
      <c r="Q63" s="22" t="s">
        <v>943</v>
      </c>
      <c r="R63" s="18">
        <v>4697</v>
      </c>
      <c r="S63" s="19">
        <v>0.3331</v>
      </c>
      <c r="T63" s="18">
        <v>140816.06</v>
      </c>
      <c r="U63" s="23" t="s">
        <v>432</v>
      </c>
      <c r="V63" s="18">
        <v>5996</v>
      </c>
      <c r="W63" s="24">
        <v>84</v>
      </c>
      <c r="X63" s="25">
        <v>29.98</v>
      </c>
      <c r="AA63" s="18">
        <v>6</v>
      </c>
      <c r="AB63" s="24">
        <v>141</v>
      </c>
      <c r="AC63" s="18">
        <v>73</v>
      </c>
      <c r="AD63" s="28">
        <v>4.3</v>
      </c>
      <c r="AE63" s="29">
        <v>0.0155</v>
      </c>
      <c r="AF63" s="25">
        <v>5.39</v>
      </c>
      <c r="AG63" s="19">
        <v>0.6202</v>
      </c>
      <c r="AI63" s="14" t="s">
        <v>944</v>
      </c>
      <c r="AJ63" s="24">
        <v>313</v>
      </c>
      <c r="AK63" s="14" t="s">
        <v>92</v>
      </c>
      <c r="AL63" s="24">
        <v>10</v>
      </c>
      <c r="AM63" s="24">
        <v>1</v>
      </c>
      <c r="AN63" s="15" t="s">
        <v>938</v>
      </c>
      <c r="AO63" s="14" t="s">
        <v>92</v>
      </c>
      <c r="AP63" s="14" t="s">
        <v>94</v>
      </c>
      <c r="AQ63" s="15" t="s">
        <v>945</v>
      </c>
      <c r="AR63" s="14" t="s">
        <v>946</v>
      </c>
      <c r="AS63" s="14" t="s">
        <v>74</v>
      </c>
      <c r="AT63" s="14" t="s">
        <v>73</v>
      </c>
      <c r="AU63" s="14" t="s">
        <v>73</v>
      </c>
      <c r="AV63" s="14" t="s">
        <v>74</v>
      </c>
      <c r="AW63" s="14" t="s">
        <v>73</v>
      </c>
      <c r="AX63" s="14" t="s">
        <v>73</v>
      </c>
      <c r="AY63" s="14" t="s">
        <v>73</v>
      </c>
      <c r="AZ63" s="14" t="s">
        <v>73</v>
      </c>
      <c r="BA63" s="15" t="s">
        <v>73</v>
      </c>
      <c r="BD63" s="23" t="s">
        <v>73</v>
      </c>
      <c r="BE63" s="23" t="s">
        <v>947</v>
      </c>
      <c r="BF63" s="14" t="s">
        <v>948</v>
      </c>
    </row>
    <row r="64" ht="24" customHeight="1" spans="1:58">
      <c r="A64" s="14" t="str">
        <f>_xlfn.DISPIMG("ID_840196A38F23449AA39396B83223F967",1)</f>
        <v>=DISPIMG("ID_840196A38F23449AA39396B83223F967",1)</v>
      </c>
      <c r="B64" s="15" t="s">
        <v>949</v>
      </c>
      <c r="C64" s="15" t="s">
        <v>73</v>
      </c>
      <c r="D64" s="15" t="s">
        <v>73</v>
      </c>
      <c r="E64" s="15" t="s">
        <v>950</v>
      </c>
      <c r="F64" s="15" t="s">
        <v>951</v>
      </c>
      <c r="G64" s="15" t="s">
        <v>952</v>
      </c>
      <c r="H64" s="15" t="s">
        <v>953</v>
      </c>
      <c r="I64" s="15" t="s">
        <v>954</v>
      </c>
      <c r="J64" s="15" t="s">
        <v>949</v>
      </c>
      <c r="K64" s="15" t="s">
        <v>65</v>
      </c>
      <c r="L64" s="15" t="s">
        <v>66</v>
      </c>
      <c r="M64" s="18">
        <v>10540</v>
      </c>
      <c r="N64" s="18">
        <v>38873</v>
      </c>
      <c r="O64" s="19">
        <v>0.7867</v>
      </c>
      <c r="P64" s="20" t="s">
        <v>67</v>
      </c>
      <c r="Q64" s="22" t="s">
        <v>955</v>
      </c>
      <c r="R64" s="18">
        <v>910</v>
      </c>
      <c r="S64" s="19">
        <v>10.0135</v>
      </c>
      <c r="T64" s="18">
        <v>14550.899</v>
      </c>
      <c r="U64" s="23" t="s">
        <v>247</v>
      </c>
      <c r="V64" s="18">
        <v>1599</v>
      </c>
      <c r="W64" s="24">
        <v>37</v>
      </c>
      <c r="X64" s="25">
        <v>15.99</v>
      </c>
      <c r="AB64" s="24">
        <v>25</v>
      </c>
      <c r="AC64" s="18">
        <v>8</v>
      </c>
      <c r="AD64" s="28">
        <v>4.3</v>
      </c>
      <c r="AE64" s="29">
        <v>0.0088</v>
      </c>
      <c r="AF64" s="25">
        <v>6.27</v>
      </c>
      <c r="AG64" s="19">
        <v>0.4079</v>
      </c>
      <c r="AI64" s="14" t="s">
        <v>956</v>
      </c>
      <c r="AJ64" s="24">
        <v>108</v>
      </c>
      <c r="AK64" s="14" t="s">
        <v>92</v>
      </c>
      <c r="AL64" s="24">
        <v>9</v>
      </c>
      <c r="AM64" s="24">
        <v>1</v>
      </c>
      <c r="AN64" s="15" t="s">
        <v>957</v>
      </c>
      <c r="AO64" s="14" t="s">
        <v>92</v>
      </c>
      <c r="AP64" s="14" t="s">
        <v>131</v>
      </c>
      <c r="AQ64" s="15" t="s">
        <v>958</v>
      </c>
      <c r="AR64" s="14" t="s">
        <v>959</v>
      </c>
      <c r="AS64" s="14" t="s">
        <v>73</v>
      </c>
      <c r="AT64" s="14" t="s">
        <v>73</v>
      </c>
      <c r="AU64" s="14" t="s">
        <v>73</v>
      </c>
      <c r="AV64" s="14" t="s">
        <v>74</v>
      </c>
      <c r="AW64" s="14" t="s">
        <v>73</v>
      </c>
      <c r="AX64" s="14" t="s">
        <v>73</v>
      </c>
      <c r="AY64" s="14" t="s">
        <v>73</v>
      </c>
      <c r="AZ64" s="14" t="s">
        <v>73</v>
      </c>
      <c r="BA64" s="15" t="s">
        <v>73</v>
      </c>
      <c r="BB64" s="7"/>
      <c r="BC64" s="23" t="s">
        <v>960</v>
      </c>
      <c r="BD64" s="23" t="s">
        <v>961</v>
      </c>
      <c r="BE64" s="23" t="s">
        <v>962</v>
      </c>
      <c r="BF64" s="14" t="s">
        <v>963</v>
      </c>
    </row>
    <row r="65" ht="24" customHeight="1" spans="1:58">
      <c r="A65" s="14" t="str">
        <f>_xlfn.DISPIMG("ID_39B11A93644B4B6D9B112611C99E3361",1)</f>
        <v>=DISPIMG("ID_39B11A93644B4B6D9B112611C99E3361",1)</v>
      </c>
      <c r="B65" s="15" t="s">
        <v>964</v>
      </c>
      <c r="C65" s="15" t="s">
        <v>73</v>
      </c>
      <c r="D65" s="15" t="s">
        <v>73</v>
      </c>
      <c r="E65" s="15" t="s">
        <v>965</v>
      </c>
      <c r="F65" s="15" t="s">
        <v>966</v>
      </c>
      <c r="G65" s="15" t="s">
        <v>967</v>
      </c>
      <c r="H65" s="15" t="s">
        <v>968</v>
      </c>
      <c r="I65" s="15" t="s">
        <v>969</v>
      </c>
      <c r="J65" s="15" t="s">
        <v>964</v>
      </c>
      <c r="K65" s="15" t="s">
        <v>65</v>
      </c>
      <c r="L65" s="15" t="s">
        <v>66</v>
      </c>
      <c r="M65" s="18">
        <v>10665</v>
      </c>
      <c r="N65" s="18">
        <v>-544</v>
      </c>
      <c r="O65" s="19">
        <v>-0.0559</v>
      </c>
      <c r="P65" s="20" t="s">
        <v>67</v>
      </c>
      <c r="Q65" s="22" t="s">
        <v>970</v>
      </c>
      <c r="R65" s="18">
        <v>3672</v>
      </c>
      <c r="S65" s="19">
        <v>0.3563</v>
      </c>
      <c r="T65" s="18">
        <v>73403.28</v>
      </c>
      <c r="U65" s="23" t="s">
        <v>432</v>
      </c>
      <c r="V65" s="18">
        <v>3998</v>
      </c>
      <c r="W65" s="24">
        <v>77</v>
      </c>
      <c r="X65" s="25">
        <v>19.99</v>
      </c>
      <c r="AA65" s="18">
        <v>62</v>
      </c>
      <c r="AB65" s="24">
        <v>949</v>
      </c>
      <c r="AC65" s="18">
        <v>30</v>
      </c>
      <c r="AD65" s="28">
        <v>4.2</v>
      </c>
      <c r="AE65" s="29">
        <v>0.0082</v>
      </c>
      <c r="AF65" s="25">
        <v>6.92</v>
      </c>
      <c r="AG65" s="19">
        <v>0.4538</v>
      </c>
      <c r="AI65" s="14" t="s">
        <v>971</v>
      </c>
      <c r="AJ65" s="24">
        <v>122</v>
      </c>
      <c r="AK65" s="14" t="s">
        <v>92</v>
      </c>
      <c r="AL65" s="24">
        <v>7.6</v>
      </c>
      <c r="AM65" s="24">
        <v>1</v>
      </c>
      <c r="AN65" s="15" t="s">
        <v>972</v>
      </c>
      <c r="AO65" s="14" t="s">
        <v>92</v>
      </c>
      <c r="AP65" s="14" t="s">
        <v>94</v>
      </c>
      <c r="AQ65" s="15" t="s">
        <v>973</v>
      </c>
      <c r="AR65" s="14" t="s">
        <v>974</v>
      </c>
      <c r="AS65" s="14" t="s">
        <v>73</v>
      </c>
      <c r="AT65" s="14" t="s">
        <v>73</v>
      </c>
      <c r="AU65" s="14" t="s">
        <v>73</v>
      </c>
      <c r="AV65" s="14" t="s">
        <v>74</v>
      </c>
      <c r="AW65" s="14" t="s">
        <v>73</v>
      </c>
      <c r="AX65" s="14" t="s">
        <v>73</v>
      </c>
      <c r="AY65" s="14" t="s">
        <v>73</v>
      </c>
      <c r="AZ65" s="14" t="s">
        <v>73</v>
      </c>
      <c r="BA65" s="15" t="s">
        <v>73</v>
      </c>
      <c r="BC65" s="23" t="s">
        <v>97</v>
      </c>
      <c r="BD65" s="23" t="s">
        <v>98</v>
      </c>
      <c r="BE65" s="23" t="s">
        <v>975</v>
      </c>
      <c r="BF65" s="14" t="s">
        <v>976</v>
      </c>
    </row>
    <row r="66" ht="24" customHeight="1" spans="1:58">
      <c r="A66" s="14" t="str">
        <f>_xlfn.DISPIMG("ID_DD240A4A26024972A6C1921CA29D82CD",1)</f>
        <v>=DISPIMG("ID_DD240A4A26024972A6C1921CA29D82CD",1)</v>
      </c>
      <c r="B66" s="15" t="s">
        <v>977</v>
      </c>
      <c r="C66" s="15" t="s">
        <v>73</v>
      </c>
      <c r="D66" s="15" t="s">
        <v>73</v>
      </c>
      <c r="E66" s="15" t="s">
        <v>978</v>
      </c>
      <c r="F66" s="15" t="s">
        <v>979</v>
      </c>
      <c r="G66" s="15" t="s">
        <v>980</v>
      </c>
      <c r="H66" s="15" t="s">
        <v>981</v>
      </c>
      <c r="I66" s="15" t="s">
        <v>982</v>
      </c>
      <c r="J66" s="15" t="s">
        <v>977</v>
      </c>
      <c r="K66" s="15" t="s">
        <v>65</v>
      </c>
      <c r="L66" s="15" t="s">
        <v>66</v>
      </c>
      <c r="M66" s="18">
        <v>10980</v>
      </c>
      <c r="N66" s="18">
        <v>-1166</v>
      </c>
      <c r="O66" s="19">
        <v>-0.136</v>
      </c>
      <c r="P66" s="20" t="s">
        <v>67</v>
      </c>
      <c r="Q66" s="22" t="s">
        <v>983</v>
      </c>
      <c r="R66" s="18">
        <v>2956</v>
      </c>
      <c r="S66" s="19">
        <v>0.2303</v>
      </c>
      <c r="T66" s="18">
        <v>136803.67</v>
      </c>
      <c r="U66" s="23" t="s">
        <v>432</v>
      </c>
      <c r="V66" s="18">
        <v>9256</v>
      </c>
      <c r="W66" s="24">
        <v>519</v>
      </c>
      <c r="X66" s="25">
        <v>49.99</v>
      </c>
      <c r="AA66" s="18">
        <v>20</v>
      </c>
      <c r="AB66" s="24">
        <v>5567</v>
      </c>
      <c r="AC66" s="18">
        <v>24</v>
      </c>
      <c r="AD66" s="28">
        <v>4.6</v>
      </c>
      <c r="AE66" s="29">
        <v>0.0081</v>
      </c>
      <c r="AF66" s="25">
        <v>7.13</v>
      </c>
      <c r="AG66" s="19">
        <v>0.6459</v>
      </c>
      <c r="AI66" s="14" t="s">
        <v>984</v>
      </c>
      <c r="AJ66" s="24">
        <v>1753</v>
      </c>
      <c r="AK66" s="14" t="s">
        <v>985</v>
      </c>
      <c r="AL66" s="24">
        <v>9.4</v>
      </c>
      <c r="AM66" s="24">
        <v>12</v>
      </c>
      <c r="AN66" s="15" t="s">
        <v>986</v>
      </c>
      <c r="AO66" s="14" t="s">
        <v>985</v>
      </c>
      <c r="AP66" s="14" t="s">
        <v>131</v>
      </c>
      <c r="AQ66" s="15" t="s">
        <v>987</v>
      </c>
      <c r="AR66" s="14" t="s">
        <v>988</v>
      </c>
      <c r="AS66" s="14" t="s">
        <v>73</v>
      </c>
      <c r="AT66" s="14" t="s">
        <v>74</v>
      </c>
      <c r="AU66" s="14" t="s">
        <v>73</v>
      </c>
      <c r="AV66" s="14" t="s">
        <v>74</v>
      </c>
      <c r="AW66" s="14" t="s">
        <v>74</v>
      </c>
      <c r="AX66" s="14" t="s">
        <v>73</v>
      </c>
      <c r="AY66" s="14" t="s">
        <v>73</v>
      </c>
      <c r="AZ66" s="14" t="s">
        <v>73</v>
      </c>
      <c r="BA66" s="15" t="s">
        <v>73</v>
      </c>
      <c r="BB66" s="23" t="s">
        <v>203</v>
      </c>
      <c r="BC66" s="23" t="s">
        <v>720</v>
      </c>
      <c r="BD66" s="23" t="s">
        <v>670</v>
      </c>
      <c r="BE66" s="23" t="s">
        <v>989</v>
      </c>
      <c r="BF66" s="14" t="s">
        <v>990</v>
      </c>
    </row>
    <row r="67" ht="24" customHeight="1" spans="1:58">
      <c r="A67" s="14" t="str">
        <f>_xlfn.DISPIMG("ID_D74D4428B0E14799BC4288C885F03C34",1)</f>
        <v>=DISPIMG("ID_D74D4428B0E14799BC4288C885F03C34",1)</v>
      </c>
      <c r="B67" s="15" t="s">
        <v>991</v>
      </c>
      <c r="C67" s="15" t="s">
        <v>73</v>
      </c>
      <c r="D67" s="15" t="s">
        <v>73</v>
      </c>
      <c r="E67" s="15" t="s">
        <v>992</v>
      </c>
      <c r="F67" s="15" t="s">
        <v>993</v>
      </c>
      <c r="G67" s="15" t="s">
        <v>994</v>
      </c>
      <c r="H67" s="15" t="s">
        <v>995</v>
      </c>
      <c r="I67" s="15" t="s">
        <v>996</v>
      </c>
      <c r="J67" s="15" t="s">
        <v>991</v>
      </c>
      <c r="K67" s="15" t="s">
        <v>65</v>
      </c>
      <c r="L67" s="15" t="s">
        <v>66</v>
      </c>
      <c r="M67" s="18">
        <v>11052</v>
      </c>
      <c r="N67" s="18">
        <v>896</v>
      </c>
      <c r="O67" s="19">
        <v>0.075</v>
      </c>
      <c r="P67" s="20" t="s">
        <v>67</v>
      </c>
      <c r="Q67" s="22" t="s">
        <v>997</v>
      </c>
      <c r="R67" s="18">
        <v>4585</v>
      </c>
      <c r="S67" s="19">
        <v>3.6377</v>
      </c>
      <c r="T67" s="18">
        <v>137504.16</v>
      </c>
      <c r="U67" s="23" t="s">
        <v>247</v>
      </c>
      <c r="V67" s="18">
        <v>2999</v>
      </c>
      <c r="W67" s="24">
        <v>91</v>
      </c>
      <c r="X67" s="25">
        <v>29.99</v>
      </c>
      <c r="AA67" s="18">
        <v>4</v>
      </c>
      <c r="AB67" s="24">
        <v>1433</v>
      </c>
      <c r="AC67" s="18">
        <v>58</v>
      </c>
      <c r="AD67" s="28">
        <v>4.5</v>
      </c>
      <c r="AE67" s="29">
        <v>0.0126</v>
      </c>
      <c r="AF67" s="25">
        <v>7.27</v>
      </c>
      <c r="AG67" s="19">
        <v>0.5576</v>
      </c>
      <c r="AI67" s="14" t="s">
        <v>998</v>
      </c>
      <c r="AJ67" s="24">
        <v>765</v>
      </c>
      <c r="AK67" s="14" t="s">
        <v>71</v>
      </c>
      <c r="AL67" s="24">
        <v>9.8</v>
      </c>
      <c r="AM67" s="24">
        <v>1</v>
      </c>
      <c r="AN67" s="15" t="s">
        <v>452</v>
      </c>
      <c r="AO67" s="14" t="s">
        <v>71</v>
      </c>
      <c r="AP67" s="14" t="s">
        <v>73</v>
      </c>
      <c r="AQ67" s="15" t="s">
        <v>73</v>
      </c>
      <c r="AR67" s="14" t="s">
        <v>73</v>
      </c>
      <c r="AS67" s="14" t="s">
        <v>73</v>
      </c>
      <c r="AT67" s="14" t="s">
        <v>73</v>
      </c>
      <c r="AU67" s="14" t="s">
        <v>73</v>
      </c>
      <c r="AV67" s="14" t="s">
        <v>74</v>
      </c>
      <c r="AW67" s="14" t="s">
        <v>74</v>
      </c>
      <c r="AX67" s="14" t="s">
        <v>73</v>
      </c>
      <c r="AY67" s="14" t="s">
        <v>73</v>
      </c>
      <c r="AZ67" s="14" t="s">
        <v>73</v>
      </c>
      <c r="BA67" s="15" t="s">
        <v>73</v>
      </c>
      <c r="BC67" s="23" t="s">
        <v>999</v>
      </c>
      <c r="BD67" s="23" t="s">
        <v>1000</v>
      </c>
      <c r="BE67" s="23" t="s">
        <v>1001</v>
      </c>
      <c r="BF67" s="14" t="s">
        <v>1002</v>
      </c>
    </row>
    <row r="68" ht="24" customHeight="1" spans="1:58">
      <c r="A68" s="14" t="str">
        <f>_xlfn.DISPIMG("ID_D2BC2CAC416945B292CFFABEB22563F6",1)</f>
        <v>=DISPIMG("ID_D2BC2CAC416945B292CFFABEB22563F6",1)</v>
      </c>
      <c r="B68" s="15" t="s">
        <v>1003</v>
      </c>
      <c r="C68" s="15" t="s">
        <v>73</v>
      </c>
      <c r="D68" s="15" t="s">
        <v>73</v>
      </c>
      <c r="E68" s="15" t="s">
        <v>409</v>
      </c>
      <c r="F68" s="15" t="s">
        <v>410</v>
      </c>
      <c r="G68" s="15" t="s">
        <v>1004</v>
      </c>
      <c r="H68" s="15" t="s">
        <v>1005</v>
      </c>
      <c r="I68" s="15" t="s">
        <v>1006</v>
      </c>
      <c r="J68" s="15" t="s">
        <v>1003</v>
      </c>
      <c r="K68" s="15" t="s">
        <v>65</v>
      </c>
      <c r="L68" s="15" t="s">
        <v>66</v>
      </c>
      <c r="M68" s="18">
        <v>11111</v>
      </c>
      <c r="N68" s="18">
        <v>1632</v>
      </c>
      <c r="O68" s="19">
        <v>0.1388</v>
      </c>
      <c r="P68" s="20" t="s">
        <v>67</v>
      </c>
      <c r="Q68" s="22" t="s">
        <v>997</v>
      </c>
      <c r="R68" s="18">
        <v>2271</v>
      </c>
      <c r="S68" s="19">
        <v>0.2011</v>
      </c>
      <c r="T68" s="18">
        <v>70378.29</v>
      </c>
      <c r="U68" s="23" t="s">
        <v>432</v>
      </c>
      <c r="V68" s="18">
        <v>6198</v>
      </c>
      <c r="W68" s="24">
        <v>50</v>
      </c>
      <c r="X68" s="25">
        <v>30.99</v>
      </c>
      <c r="AB68" s="24">
        <v>59</v>
      </c>
      <c r="AC68" s="18">
        <v>23</v>
      </c>
      <c r="AD68" s="28">
        <v>4.5</v>
      </c>
      <c r="AE68" s="29">
        <v>0.0101</v>
      </c>
      <c r="AF68" s="25">
        <v>6.53</v>
      </c>
      <c r="AG68" s="19">
        <v>0.5893</v>
      </c>
      <c r="AI68" s="14" t="s">
        <v>1007</v>
      </c>
      <c r="AJ68" s="24">
        <v>103</v>
      </c>
      <c r="AK68" s="14" t="s">
        <v>92</v>
      </c>
      <c r="AL68" s="24">
        <v>10</v>
      </c>
      <c r="AM68" s="24">
        <v>1</v>
      </c>
      <c r="AN68" s="15" t="s">
        <v>409</v>
      </c>
      <c r="AO68" s="14" t="s">
        <v>92</v>
      </c>
      <c r="AP68" s="14" t="s">
        <v>94</v>
      </c>
      <c r="AQ68" s="15" t="s">
        <v>418</v>
      </c>
      <c r="AR68" s="14" t="s">
        <v>419</v>
      </c>
      <c r="AS68" s="14" t="s">
        <v>73</v>
      </c>
      <c r="AT68" s="14" t="s">
        <v>73</v>
      </c>
      <c r="AU68" s="14" t="s">
        <v>73</v>
      </c>
      <c r="AV68" s="14" t="s">
        <v>74</v>
      </c>
      <c r="AW68" s="14" t="s">
        <v>74</v>
      </c>
      <c r="AX68" s="14" t="s">
        <v>73</v>
      </c>
      <c r="AY68" s="14" t="s">
        <v>73</v>
      </c>
      <c r="AZ68" s="14" t="s">
        <v>73</v>
      </c>
      <c r="BA68" s="15" t="s">
        <v>73</v>
      </c>
      <c r="BB68" s="7"/>
      <c r="BC68" s="23" t="s">
        <v>1008</v>
      </c>
      <c r="BD68" s="23" t="s">
        <v>1009</v>
      </c>
      <c r="BE68" s="23" t="s">
        <v>1010</v>
      </c>
      <c r="BF68" s="14" t="s">
        <v>1011</v>
      </c>
    </row>
    <row r="69" ht="24" customHeight="1" spans="1:58">
      <c r="A69" s="14" t="str">
        <f>_xlfn.DISPIMG("ID_79BF45B3FFBE438295BC024561BFB0F0",1)</f>
        <v>=DISPIMG("ID_79BF45B3FFBE438295BC024561BFB0F0",1)</v>
      </c>
      <c r="B69" s="15" t="s">
        <v>1012</v>
      </c>
      <c r="C69" s="15" t="s">
        <v>73</v>
      </c>
      <c r="D69" s="15" t="s">
        <v>73</v>
      </c>
      <c r="E69" s="15" t="s">
        <v>377</v>
      </c>
      <c r="F69" s="15" t="s">
        <v>378</v>
      </c>
      <c r="G69" s="15" t="s">
        <v>1013</v>
      </c>
      <c r="H69" s="15" t="s">
        <v>1014</v>
      </c>
      <c r="I69" s="15" t="s">
        <v>1015</v>
      </c>
      <c r="J69" s="15" t="s">
        <v>1012</v>
      </c>
      <c r="K69" s="15" t="s">
        <v>65</v>
      </c>
      <c r="L69" s="15" t="s">
        <v>66</v>
      </c>
      <c r="M69" s="18">
        <v>11574</v>
      </c>
      <c r="N69" s="18">
        <v>-2012</v>
      </c>
      <c r="O69" s="19">
        <v>-0.2104</v>
      </c>
      <c r="P69" s="20" t="s">
        <v>67</v>
      </c>
      <c r="Q69" s="22" t="s">
        <v>1016</v>
      </c>
      <c r="R69" s="18">
        <v>3694</v>
      </c>
      <c r="S69" s="19">
        <v>0.0793</v>
      </c>
      <c r="T69" s="18">
        <v>140372</v>
      </c>
      <c r="U69" s="23" t="s">
        <v>450</v>
      </c>
      <c r="V69" s="18">
        <v>11400</v>
      </c>
      <c r="W69" s="24">
        <v>105</v>
      </c>
      <c r="X69" s="25">
        <v>38</v>
      </c>
      <c r="AA69" s="18">
        <v>38</v>
      </c>
      <c r="AB69" s="24">
        <v>4123</v>
      </c>
      <c r="AC69" s="18">
        <v>28</v>
      </c>
      <c r="AD69" s="28">
        <v>4.4</v>
      </c>
      <c r="AE69" s="29">
        <v>0.0076</v>
      </c>
      <c r="AF69" s="25">
        <v>6.19</v>
      </c>
      <c r="AG69" s="19">
        <v>0.6371</v>
      </c>
      <c r="AI69" s="14" t="s">
        <v>1017</v>
      </c>
      <c r="AJ69" s="24">
        <v>1040</v>
      </c>
      <c r="AK69" s="14" t="s">
        <v>92</v>
      </c>
      <c r="AL69" s="24">
        <v>8.8</v>
      </c>
      <c r="AM69" s="24">
        <v>1</v>
      </c>
      <c r="AN69" s="15" t="s">
        <v>377</v>
      </c>
      <c r="AO69" s="14" t="s">
        <v>92</v>
      </c>
      <c r="AP69" s="14" t="s">
        <v>94</v>
      </c>
      <c r="AQ69" s="15" t="s">
        <v>387</v>
      </c>
      <c r="AR69" s="14" t="s">
        <v>388</v>
      </c>
      <c r="AS69" s="14" t="s">
        <v>74</v>
      </c>
      <c r="AT69" s="14" t="s">
        <v>73</v>
      </c>
      <c r="AU69" s="14" t="s">
        <v>73</v>
      </c>
      <c r="AV69" s="14" t="s">
        <v>74</v>
      </c>
      <c r="AW69" s="14" t="s">
        <v>73</v>
      </c>
      <c r="AX69" s="14" t="s">
        <v>73</v>
      </c>
      <c r="AY69" s="14" t="s">
        <v>73</v>
      </c>
      <c r="AZ69" s="14" t="s">
        <v>73</v>
      </c>
      <c r="BA69" s="15" t="s">
        <v>73</v>
      </c>
      <c r="BB69" s="7"/>
      <c r="BC69" s="23" t="s">
        <v>1018</v>
      </c>
      <c r="BD69" s="23" t="s">
        <v>1019</v>
      </c>
      <c r="BE69" s="23" t="s">
        <v>1020</v>
      </c>
      <c r="BF69" s="14" t="s">
        <v>1021</v>
      </c>
    </row>
    <row r="70" ht="24" customHeight="1" spans="1:58">
      <c r="A70" s="14" t="str">
        <f>_xlfn.DISPIMG("ID_FEB75834077A4EFC86B2EBCBD6B03F7B",1)</f>
        <v>=DISPIMG("ID_FEB75834077A4EFC86B2EBCBD6B03F7B",1)</v>
      </c>
      <c r="B70" s="15" t="s">
        <v>1022</v>
      </c>
      <c r="C70" s="15" t="s">
        <v>73</v>
      </c>
      <c r="D70" s="15" t="s">
        <v>73</v>
      </c>
      <c r="E70" s="15" t="s">
        <v>1023</v>
      </c>
      <c r="F70" s="15" t="s">
        <v>1024</v>
      </c>
      <c r="G70" s="15" t="s">
        <v>1025</v>
      </c>
      <c r="H70" s="15" t="s">
        <v>1026</v>
      </c>
      <c r="I70" s="15" t="s">
        <v>1027</v>
      </c>
      <c r="J70" s="15" t="s">
        <v>1022</v>
      </c>
      <c r="K70" s="15" t="s">
        <v>65</v>
      </c>
      <c r="L70" s="15" t="s">
        <v>66</v>
      </c>
      <c r="M70" s="18">
        <v>11932</v>
      </c>
      <c r="N70" s="18">
        <v>5916</v>
      </c>
      <c r="O70" s="19">
        <v>0.3147</v>
      </c>
      <c r="P70" s="20" t="s">
        <v>67</v>
      </c>
      <c r="Q70" s="22" t="s">
        <v>1028</v>
      </c>
      <c r="R70" s="18">
        <v>2939</v>
      </c>
      <c r="S70" s="19">
        <v>2.5837</v>
      </c>
      <c r="T70" s="18">
        <v>88140.61</v>
      </c>
      <c r="U70" s="23" t="s">
        <v>247</v>
      </c>
      <c r="V70" s="18">
        <v>2999</v>
      </c>
      <c r="W70" s="24">
        <v>61</v>
      </c>
      <c r="X70" s="25">
        <v>29.99</v>
      </c>
      <c r="AB70" s="24">
        <v>57</v>
      </c>
      <c r="AC70" s="18">
        <v>19</v>
      </c>
      <c r="AD70" s="28">
        <v>4.4</v>
      </c>
      <c r="AE70" s="29">
        <v>0.0065</v>
      </c>
      <c r="AF70" s="25">
        <v>6.53</v>
      </c>
      <c r="AG70" s="19">
        <v>0.5823</v>
      </c>
      <c r="AI70" s="14" t="s">
        <v>796</v>
      </c>
      <c r="AJ70" s="24">
        <v>143</v>
      </c>
      <c r="AK70" s="14" t="s">
        <v>92</v>
      </c>
      <c r="AL70" s="24">
        <v>10</v>
      </c>
      <c r="AM70" s="24">
        <v>1</v>
      </c>
      <c r="AN70" s="15" t="s">
        <v>1029</v>
      </c>
      <c r="AO70" s="14" t="s">
        <v>92</v>
      </c>
      <c r="AP70" s="14" t="s">
        <v>94</v>
      </c>
      <c r="AQ70" s="15" t="s">
        <v>1030</v>
      </c>
      <c r="AR70" s="14" t="s">
        <v>1031</v>
      </c>
      <c r="AS70" s="14" t="s">
        <v>73</v>
      </c>
      <c r="AT70" s="14" t="s">
        <v>73</v>
      </c>
      <c r="AU70" s="14" t="s">
        <v>74</v>
      </c>
      <c r="AV70" s="14" t="s">
        <v>74</v>
      </c>
      <c r="AW70" s="14" t="s">
        <v>74</v>
      </c>
      <c r="AX70" s="14" t="s">
        <v>73</v>
      </c>
      <c r="AY70" s="14" t="s">
        <v>73</v>
      </c>
      <c r="AZ70" s="14" t="s">
        <v>73</v>
      </c>
      <c r="BA70" s="15" t="s">
        <v>73</v>
      </c>
      <c r="BC70" s="23" t="s">
        <v>1032</v>
      </c>
      <c r="BD70" s="23" t="s">
        <v>1033</v>
      </c>
      <c r="BE70" s="23" t="s">
        <v>1034</v>
      </c>
      <c r="BF70" s="14" t="s">
        <v>1035</v>
      </c>
    </row>
    <row r="71" ht="24" customHeight="1" spans="1:58">
      <c r="A71" s="14" t="str">
        <f>_xlfn.DISPIMG("ID_10623C1629E7417A9F7C8437956D9A47",1)</f>
        <v>=DISPIMG("ID_10623C1629E7417A9F7C8437956D9A47",1)</v>
      </c>
      <c r="B71" s="15" t="s">
        <v>1036</v>
      </c>
      <c r="C71" s="15" t="s">
        <v>73</v>
      </c>
      <c r="D71" s="15" t="s">
        <v>73</v>
      </c>
      <c r="E71" s="15" t="s">
        <v>763</v>
      </c>
      <c r="F71" s="15" t="s">
        <v>764</v>
      </c>
      <c r="G71" s="15" t="s">
        <v>1037</v>
      </c>
      <c r="H71" s="15" t="s">
        <v>1038</v>
      </c>
      <c r="I71" s="15" t="s">
        <v>1039</v>
      </c>
      <c r="J71" s="15" t="s">
        <v>1036</v>
      </c>
      <c r="K71" s="15" t="s">
        <v>65</v>
      </c>
      <c r="L71" s="15" t="s">
        <v>66</v>
      </c>
      <c r="M71" s="18">
        <v>11957</v>
      </c>
      <c r="N71" s="18">
        <v>-39</v>
      </c>
      <c r="O71" s="19">
        <v>-0.0033</v>
      </c>
      <c r="P71" s="20" t="s">
        <v>67</v>
      </c>
      <c r="Q71" s="22" t="s">
        <v>1040</v>
      </c>
      <c r="R71" s="18">
        <v>3095</v>
      </c>
      <c r="S71" s="19">
        <v>2.1143</v>
      </c>
      <c r="T71" s="18">
        <v>108263.1</v>
      </c>
      <c r="U71" s="23" t="s">
        <v>247</v>
      </c>
      <c r="V71" s="18">
        <v>3498</v>
      </c>
      <c r="W71" s="24">
        <v>89</v>
      </c>
      <c r="X71" s="25">
        <v>34.98</v>
      </c>
      <c r="AA71" s="18">
        <v>6</v>
      </c>
      <c r="AB71" s="24">
        <v>288</v>
      </c>
      <c r="AC71" s="18">
        <v>22</v>
      </c>
      <c r="AD71" s="28">
        <v>4.3</v>
      </c>
      <c r="AE71" s="29">
        <v>0.0071</v>
      </c>
      <c r="AF71" s="25">
        <v>6.44</v>
      </c>
      <c r="AG71" s="19">
        <v>0.6159</v>
      </c>
      <c r="AI71" s="14" t="s">
        <v>1041</v>
      </c>
      <c r="AJ71" s="24">
        <v>439</v>
      </c>
      <c r="AK71" s="14" t="s">
        <v>92</v>
      </c>
      <c r="AL71" s="24">
        <v>8.8</v>
      </c>
      <c r="AM71" s="24">
        <v>1</v>
      </c>
      <c r="AN71" s="15" t="s">
        <v>763</v>
      </c>
      <c r="AO71" s="14" t="s">
        <v>92</v>
      </c>
      <c r="AP71" s="14" t="s">
        <v>94</v>
      </c>
      <c r="AQ71" s="15" t="s">
        <v>772</v>
      </c>
      <c r="AR71" s="14" t="s">
        <v>773</v>
      </c>
      <c r="AS71" s="14" t="s">
        <v>73</v>
      </c>
      <c r="AT71" s="14" t="s">
        <v>73</v>
      </c>
      <c r="AU71" s="14" t="s">
        <v>73</v>
      </c>
      <c r="AV71" s="14" t="s">
        <v>74</v>
      </c>
      <c r="AW71" s="14" t="s">
        <v>73</v>
      </c>
      <c r="AX71" s="14" t="s">
        <v>73</v>
      </c>
      <c r="AY71" s="14" t="s">
        <v>73</v>
      </c>
      <c r="AZ71" s="14" t="s">
        <v>73</v>
      </c>
      <c r="BA71" s="15" t="s">
        <v>73</v>
      </c>
      <c r="BC71" s="23" t="s">
        <v>651</v>
      </c>
      <c r="BD71" s="23" t="s">
        <v>652</v>
      </c>
      <c r="BE71" s="23" t="s">
        <v>1042</v>
      </c>
      <c r="BF71" s="14" t="s">
        <v>1043</v>
      </c>
    </row>
    <row r="72" ht="24" customHeight="1" spans="1:58">
      <c r="A72" s="14" t="str">
        <f>_xlfn.DISPIMG("ID_63C988540DE14A9EB4D8D8506B7B4537",1)</f>
        <v>=DISPIMG("ID_63C988540DE14A9EB4D8D8506B7B4537",1)</v>
      </c>
      <c r="B72" s="15" t="s">
        <v>1044</v>
      </c>
      <c r="C72" s="15" t="s">
        <v>73</v>
      </c>
      <c r="D72" s="15" t="s">
        <v>73</v>
      </c>
      <c r="E72" s="15" t="s">
        <v>879</v>
      </c>
      <c r="F72" s="15" t="s">
        <v>880</v>
      </c>
      <c r="G72" s="15" t="s">
        <v>1045</v>
      </c>
      <c r="H72" s="15" t="s">
        <v>1046</v>
      </c>
      <c r="I72" s="15" t="s">
        <v>1047</v>
      </c>
      <c r="J72" s="15" t="s">
        <v>1044</v>
      </c>
      <c r="K72" s="15" t="s">
        <v>65</v>
      </c>
      <c r="L72" s="15" t="s">
        <v>66</v>
      </c>
      <c r="M72" s="18">
        <v>12104</v>
      </c>
      <c r="N72" s="18">
        <v>9454</v>
      </c>
      <c r="O72" s="19">
        <v>0.4377</v>
      </c>
      <c r="P72" s="20" t="s">
        <v>67</v>
      </c>
      <c r="Q72" s="22" t="s">
        <v>1048</v>
      </c>
      <c r="R72" s="18">
        <v>2079</v>
      </c>
      <c r="S72" s="19">
        <v>-0.3483</v>
      </c>
      <c r="T72" s="18">
        <v>31164.209</v>
      </c>
      <c r="U72" s="23" t="s">
        <v>368</v>
      </c>
      <c r="V72" s="18">
        <v>5996</v>
      </c>
      <c r="W72" s="24">
        <v>38</v>
      </c>
      <c r="X72" s="25">
        <v>14.99</v>
      </c>
      <c r="AB72" s="24">
        <v>94</v>
      </c>
      <c r="AC72" s="18">
        <v>24</v>
      </c>
      <c r="AD72" s="28">
        <v>4.6</v>
      </c>
      <c r="AE72" s="29">
        <v>0.0115</v>
      </c>
      <c r="AF72" s="25">
        <v>5.39</v>
      </c>
      <c r="AG72" s="19">
        <v>0.4404</v>
      </c>
      <c r="AI72" s="14" t="s">
        <v>1049</v>
      </c>
      <c r="AJ72" s="24">
        <v>80</v>
      </c>
      <c r="AK72" s="14" t="s">
        <v>92</v>
      </c>
      <c r="AL72" s="24">
        <v>10</v>
      </c>
      <c r="AM72" s="24">
        <v>1</v>
      </c>
      <c r="AN72" s="15" t="s">
        <v>886</v>
      </c>
      <c r="AO72" s="14" t="s">
        <v>92</v>
      </c>
      <c r="AP72" s="14" t="s">
        <v>94</v>
      </c>
      <c r="AQ72" s="15" t="s">
        <v>887</v>
      </c>
      <c r="AR72" s="14" t="s">
        <v>888</v>
      </c>
      <c r="AS72" s="14" t="s">
        <v>73</v>
      </c>
      <c r="AT72" s="14" t="s">
        <v>73</v>
      </c>
      <c r="AU72" s="14" t="s">
        <v>74</v>
      </c>
      <c r="AV72" s="14" t="s">
        <v>74</v>
      </c>
      <c r="AW72" s="14" t="s">
        <v>74</v>
      </c>
      <c r="AX72" s="14" t="s">
        <v>73</v>
      </c>
      <c r="AY72" s="14" t="s">
        <v>73</v>
      </c>
      <c r="AZ72" s="14" t="s">
        <v>73</v>
      </c>
      <c r="BA72" s="15" t="s">
        <v>73</v>
      </c>
      <c r="BC72" s="23" t="s">
        <v>1050</v>
      </c>
      <c r="BD72" s="23" t="s">
        <v>1051</v>
      </c>
      <c r="BE72" s="23" t="s">
        <v>1052</v>
      </c>
      <c r="BF72" s="14" t="s">
        <v>1053</v>
      </c>
    </row>
    <row r="73" ht="24" customHeight="1" spans="1:58">
      <c r="A73" s="14" t="str">
        <f>_xlfn.DISPIMG("ID_10CDF607B40F48F3BC436A7F0E1F0607",1)</f>
        <v>=DISPIMG("ID_10CDF607B40F48F3BC436A7F0E1F0607",1)</v>
      </c>
      <c r="B73" s="15" t="s">
        <v>1054</v>
      </c>
      <c r="C73" s="15" t="s">
        <v>73</v>
      </c>
      <c r="D73" s="15" t="s">
        <v>73</v>
      </c>
      <c r="E73" s="15" t="s">
        <v>1055</v>
      </c>
      <c r="F73" s="15" t="s">
        <v>1056</v>
      </c>
      <c r="G73" s="15" t="s">
        <v>1057</v>
      </c>
      <c r="H73" s="15" t="s">
        <v>1058</v>
      </c>
      <c r="I73" s="15" t="s">
        <v>1059</v>
      </c>
      <c r="J73" s="15" t="s">
        <v>1054</v>
      </c>
      <c r="K73" s="15" t="s">
        <v>65</v>
      </c>
      <c r="L73" s="15" t="s">
        <v>66</v>
      </c>
      <c r="M73" s="18">
        <v>12229</v>
      </c>
      <c r="N73" s="18">
        <v>2321</v>
      </c>
      <c r="O73" s="19">
        <v>0.192</v>
      </c>
      <c r="P73" s="20" t="s">
        <v>67</v>
      </c>
      <c r="Q73" s="22" t="s">
        <v>1060</v>
      </c>
      <c r="R73" s="18">
        <v>3033</v>
      </c>
      <c r="S73" s="19">
        <v>0.9855</v>
      </c>
      <c r="T73" s="18">
        <v>93992.67</v>
      </c>
      <c r="U73" s="23" t="s">
        <v>368</v>
      </c>
      <c r="V73" s="18">
        <v>12396</v>
      </c>
      <c r="W73" s="24">
        <v>38</v>
      </c>
      <c r="X73" s="25">
        <v>30.99</v>
      </c>
      <c r="AA73" s="18">
        <v>2</v>
      </c>
      <c r="AB73" s="24">
        <v>457</v>
      </c>
      <c r="AC73" s="18">
        <v>17</v>
      </c>
      <c r="AD73" s="28">
        <v>4.3</v>
      </c>
      <c r="AE73" s="29">
        <v>0.0056</v>
      </c>
      <c r="AF73" s="25">
        <v>7.27</v>
      </c>
      <c r="AG73" s="19">
        <v>0.5654</v>
      </c>
      <c r="AI73" s="14" t="s">
        <v>1061</v>
      </c>
      <c r="AJ73" s="24">
        <v>470</v>
      </c>
      <c r="AK73" s="14" t="s">
        <v>92</v>
      </c>
      <c r="AL73" s="24">
        <v>9.6</v>
      </c>
      <c r="AM73" s="24">
        <v>1</v>
      </c>
      <c r="AN73" s="15" t="s">
        <v>1062</v>
      </c>
      <c r="AO73" s="14" t="s">
        <v>92</v>
      </c>
      <c r="AP73" s="14" t="s">
        <v>94</v>
      </c>
      <c r="AQ73" s="15" t="s">
        <v>1063</v>
      </c>
      <c r="AR73" s="14" t="s">
        <v>1064</v>
      </c>
      <c r="AS73" s="14" t="s">
        <v>73</v>
      </c>
      <c r="AT73" s="14" t="s">
        <v>74</v>
      </c>
      <c r="AU73" s="14" t="s">
        <v>74</v>
      </c>
      <c r="AV73" s="14" t="s">
        <v>74</v>
      </c>
      <c r="AW73" s="14" t="s">
        <v>74</v>
      </c>
      <c r="AX73" s="14" t="s">
        <v>73</v>
      </c>
      <c r="AY73" s="14" t="s">
        <v>73</v>
      </c>
      <c r="AZ73" s="14" t="s">
        <v>73</v>
      </c>
      <c r="BA73" s="15" t="s">
        <v>73</v>
      </c>
      <c r="BB73" s="23" t="s">
        <v>1065</v>
      </c>
      <c r="BC73" s="23" t="s">
        <v>420</v>
      </c>
      <c r="BD73" s="23" t="s">
        <v>421</v>
      </c>
      <c r="BE73" s="23" t="s">
        <v>1066</v>
      </c>
      <c r="BF73" s="14" t="s">
        <v>1067</v>
      </c>
    </row>
    <row r="74" ht="24" customHeight="1" spans="1:58">
      <c r="A74" s="14" t="str">
        <f>_xlfn.DISPIMG("ID_EC0A5CAA4E754BE391225B8C4CC1C560",1)</f>
        <v>=DISPIMG("ID_EC0A5CAA4E754BE391225B8C4CC1C560",1)</v>
      </c>
      <c r="B74" s="15" t="s">
        <v>1068</v>
      </c>
      <c r="C74" s="15" t="s">
        <v>73</v>
      </c>
      <c r="D74" s="15" t="s">
        <v>73</v>
      </c>
      <c r="E74" s="15" t="s">
        <v>83</v>
      </c>
      <c r="F74" s="15" t="s">
        <v>84</v>
      </c>
      <c r="G74" s="15" t="s">
        <v>1069</v>
      </c>
      <c r="H74" s="15" t="s">
        <v>1070</v>
      </c>
      <c r="I74" s="15" t="s">
        <v>1071</v>
      </c>
      <c r="J74" s="15" t="s">
        <v>1068</v>
      </c>
      <c r="K74" s="15" t="s">
        <v>65</v>
      </c>
      <c r="L74" s="15" t="s">
        <v>66</v>
      </c>
      <c r="M74" s="18">
        <v>12361</v>
      </c>
      <c r="N74" s="18">
        <v>2192</v>
      </c>
      <c r="O74" s="19">
        <v>0.1506</v>
      </c>
      <c r="P74" s="20" t="s">
        <v>67</v>
      </c>
      <c r="Q74" s="22" t="s">
        <v>1072</v>
      </c>
      <c r="R74" s="18">
        <v>2432</v>
      </c>
      <c r="S74" s="19">
        <v>0.9062</v>
      </c>
      <c r="T74" s="18">
        <v>80183.05</v>
      </c>
      <c r="U74" s="23" t="s">
        <v>432</v>
      </c>
      <c r="V74" s="18">
        <v>6594</v>
      </c>
      <c r="W74" s="24">
        <v>36</v>
      </c>
      <c r="X74" s="25">
        <v>32.97</v>
      </c>
      <c r="AB74" s="24">
        <v>284</v>
      </c>
      <c r="AC74" s="18">
        <v>18</v>
      </c>
      <c r="AD74" s="28">
        <v>4.1</v>
      </c>
      <c r="AE74" s="29">
        <v>0.0074</v>
      </c>
      <c r="AF74" s="25">
        <v>7.53</v>
      </c>
      <c r="AG74" s="19">
        <v>0.5716</v>
      </c>
      <c r="AI74" s="14" t="s">
        <v>1073</v>
      </c>
      <c r="AJ74" s="24">
        <v>388</v>
      </c>
      <c r="AK74" s="14" t="s">
        <v>92</v>
      </c>
      <c r="AL74" s="24">
        <v>8.8</v>
      </c>
      <c r="AM74" s="24">
        <v>1</v>
      </c>
      <c r="AN74" s="15" t="s">
        <v>93</v>
      </c>
      <c r="AO74" s="14" t="s">
        <v>92</v>
      </c>
      <c r="AP74" s="14" t="s">
        <v>94</v>
      </c>
      <c r="AQ74" s="15" t="s">
        <v>95</v>
      </c>
      <c r="AR74" s="14" t="s">
        <v>96</v>
      </c>
      <c r="AS74" s="14" t="s">
        <v>73</v>
      </c>
      <c r="AT74" s="14" t="s">
        <v>74</v>
      </c>
      <c r="AU74" s="14" t="s">
        <v>74</v>
      </c>
      <c r="AV74" s="14" t="s">
        <v>74</v>
      </c>
      <c r="AW74" s="14" t="s">
        <v>73</v>
      </c>
      <c r="AX74" s="14" t="s">
        <v>73</v>
      </c>
      <c r="AY74" s="14" t="s">
        <v>73</v>
      </c>
      <c r="AZ74" s="14" t="s">
        <v>73</v>
      </c>
      <c r="BA74" s="15" t="s">
        <v>73</v>
      </c>
      <c r="BB74" s="23" t="s">
        <v>1074</v>
      </c>
      <c r="BC74" s="23" t="s">
        <v>1075</v>
      </c>
      <c r="BD74" s="23" t="s">
        <v>1076</v>
      </c>
      <c r="BE74" s="23" t="s">
        <v>1077</v>
      </c>
      <c r="BF74" s="14" t="s">
        <v>1078</v>
      </c>
    </row>
    <row r="75" ht="24" customHeight="1" spans="1:58">
      <c r="A75" s="14" t="str">
        <f>_xlfn.DISPIMG("ID_AE182E10F50749AAA32532D6367E9706",1)</f>
        <v>=DISPIMG("ID_AE182E10F50749AAA32532D6367E9706",1)</v>
      </c>
      <c r="B75" s="15" t="s">
        <v>1079</v>
      </c>
      <c r="C75" s="15" t="s">
        <v>73</v>
      </c>
      <c r="D75" s="15" t="s">
        <v>73</v>
      </c>
      <c r="E75" s="15" t="s">
        <v>1080</v>
      </c>
      <c r="F75" s="15" t="s">
        <v>1081</v>
      </c>
      <c r="G75" s="15" t="s">
        <v>1082</v>
      </c>
      <c r="H75" s="15" t="s">
        <v>1083</v>
      </c>
      <c r="I75" s="15" t="s">
        <v>1084</v>
      </c>
      <c r="J75" s="15" t="s">
        <v>1079</v>
      </c>
      <c r="K75" s="15" t="s">
        <v>65</v>
      </c>
      <c r="L75" s="15" t="s">
        <v>66</v>
      </c>
      <c r="M75" s="18">
        <v>12469</v>
      </c>
      <c r="N75" s="18">
        <v>10472</v>
      </c>
      <c r="O75" s="19">
        <v>0.4565</v>
      </c>
      <c r="P75" s="20" t="s">
        <v>67</v>
      </c>
      <c r="Q75" s="22" t="s">
        <v>1085</v>
      </c>
      <c r="R75" s="18">
        <v>3299</v>
      </c>
      <c r="S75" s="19">
        <v>0.4121</v>
      </c>
      <c r="T75" s="18">
        <v>32957.008</v>
      </c>
      <c r="U75" s="23" t="s">
        <v>432</v>
      </c>
      <c r="V75" s="18">
        <v>1998</v>
      </c>
      <c r="W75" s="24">
        <v>30</v>
      </c>
      <c r="X75" s="25">
        <v>9.99</v>
      </c>
      <c r="AA75" s="18">
        <v>3</v>
      </c>
      <c r="AB75" s="24">
        <v>122</v>
      </c>
      <c r="AC75" s="18">
        <v>26</v>
      </c>
      <c r="AD75" s="28">
        <v>4</v>
      </c>
      <c r="AE75" s="29">
        <v>0.0079</v>
      </c>
      <c r="AF75" s="25">
        <v>6.76</v>
      </c>
      <c r="AG75" s="19">
        <v>0.1233</v>
      </c>
      <c r="AI75" s="14" t="s">
        <v>1086</v>
      </c>
      <c r="AJ75" s="24">
        <v>576</v>
      </c>
      <c r="AK75" s="14" t="s">
        <v>71</v>
      </c>
      <c r="AL75" s="24">
        <v>7.8</v>
      </c>
      <c r="AM75" s="24">
        <v>1</v>
      </c>
      <c r="AN75" s="15" t="s">
        <v>452</v>
      </c>
      <c r="AO75" s="14" t="s">
        <v>71</v>
      </c>
      <c r="AP75" s="14" t="s">
        <v>73</v>
      </c>
      <c r="AQ75" s="15" t="s">
        <v>73</v>
      </c>
      <c r="AR75" s="14" t="s">
        <v>73</v>
      </c>
      <c r="AS75" s="14" t="s">
        <v>73</v>
      </c>
      <c r="AT75" s="14" t="s">
        <v>73</v>
      </c>
      <c r="AU75" s="14" t="s">
        <v>73</v>
      </c>
      <c r="AV75" s="14" t="s">
        <v>73</v>
      </c>
      <c r="AW75" s="14" t="s">
        <v>73</v>
      </c>
      <c r="AX75" s="14" t="s">
        <v>73</v>
      </c>
      <c r="AY75" s="14" t="s">
        <v>73</v>
      </c>
      <c r="AZ75" s="14" t="s">
        <v>73</v>
      </c>
      <c r="BA75" s="15" t="s">
        <v>73</v>
      </c>
      <c r="BC75" s="23" t="s">
        <v>277</v>
      </c>
      <c r="BD75" s="23" t="s">
        <v>278</v>
      </c>
      <c r="BE75" s="23" t="s">
        <v>1087</v>
      </c>
      <c r="BF75" s="14" t="s">
        <v>1088</v>
      </c>
    </row>
    <row r="76" ht="24" customHeight="1" spans="1:58">
      <c r="A76" s="14" t="str">
        <f>_xlfn.DISPIMG("ID_92E0D851D3B646F79EB247B41F2629BA",1)</f>
        <v>=DISPIMG("ID_92E0D851D3B646F79EB247B41F2629BA",1)</v>
      </c>
      <c r="B76" s="15" t="s">
        <v>1089</v>
      </c>
      <c r="C76" s="15" t="s">
        <v>73</v>
      </c>
      <c r="D76" s="15" t="s">
        <v>73</v>
      </c>
      <c r="E76" s="15" t="s">
        <v>629</v>
      </c>
      <c r="F76" s="15" t="s">
        <v>630</v>
      </c>
      <c r="G76" s="15" t="s">
        <v>1090</v>
      </c>
      <c r="H76" s="15" t="s">
        <v>1091</v>
      </c>
      <c r="I76" s="15" t="s">
        <v>1092</v>
      </c>
      <c r="J76" s="15" t="s">
        <v>1089</v>
      </c>
      <c r="K76" s="15" t="s">
        <v>65</v>
      </c>
      <c r="L76" s="15" t="s">
        <v>66</v>
      </c>
      <c r="M76" s="18">
        <v>12497</v>
      </c>
      <c r="N76" s="18">
        <v>1719</v>
      </c>
      <c r="O76" s="19">
        <v>0.1209</v>
      </c>
      <c r="P76" s="20" t="s">
        <v>67</v>
      </c>
      <c r="Q76" s="22" t="s">
        <v>1093</v>
      </c>
      <c r="R76" s="18">
        <v>2952</v>
      </c>
      <c r="S76" s="19">
        <v>0.511</v>
      </c>
      <c r="T76" s="18">
        <v>88530.48</v>
      </c>
      <c r="U76" s="23" t="s">
        <v>368</v>
      </c>
      <c r="V76" s="18">
        <v>11996</v>
      </c>
      <c r="W76" s="24">
        <v>41</v>
      </c>
      <c r="X76" s="25">
        <v>29.99</v>
      </c>
      <c r="AB76" s="24">
        <v>157</v>
      </c>
      <c r="AC76" s="18">
        <v>22</v>
      </c>
      <c r="AD76" s="28">
        <v>4.1</v>
      </c>
      <c r="AE76" s="29">
        <v>0.0075</v>
      </c>
      <c r="AF76" s="25">
        <v>6.44</v>
      </c>
      <c r="AG76" s="19">
        <v>0.5853</v>
      </c>
      <c r="AI76" s="14" t="s">
        <v>1094</v>
      </c>
      <c r="AJ76" s="24">
        <v>312</v>
      </c>
      <c r="AK76" s="14" t="s">
        <v>92</v>
      </c>
      <c r="AL76" s="24">
        <v>9.8</v>
      </c>
      <c r="AM76" s="24">
        <v>1</v>
      </c>
      <c r="AN76" s="15" t="s">
        <v>629</v>
      </c>
      <c r="AO76" s="14" t="s">
        <v>92</v>
      </c>
      <c r="AP76" s="14" t="s">
        <v>94</v>
      </c>
      <c r="AQ76" s="15" t="s">
        <v>637</v>
      </c>
      <c r="AR76" s="14" t="s">
        <v>638</v>
      </c>
      <c r="AS76" s="14" t="s">
        <v>73</v>
      </c>
      <c r="AT76" s="14" t="s">
        <v>73</v>
      </c>
      <c r="AU76" s="14" t="s">
        <v>73</v>
      </c>
      <c r="AV76" s="14" t="s">
        <v>74</v>
      </c>
      <c r="AW76" s="14" t="s">
        <v>74</v>
      </c>
      <c r="AX76" s="14" t="s">
        <v>73</v>
      </c>
      <c r="AY76" s="14" t="s">
        <v>73</v>
      </c>
      <c r="AZ76" s="14" t="s">
        <v>73</v>
      </c>
      <c r="BA76" s="15" t="s">
        <v>73</v>
      </c>
      <c r="BC76" s="23" t="s">
        <v>277</v>
      </c>
      <c r="BD76" s="23" t="s">
        <v>278</v>
      </c>
      <c r="BE76" s="23" t="s">
        <v>1095</v>
      </c>
      <c r="BF76" s="14" t="s">
        <v>1096</v>
      </c>
    </row>
    <row r="77" ht="24" customHeight="1" spans="1:58">
      <c r="A77" s="14" t="str">
        <f>_xlfn.DISPIMG("ID_AA86650B44C648D8AA6B57937F26A5DF",1)</f>
        <v>=DISPIMG("ID_AA86650B44C648D8AA6B57937F26A5DF",1)</v>
      </c>
      <c r="B77" s="15" t="s">
        <v>1097</v>
      </c>
      <c r="C77" s="15" t="s">
        <v>73</v>
      </c>
      <c r="D77" s="15" t="s">
        <v>73</v>
      </c>
      <c r="E77" s="15" t="s">
        <v>763</v>
      </c>
      <c r="F77" s="15" t="s">
        <v>764</v>
      </c>
      <c r="G77" s="15" t="s">
        <v>1098</v>
      </c>
      <c r="H77" s="15" t="s">
        <v>1099</v>
      </c>
      <c r="I77" s="15" t="s">
        <v>1100</v>
      </c>
      <c r="J77" s="15" t="s">
        <v>1097</v>
      </c>
      <c r="K77" s="15" t="s">
        <v>65</v>
      </c>
      <c r="L77" s="15" t="s">
        <v>66</v>
      </c>
      <c r="M77" s="18">
        <v>12559</v>
      </c>
      <c r="N77" s="18">
        <v>-425</v>
      </c>
      <c r="O77" s="19">
        <v>-0.035</v>
      </c>
      <c r="P77" s="20" t="s">
        <v>67</v>
      </c>
      <c r="Q77" s="22" t="s">
        <v>1060</v>
      </c>
      <c r="R77" s="18">
        <v>1856</v>
      </c>
      <c r="S77" s="19" t="s">
        <v>73</v>
      </c>
      <c r="T77" s="18">
        <v>55661.44</v>
      </c>
      <c r="U77" s="23" t="s">
        <v>73</v>
      </c>
      <c r="V77" s="18" t="s">
        <v>73</v>
      </c>
      <c r="W77" s="24">
        <v>98</v>
      </c>
      <c r="X77" s="25">
        <v>29.99</v>
      </c>
      <c r="AB77" s="24">
        <v>34</v>
      </c>
      <c r="AC77" s="18">
        <v>16</v>
      </c>
      <c r="AD77" s="28">
        <v>4.6</v>
      </c>
      <c r="AE77" s="29">
        <v>0.0086</v>
      </c>
      <c r="AF77" s="25">
        <v>7.04</v>
      </c>
      <c r="AG77" s="19">
        <v>0.5653</v>
      </c>
      <c r="AI77" s="14" t="s">
        <v>1101</v>
      </c>
      <c r="AJ77" s="24">
        <v>60</v>
      </c>
      <c r="AK77" s="14" t="s">
        <v>92</v>
      </c>
      <c r="AL77" s="24">
        <v>8.7</v>
      </c>
      <c r="AM77" s="24">
        <v>1</v>
      </c>
      <c r="AN77" s="15" t="s">
        <v>763</v>
      </c>
      <c r="AO77" s="14" t="s">
        <v>92</v>
      </c>
      <c r="AP77" s="14" t="s">
        <v>94</v>
      </c>
      <c r="AQ77" s="15" t="s">
        <v>772</v>
      </c>
      <c r="AR77" s="14" t="s">
        <v>773</v>
      </c>
      <c r="AS77" s="14" t="s">
        <v>73</v>
      </c>
      <c r="AT77" s="14" t="s">
        <v>73</v>
      </c>
      <c r="AU77" s="14" t="s">
        <v>73</v>
      </c>
      <c r="AV77" s="14" t="s">
        <v>74</v>
      </c>
      <c r="AW77" s="14" t="s">
        <v>73</v>
      </c>
      <c r="AX77" s="14" t="s">
        <v>73</v>
      </c>
      <c r="AY77" s="14" t="s">
        <v>73</v>
      </c>
      <c r="AZ77" s="14" t="s">
        <v>73</v>
      </c>
      <c r="BA77" s="15" t="s">
        <v>73</v>
      </c>
      <c r="BC77" s="23" t="s">
        <v>454</v>
      </c>
      <c r="BD77" s="23" t="s">
        <v>455</v>
      </c>
      <c r="BE77" s="23" t="s">
        <v>1102</v>
      </c>
      <c r="BF77" s="14" t="s">
        <v>1103</v>
      </c>
    </row>
    <row r="78" ht="24" customHeight="1" spans="1:58">
      <c r="A78" s="14" t="str">
        <f>_xlfn.DISPIMG("ID_0B6B7741235741F9B247F86015237A25",1)</f>
        <v>=DISPIMG("ID_0B6B7741235741F9B247F86015237A25",1)</v>
      </c>
      <c r="B78" s="15" t="s">
        <v>1104</v>
      </c>
      <c r="C78" s="15" t="s">
        <v>73</v>
      </c>
      <c r="D78" s="15" t="s">
        <v>73</v>
      </c>
      <c r="E78" s="15" t="s">
        <v>1105</v>
      </c>
      <c r="F78" s="15" t="s">
        <v>1106</v>
      </c>
      <c r="G78" s="15" t="s">
        <v>1107</v>
      </c>
      <c r="H78" s="15" t="s">
        <v>1108</v>
      </c>
      <c r="I78" s="15" t="s">
        <v>1109</v>
      </c>
      <c r="J78" s="15" t="s">
        <v>1104</v>
      </c>
      <c r="K78" s="15" t="s">
        <v>65</v>
      </c>
      <c r="L78" s="15" t="s">
        <v>66</v>
      </c>
      <c r="M78" s="18">
        <v>12571</v>
      </c>
      <c r="N78" s="18">
        <v>8420</v>
      </c>
      <c r="O78" s="19">
        <v>0.3668</v>
      </c>
      <c r="P78" s="20" t="s">
        <v>67</v>
      </c>
      <c r="Q78" s="22" t="s">
        <v>1040</v>
      </c>
      <c r="R78" s="18">
        <v>2165</v>
      </c>
      <c r="S78" s="19">
        <v>0.5849</v>
      </c>
      <c r="T78" s="18">
        <v>67093.35</v>
      </c>
      <c r="U78" s="23" t="s">
        <v>73</v>
      </c>
      <c r="V78" s="18" t="s">
        <v>73</v>
      </c>
      <c r="W78" s="24">
        <v>97</v>
      </c>
      <c r="X78" s="25">
        <v>30.99</v>
      </c>
      <c r="AA78" s="18">
        <v>36</v>
      </c>
      <c r="AB78" s="24">
        <v>2403</v>
      </c>
      <c r="AC78" s="18">
        <v>13</v>
      </c>
      <c r="AD78" s="28">
        <v>4.4</v>
      </c>
      <c r="AE78" s="29">
        <v>0.006</v>
      </c>
      <c r="AF78" s="25">
        <v>3.6</v>
      </c>
      <c r="AG78" s="19">
        <v>0.6838</v>
      </c>
      <c r="AI78" s="14" t="s">
        <v>1110</v>
      </c>
      <c r="AJ78" s="24">
        <v>1914</v>
      </c>
      <c r="AK78" s="14" t="s">
        <v>92</v>
      </c>
      <c r="AL78" s="24">
        <v>9.4</v>
      </c>
      <c r="AM78" s="24">
        <v>1</v>
      </c>
      <c r="AN78" s="15" t="s">
        <v>1105</v>
      </c>
      <c r="AO78" s="14" t="s">
        <v>92</v>
      </c>
      <c r="AP78" s="14" t="s">
        <v>94</v>
      </c>
      <c r="AQ78" s="15" t="s">
        <v>1111</v>
      </c>
      <c r="AR78" s="14" t="s">
        <v>1112</v>
      </c>
      <c r="AS78" s="14" t="s">
        <v>73</v>
      </c>
      <c r="AT78" s="14" t="s">
        <v>73</v>
      </c>
      <c r="AU78" s="14" t="s">
        <v>73</v>
      </c>
      <c r="AV78" s="14" t="s">
        <v>74</v>
      </c>
      <c r="AW78" s="14" t="s">
        <v>74</v>
      </c>
      <c r="AX78" s="14" t="s">
        <v>73</v>
      </c>
      <c r="AY78" s="14" t="s">
        <v>73</v>
      </c>
      <c r="AZ78" s="14" t="s">
        <v>73</v>
      </c>
      <c r="BA78" s="15" t="s">
        <v>73</v>
      </c>
      <c r="BC78" s="23" t="s">
        <v>1113</v>
      </c>
      <c r="BD78" s="23" t="s">
        <v>1114</v>
      </c>
      <c r="BE78" s="23" t="s">
        <v>1115</v>
      </c>
      <c r="BF78" s="14" t="s">
        <v>1116</v>
      </c>
    </row>
    <row r="79" ht="24" customHeight="1" spans="1:58">
      <c r="A79" s="14" t="str">
        <f>_xlfn.DISPIMG("ID_65016509F4B4420AB4EEF696689D8AFE",1)</f>
        <v>=DISPIMG("ID_65016509F4B4420AB4EEF696689D8AFE",1)</v>
      </c>
      <c r="B79" s="15" t="s">
        <v>1117</v>
      </c>
      <c r="C79" s="15" t="s">
        <v>73</v>
      </c>
      <c r="D79" s="15" t="s">
        <v>73</v>
      </c>
      <c r="E79" s="15" t="s">
        <v>377</v>
      </c>
      <c r="F79" s="15" t="s">
        <v>378</v>
      </c>
      <c r="G79" s="15" t="s">
        <v>1118</v>
      </c>
      <c r="H79" s="15" t="s">
        <v>1119</v>
      </c>
      <c r="I79" s="15" t="s">
        <v>1120</v>
      </c>
      <c r="J79" s="15" t="s">
        <v>1117</v>
      </c>
      <c r="K79" s="15" t="s">
        <v>65</v>
      </c>
      <c r="L79" s="15" t="s">
        <v>66</v>
      </c>
      <c r="M79" s="18">
        <v>12842</v>
      </c>
      <c r="N79" s="18">
        <v>5594</v>
      </c>
      <c r="O79" s="19">
        <v>0.3034</v>
      </c>
      <c r="P79" s="20" t="s">
        <v>383</v>
      </c>
      <c r="Q79" s="22" t="s">
        <v>1121</v>
      </c>
      <c r="R79" s="18">
        <v>2061</v>
      </c>
      <c r="S79" s="19">
        <v>7.0605</v>
      </c>
      <c r="T79" s="18">
        <v>78318</v>
      </c>
      <c r="U79" s="23" t="s">
        <v>247</v>
      </c>
      <c r="V79" s="18">
        <v>3800</v>
      </c>
      <c r="W79" s="24">
        <v>66</v>
      </c>
      <c r="X79" s="25">
        <v>38</v>
      </c>
      <c r="AB79" s="24">
        <v>199</v>
      </c>
      <c r="AC79" s="18">
        <v>4</v>
      </c>
      <c r="AD79" s="28">
        <v>4.3</v>
      </c>
      <c r="AE79" s="29">
        <v>0.0019</v>
      </c>
      <c r="AF79" s="25">
        <v>7.69</v>
      </c>
      <c r="AG79" s="19">
        <v>0.5976</v>
      </c>
      <c r="AI79" s="14" t="s">
        <v>1122</v>
      </c>
      <c r="AJ79" s="24">
        <v>402</v>
      </c>
      <c r="AK79" s="14" t="s">
        <v>92</v>
      </c>
      <c r="AL79" s="24">
        <v>8.8</v>
      </c>
      <c r="AM79" s="24">
        <v>1</v>
      </c>
      <c r="AN79" s="15" t="s">
        <v>377</v>
      </c>
      <c r="AO79" s="14" t="s">
        <v>92</v>
      </c>
      <c r="AP79" s="14" t="s">
        <v>94</v>
      </c>
      <c r="AQ79" s="15" t="s">
        <v>387</v>
      </c>
      <c r="AR79" s="14" t="s">
        <v>388</v>
      </c>
      <c r="AS79" s="14" t="s">
        <v>73</v>
      </c>
      <c r="AT79" s="14" t="s">
        <v>73</v>
      </c>
      <c r="AU79" s="14" t="s">
        <v>73</v>
      </c>
      <c r="AV79" s="14" t="s">
        <v>74</v>
      </c>
      <c r="AW79" s="14" t="s">
        <v>73</v>
      </c>
      <c r="AX79" s="14" t="s">
        <v>73</v>
      </c>
      <c r="AY79" s="14" t="s">
        <v>73</v>
      </c>
      <c r="AZ79" s="14" t="s">
        <v>73</v>
      </c>
      <c r="BA79" s="15" t="s">
        <v>73</v>
      </c>
      <c r="BC79" s="23" t="s">
        <v>1123</v>
      </c>
      <c r="BD79" s="23" t="s">
        <v>1124</v>
      </c>
      <c r="BE79" s="23" t="s">
        <v>1125</v>
      </c>
      <c r="BF79" s="14" t="s">
        <v>1126</v>
      </c>
    </row>
    <row r="80" ht="24" customHeight="1" spans="1:58">
      <c r="A80" s="14" t="str">
        <f>_xlfn.DISPIMG("ID_2FC89FE326FA4E65AD4E758B2A76191D",1)</f>
        <v>=DISPIMG("ID_2FC89FE326FA4E65AD4E758B2A76191D",1)</v>
      </c>
      <c r="B80" s="15" t="s">
        <v>1127</v>
      </c>
      <c r="C80" s="15" t="s">
        <v>73</v>
      </c>
      <c r="D80" s="15" t="s">
        <v>73</v>
      </c>
      <c r="E80" s="15" t="s">
        <v>1128</v>
      </c>
      <c r="F80" s="15" t="s">
        <v>1129</v>
      </c>
      <c r="G80" s="15" t="s">
        <v>1130</v>
      </c>
      <c r="H80" s="15" t="s">
        <v>1131</v>
      </c>
      <c r="I80" s="15" t="s">
        <v>1132</v>
      </c>
      <c r="J80" s="15" t="s">
        <v>1127</v>
      </c>
      <c r="K80" s="15" t="s">
        <v>65</v>
      </c>
      <c r="L80" s="15" t="s">
        <v>66</v>
      </c>
      <c r="M80" s="18">
        <v>12992</v>
      </c>
      <c r="N80" s="18">
        <v>13816</v>
      </c>
      <c r="O80" s="19">
        <v>0.4645</v>
      </c>
      <c r="P80" s="20" t="s">
        <v>67</v>
      </c>
      <c r="Q80" s="22" t="s">
        <v>970</v>
      </c>
      <c r="R80" s="18">
        <v>2271</v>
      </c>
      <c r="S80" s="19">
        <v>0.3361</v>
      </c>
      <c r="T80" s="18">
        <v>120363</v>
      </c>
      <c r="U80" s="23" t="s">
        <v>247</v>
      </c>
      <c r="V80" s="18">
        <v>5300</v>
      </c>
      <c r="W80" s="24">
        <v>63</v>
      </c>
      <c r="X80" s="25">
        <v>53</v>
      </c>
      <c r="AA80" s="18">
        <v>18</v>
      </c>
      <c r="AB80" s="24">
        <v>1776</v>
      </c>
      <c r="AC80" s="18">
        <v>161</v>
      </c>
      <c r="AD80" s="28">
        <v>4.4</v>
      </c>
      <c r="AE80" s="29">
        <v>0.0709</v>
      </c>
      <c r="AF80" s="25">
        <v>7.27</v>
      </c>
      <c r="AG80" s="19">
        <v>0.6628</v>
      </c>
      <c r="AI80" s="14" t="s">
        <v>1133</v>
      </c>
      <c r="AJ80" s="24">
        <v>618</v>
      </c>
      <c r="AK80" s="14" t="s">
        <v>92</v>
      </c>
      <c r="AL80" s="24">
        <v>6.7</v>
      </c>
      <c r="AM80" s="24">
        <v>13</v>
      </c>
      <c r="AN80" s="15" t="s">
        <v>1134</v>
      </c>
      <c r="AO80" s="14" t="s">
        <v>92</v>
      </c>
      <c r="AP80" s="14" t="s">
        <v>131</v>
      </c>
      <c r="AQ80" s="15" t="s">
        <v>1135</v>
      </c>
      <c r="AR80" s="14" t="s">
        <v>1136</v>
      </c>
      <c r="AS80" s="14" t="s">
        <v>73</v>
      </c>
      <c r="AT80" s="14" t="s">
        <v>73</v>
      </c>
      <c r="AU80" s="14" t="s">
        <v>73</v>
      </c>
      <c r="AV80" s="14" t="s">
        <v>73</v>
      </c>
      <c r="AW80" s="14" t="s">
        <v>73</v>
      </c>
      <c r="AX80" s="14" t="s">
        <v>73</v>
      </c>
      <c r="AY80" s="14" t="s">
        <v>73</v>
      </c>
      <c r="AZ80" s="14" t="s">
        <v>73</v>
      </c>
      <c r="BA80" s="15" t="s">
        <v>73</v>
      </c>
      <c r="BB80" s="7"/>
      <c r="BC80" s="23" t="s">
        <v>1137</v>
      </c>
      <c r="BD80" s="23" t="s">
        <v>1138</v>
      </c>
      <c r="BE80" s="23" t="s">
        <v>1139</v>
      </c>
      <c r="BF80" s="14" t="s">
        <v>1140</v>
      </c>
    </row>
    <row r="81" ht="24" customHeight="1" spans="1:58">
      <c r="A81" s="14" t="str">
        <f>_xlfn.DISPIMG("ID_AC51D58C13A54F96A89158D64E399770",1)</f>
        <v>=DISPIMG("ID_AC51D58C13A54F96A89158D64E399770",1)</v>
      </c>
      <c r="B81" s="15" t="s">
        <v>1141</v>
      </c>
      <c r="C81" s="15" t="s">
        <v>73</v>
      </c>
      <c r="D81" s="15" t="s">
        <v>73</v>
      </c>
      <c r="E81" s="15" t="s">
        <v>1142</v>
      </c>
      <c r="F81" s="15" t="s">
        <v>1143</v>
      </c>
      <c r="G81" s="15" t="s">
        <v>1144</v>
      </c>
      <c r="H81" s="15" t="s">
        <v>1145</v>
      </c>
      <c r="I81" s="15" t="s">
        <v>1146</v>
      </c>
      <c r="J81" s="15" t="s">
        <v>1141</v>
      </c>
      <c r="K81" s="15" t="s">
        <v>65</v>
      </c>
      <c r="L81" s="15" t="s">
        <v>66</v>
      </c>
      <c r="M81" s="18">
        <v>13249</v>
      </c>
      <c r="N81" s="18">
        <v>4999</v>
      </c>
      <c r="O81" s="19">
        <v>0.2739</v>
      </c>
      <c r="P81" s="20" t="s">
        <v>67</v>
      </c>
      <c r="Q81" s="22" t="s">
        <v>1147</v>
      </c>
      <c r="R81" s="18">
        <v>2119</v>
      </c>
      <c r="S81" s="19" t="s">
        <v>73</v>
      </c>
      <c r="T81" s="18">
        <v>59310.81</v>
      </c>
      <c r="U81" s="23" t="s">
        <v>247</v>
      </c>
      <c r="V81" s="18">
        <v>2799</v>
      </c>
      <c r="W81" s="24">
        <v>43</v>
      </c>
      <c r="X81" s="25">
        <v>27.99</v>
      </c>
      <c r="AB81" s="24">
        <v>23</v>
      </c>
      <c r="AC81" s="18">
        <v>18</v>
      </c>
      <c r="AD81" s="28">
        <v>4.4</v>
      </c>
      <c r="AE81" s="29">
        <v>0.0085</v>
      </c>
      <c r="AF81" s="25">
        <v>6.53</v>
      </c>
      <c r="AG81" s="19">
        <v>0.5667</v>
      </c>
      <c r="AI81" s="14" t="s">
        <v>1148</v>
      </c>
      <c r="AJ81" s="24">
        <v>70</v>
      </c>
      <c r="AK81" s="14" t="s">
        <v>92</v>
      </c>
      <c r="AL81" s="24">
        <v>10</v>
      </c>
      <c r="AM81" s="24">
        <v>1</v>
      </c>
      <c r="AN81" s="15" t="s">
        <v>1149</v>
      </c>
      <c r="AO81" s="14" t="s">
        <v>92</v>
      </c>
      <c r="AP81" s="14" t="s">
        <v>94</v>
      </c>
      <c r="AQ81" s="15" t="s">
        <v>1150</v>
      </c>
      <c r="AR81" s="14" t="s">
        <v>1151</v>
      </c>
      <c r="AS81" s="14" t="s">
        <v>73</v>
      </c>
      <c r="AT81" s="14" t="s">
        <v>73</v>
      </c>
      <c r="AU81" s="14" t="s">
        <v>73</v>
      </c>
      <c r="AV81" s="14" t="s">
        <v>74</v>
      </c>
      <c r="AW81" s="14" t="s">
        <v>74</v>
      </c>
      <c r="AX81" s="14" t="s">
        <v>73</v>
      </c>
      <c r="AY81" s="14" t="s">
        <v>73</v>
      </c>
      <c r="AZ81" s="14" t="s">
        <v>73</v>
      </c>
      <c r="BA81" s="15" t="s">
        <v>73</v>
      </c>
      <c r="BC81" s="23" t="s">
        <v>1152</v>
      </c>
      <c r="BD81" s="23" t="s">
        <v>1153</v>
      </c>
      <c r="BE81" s="23" t="s">
        <v>1154</v>
      </c>
      <c r="BF81" s="14" t="s">
        <v>1155</v>
      </c>
    </row>
    <row r="82" ht="24" customHeight="1" spans="1:58">
      <c r="A82" s="14" t="str">
        <f>_xlfn.DISPIMG("ID_FE1ACE7F44714B27A2F203DF7A944AAC",1)</f>
        <v>=DISPIMG("ID_FE1ACE7F44714B27A2F203DF7A944AAC",1)</v>
      </c>
      <c r="B82" s="15" t="s">
        <v>1156</v>
      </c>
      <c r="C82" s="15" t="s">
        <v>73</v>
      </c>
      <c r="D82" s="15" t="s">
        <v>73</v>
      </c>
      <c r="E82" s="15" t="s">
        <v>791</v>
      </c>
      <c r="F82" s="15" t="s">
        <v>792</v>
      </c>
      <c r="G82" s="15" t="s">
        <v>1157</v>
      </c>
      <c r="H82" s="15" t="s">
        <v>1158</v>
      </c>
      <c r="I82" s="15" t="s">
        <v>1159</v>
      </c>
      <c r="J82" s="15" t="s">
        <v>1156</v>
      </c>
      <c r="K82" s="15" t="s">
        <v>65</v>
      </c>
      <c r="L82" s="15" t="s">
        <v>66</v>
      </c>
      <c r="M82" s="18">
        <v>13257</v>
      </c>
      <c r="N82" s="18">
        <v>108521</v>
      </c>
      <c r="O82" s="19">
        <v>0.8791</v>
      </c>
      <c r="P82" s="20" t="s">
        <v>67</v>
      </c>
      <c r="Q82" s="22" t="s">
        <v>1160</v>
      </c>
      <c r="R82" s="18">
        <v>781</v>
      </c>
      <c r="S82" s="19">
        <v>0.9586</v>
      </c>
      <c r="T82" s="18">
        <v>15299.79</v>
      </c>
      <c r="U82" s="23" t="s">
        <v>1161</v>
      </c>
      <c r="V82" s="18">
        <v>979.5</v>
      </c>
      <c r="W82" s="24">
        <v>30</v>
      </c>
      <c r="X82" s="25">
        <v>19.59</v>
      </c>
      <c r="AB82" s="24">
        <v>41</v>
      </c>
      <c r="AC82" s="18">
        <v>14</v>
      </c>
      <c r="AD82" s="28">
        <v>4.2</v>
      </c>
      <c r="AE82" s="29">
        <v>0.0179</v>
      </c>
      <c r="AF82" s="25">
        <v>6.53</v>
      </c>
      <c r="AG82" s="19">
        <v>0.4667</v>
      </c>
      <c r="AI82" s="14" t="s">
        <v>1162</v>
      </c>
      <c r="AJ82" s="24">
        <v>136</v>
      </c>
      <c r="AK82" s="14" t="s">
        <v>92</v>
      </c>
      <c r="AL82" s="24">
        <v>9.8</v>
      </c>
      <c r="AM82" s="24">
        <v>1</v>
      </c>
      <c r="AN82" s="15" t="s">
        <v>791</v>
      </c>
      <c r="AO82" s="14" t="s">
        <v>92</v>
      </c>
      <c r="AP82" s="14" t="s">
        <v>94</v>
      </c>
      <c r="AQ82" s="15" t="s">
        <v>797</v>
      </c>
      <c r="AR82" s="14" t="s">
        <v>798</v>
      </c>
      <c r="AS82" s="14" t="s">
        <v>73</v>
      </c>
      <c r="AT82" s="14" t="s">
        <v>73</v>
      </c>
      <c r="AU82" s="14" t="s">
        <v>73</v>
      </c>
      <c r="AV82" s="14" t="s">
        <v>74</v>
      </c>
      <c r="AW82" s="14" t="s">
        <v>74</v>
      </c>
      <c r="AX82" s="14" t="s">
        <v>73</v>
      </c>
      <c r="AY82" s="14" t="s">
        <v>73</v>
      </c>
      <c r="AZ82" s="14" t="s">
        <v>73</v>
      </c>
      <c r="BA82" s="15" t="s">
        <v>73</v>
      </c>
      <c r="BC82" s="23" t="s">
        <v>1152</v>
      </c>
      <c r="BD82" s="23" t="s">
        <v>1153</v>
      </c>
      <c r="BE82" s="23" t="s">
        <v>1163</v>
      </c>
      <c r="BF82" s="14" t="s">
        <v>1164</v>
      </c>
    </row>
    <row r="83" ht="24" customHeight="1" spans="1:58">
      <c r="A83" s="14" t="str">
        <f>_xlfn.DISPIMG("ID_31D4E9CCF4F5464A8CC5C91ADB251B76",1)</f>
        <v>=DISPIMG("ID_31D4E9CCF4F5464A8CC5C91ADB251B76",1)</v>
      </c>
      <c r="B83" s="15" t="s">
        <v>1165</v>
      </c>
      <c r="C83" s="15" t="s">
        <v>73</v>
      </c>
      <c r="D83" s="15" t="s">
        <v>73</v>
      </c>
      <c r="E83" s="15" t="s">
        <v>533</v>
      </c>
      <c r="F83" s="15" t="s">
        <v>534</v>
      </c>
      <c r="G83" s="15" t="s">
        <v>1166</v>
      </c>
      <c r="H83" s="15" t="s">
        <v>1167</v>
      </c>
      <c r="I83" s="15" t="s">
        <v>1168</v>
      </c>
      <c r="J83" s="15" t="s">
        <v>1165</v>
      </c>
      <c r="K83" s="15" t="s">
        <v>65</v>
      </c>
      <c r="L83" s="15" t="s">
        <v>66</v>
      </c>
      <c r="M83" s="18">
        <v>13370</v>
      </c>
      <c r="N83" s="18">
        <v>-5428</v>
      </c>
      <c r="O83" s="19">
        <v>-0.7926</v>
      </c>
      <c r="P83" s="20" t="s">
        <v>67</v>
      </c>
      <c r="Q83" s="22" t="s">
        <v>884</v>
      </c>
      <c r="R83" s="18">
        <v>3177</v>
      </c>
      <c r="S83" s="19">
        <v>2.2062</v>
      </c>
      <c r="T83" s="18">
        <v>120694.234</v>
      </c>
      <c r="U83" s="23" t="s">
        <v>432</v>
      </c>
      <c r="V83" s="18">
        <v>7598</v>
      </c>
      <c r="W83" s="24">
        <v>40</v>
      </c>
      <c r="X83" s="25">
        <v>37.99</v>
      </c>
      <c r="AA83" s="18">
        <v>39</v>
      </c>
      <c r="AB83" s="24">
        <v>3166</v>
      </c>
      <c r="AC83" s="18">
        <v>27</v>
      </c>
      <c r="AD83" s="28">
        <v>4.4</v>
      </c>
      <c r="AE83" s="29">
        <v>0.0085</v>
      </c>
      <c r="AF83" s="25">
        <v>6.27</v>
      </c>
      <c r="AG83" s="19">
        <v>0.576</v>
      </c>
      <c r="AI83" s="14" t="s">
        <v>1169</v>
      </c>
      <c r="AJ83" s="24">
        <v>1130</v>
      </c>
      <c r="AK83" s="14" t="s">
        <v>92</v>
      </c>
      <c r="AL83" s="24">
        <v>9.7</v>
      </c>
      <c r="AM83" s="24">
        <v>1</v>
      </c>
      <c r="AN83" s="15" t="s">
        <v>541</v>
      </c>
      <c r="AO83" s="14" t="s">
        <v>92</v>
      </c>
      <c r="AP83" s="14" t="s">
        <v>131</v>
      </c>
      <c r="AQ83" s="15" t="s">
        <v>542</v>
      </c>
      <c r="AR83" s="14" t="s">
        <v>543</v>
      </c>
      <c r="AS83" s="14" t="s">
        <v>73</v>
      </c>
      <c r="AT83" s="14" t="s">
        <v>74</v>
      </c>
      <c r="AU83" s="14" t="s">
        <v>73</v>
      </c>
      <c r="AV83" s="14" t="s">
        <v>74</v>
      </c>
      <c r="AW83" s="14" t="s">
        <v>73</v>
      </c>
      <c r="AX83" s="14" t="s">
        <v>73</v>
      </c>
      <c r="AY83" s="14" t="s">
        <v>73</v>
      </c>
      <c r="AZ83" s="14" t="s">
        <v>73</v>
      </c>
      <c r="BA83" s="15" t="s">
        <v>73</v>
      </c>
      <c r="BB83" s="23" t="s">
        <v>1170</v>
      </c>
      <c r="BC83" s="23" t="s">
        <v>1123</v>
      </c>
      <c r="BD83" s="23" t="s">
        <v>1124</v>
      </c>
      <c r="BE83" s="23" t="s">
        <v>1171</v>
      </c>
      <c r="BF83" s="14" t="s">
        <v>1172</v>
      </c>
    </row>
    <row r="84" ht="24" customHeight="1" spans="1:58">
      <c r="A84" s="14" t="str">
        <f>_xlfn.DISPIMG("ID_020DED53C71641F08E3A1631240B675D",1)</f>
        <v>=DISPIMG("ID_020DED53C71641F08E3A1631240B675D",1)</v>
      </c>
      <c r="B84" s="15" t="s">
        <v>1173</v>
      </c>
      <c r="C84" s="15" t="s">
        <v>73</v>
      </c>
      <c r="D84" s="15" t="s">
        <v>73</v>
      </c>
      <c r="E84" s="15" t="s">
        <v>763</v>
      </c>
      <c r="F84" s="15" t="s">
        <v>764</v>
      </c>
      <c r="G84" s="15" t="s">
        <v>1174</v>
      </c>
      <c r="H84" s="15" t="s">
        <v>1175</v>
      </c>
      <c r="I84" s="15" t="s">
        <v>1176</v>
      </c>
      <c r="J84" s="15" t="s">
        <v>1173</v>
      </c>
      <c r="K84" s="15" t="s">
        <v>65</v>
      </c>
      <c r="L84" s="15" t="s">
        <v>66</v>
      </c>
      <c r="M84" s="18">
        <v>14079</v>
      </c>
      <c r="N84" s="18">
        <v>-1683</v>
      </c>
      <c r="O84" s="19">
        <v>-0.1358</v>
      </c>
      <c r="P84" s="20" t="s">
        <v>67</v>
      </c>
      <c r="Q84" s="22" t="s">
        <v>1177</v>
      </c>
      <c r="R84" s="18">
        <v>2619</v>
      </c>
      <c r="S84" s="19">
        <v>3.8759</v>
      </c>
      <c r="T84" s="18">
        <v>89019.81</v>
      </c>
      <c r="U84" s="23" t="s">
        <v>1161</v>
      </c>
      <c r="V84" s="18">
        <v>1699.5</v>
      </c>
      <c r="W84" s="24">
        <v>112</v>
      </c>
      <c r="X84" s="25">
        <v>33.99</v>
      </c>
      <c r="AB84" s="24">
        <v>42</v>
      </c>
      <c r="AC84" s="18">
        <v>18</v>
      </c>
      <c r="AD84" s="28">
        <v>4.4</v>
      </c>
      <c r="AE84" s="29">
        <v>0.0069</v>
      </c>
      <c r="AF84" s="10"/>
      <c r="AG84" s="19">
        <v>0</v>
      </c>
      <c r="AI84" s="14" t="s">
        <v>1178</v>
      </c>
      <c r="AJ84" s="24">
        <v>62</v>
      </c>
      <c r="AK84" s="14" t="s">
        <v>92</v>
      </c>
      <c r="AL84" s="24">
        <v>9</v>
      </c>
      <c r="AM84" s="24">
        <v>1</v>
      </c>
      <c r="AN84" s="15" t="s">
        <v>763</v>
      </c>
      <c r="AO84" s="14" t="s">
        <v>92</v>
      </c>
      <c r="AP84" s="14" t="s">
        <v>94</v>
      </c>
      <c r="AQ84" s="15" t="s">
        <v>772</v>
      </c>
      <c r="AR84" s="14" t="s">
        <v>773</v>
      </c>
      <c r="AS84" s="14" t="s">
        <v>73</v>
      </c>
      <c r="AT84" s="14" t="s">
        <v>73</v>
      </c>
      <c r="AU84" s="14" t="s">
        <v>73</v>
      </c>
      <c r="AV84" s="14" t="s">
        <v>74</v>
      </c>
      <c r="AW84" s="14" t="s">
        <v>74</v>
      </c>
      <c r="AX84" s="14" t="s">
        <v>73</v>
      </c>
      <c r="AY84" s="14" t="s">
        <v>73</v>
      </c>
      <c r="AZ84" s="14" t="s">
        <v>73</v>
      </c>
      <c r="BA84" s="15" t="s">
        <v>73</v>
      </c>
      <c r="BC84" s="23" t="s">
        <v>357</v>
      </c>
      <c r="BD84" s="23" t="s">
        <v>358</v>
      </c>
      <c r="BE84" s="23" t="s">
        <v>1179</v>
      </c>
      <c r="BF84" s="14" t="s">
        <v>1180</v>
      </c>
    </row>
    <row r="85" ht="24" customHeight="1" spans="1:58">
      <c r="A85" s="14" t="str">
        <f>_xlfn.DISPIMG("ID_0FFEE8F59CF4460AAB2B7C3BA9187776",1)</f>
        <v>=DISPIMG("ID_0FFEE8F59CF4460AAB2B7C3BA9187776",1)</v>
      </c>
      <c r="B85" s="15" t="s">
        <v>1181</v>
      </c>
      <c r="C85" s="15" t="s">
        <v>73</v>
      </c>
      <c r="D85" s="15" t="s">
        <v>73</v>
      </c>
      <c r="E85" s="15" t="s">
        <v>1142</v>
      </c>
      <c r="F85" s="15" t="s">
        <v>1143</v>
      </c>
      <c r="G85" s="15" t="s">
        <v>1182</v>
      </c>
      <c r="H85" s="15" t="s">
        <v>1183</v>
      </c>
      <c r="I85" s="15" t="s">
        <v>1184</v>
      </c>
      <c r="J85" s="15" t="s">
        <v>1181</v>
      </c>
      <c r="K85" s="15" t="s">
        <v>65</v>
      </c>
      <c r="L85" s="15" t="s">
        <v>66</v>
      </c>
      <c r="M85" s="18">
        <v>14111</v>
      </c>
      <c r="N85" s="18">
        <v>-735</v>
      </c>
      <c r="O85" s="19">
        <v>-0.0469</v>
      </c>
      <c r="P85" s="20" t="s">
        <v>67</v>
      </c>
      <c r="Q85" s="22" t="s">
        <v>884</v>
      </c>
      <c r="R85" s="18">
        <v>2311</v>
      </c>
      <c r="S85" s="19">
        <v>2.5175</v>
      </c>
      <c r="T85" s="18">
        <v>60062.89</v>
      </c>
      <c r="U85" s="23" t="s">
        <v>247</v>
      </c>
      <c r="V85" s="18">
        <v>2599</v>
      </c>
      <c r="W85" s="24">
        <v>42</v>
      </c>
      <c r="X85" s="25">
        <v>25.99</v>
      </c>
      <c r="AB85" s="24">
        <v>24</v>
      </c>
      <c r="AC85" s="18">
        <v>21</v>
      </c>
      <c r="AD85" s="28">
        <v>4.1</v>
      </c>
      <c r="AE85" s="29">
        <v>0.0091</v>
      </c>
      <c r="AF85" s="25">
        <v>7.04</v>
      </c>
      <c r="AG85" s="19">
        <v>0.5291</v>
      </c>
      <c r="AI85" s="14" t="s">
        <v>1148</v>
      </c>
      <c r="AJ85" s="24">
        <v>70</v>
      </c>
      <c r="AK85" s="14" t="s">
        <v>92</v>
      </c>
      <c r="AL85" s="24">
        <v>10</v>
      </c>
      <c r="AM85" s="24">
        <v>1</v>
      </c>
      <c r="AN85" s="15" t="s">
        <v>1149</v>
      </c>
      <c r="AO85" s="14" t="s">
        <v>92</v>
      </c>
      <c r="AP85" s="14" t="s">
        <v>94</v>
      </c>
      <c r="AQ85" s="15" t="s">
        <v>1150</v>
      </c>
      <c r="AR85" s="14" t="s">
        <v>1151</v>
      </c>
      <c r="AS85" s="14" t="s">
        <v>73</v>
      </c>
      <c r="AT85" s="14" t="s">
        <v>73</v>
      </c>
      <c r="AU85" s="14" t="s">
        <v>73</v>
      </c>
      <c r="AV85" s="14" t="s">
        <v>74</v>
      </c>
      <c r="AW85" s="14" t="s">
        <v>74</v>
      </c>
      <c r="AX85" s="14" t="s">
        <v>73</v>
      </c>
      <c r="AY85" s="14" t="s">
        <v>73</v>
      </c>
      <c r="AZ85" s="14" t="s">
        <v>73</v>
      </c>
      <c r="BA85" s="15" t="s">
        <v>73</v>
      </c>
      <c r="BB85" s="7"/>
      <c r="BC85" s="7"/>
      <c r="BD85" s="23" t="s">
        <v>73</v>
      </c>
      <c r="BE85" s="7"/>
      <c r="BF85" s="14" t="s">
        <v>73</v>
      </c>
    </row>
    <row r="86" ht="24" customHeight="1" spans="1:58">
      <c r="A86" s="14" t="str">
        <f>_xlfn.DISPIMG("ID_DEDFC924F1694D069D4ADE1AC4244AC6",1)</f>
        <v>=DISPIMG("ID_DEDFC924F1694D069D4ADE1AC4244AC6",1)</v>
      </c>
      <c r="B86" s="15" t="s">
        <v>1185</v>
      </c>
      <c r="C86" s="15" t="s">
        <v>73</v>
      </c>
      <c r="D86" s="15" t="s">
        <v>73</v>
      </c>
      <c r="E86" s="15" t="s">
        <v>1186</v>
      </c>
      <c r="F86" s="15" t="s">
        <v>1187</v>
      </c>
      <c r="G86" s="15" t="s">
        <v>1188</v>
      </c>
      <c r="H86" s="15" t="s">
        <v>1189</v>
      </c>
      <c r="I86" s="15" t="s">
        <v>1190</v>
      </c>
      <c r="J86" s="15" t="s">
        <v>1185</v>
      </c>
      <c r="K86" s="15" t="s">
        <v>65</v>
      </c>
      <c r="L86" s="15" t="s">
        <v>66</v>
      </c>
      <c r="M86" s="18">
        <v>14242</v>
      </c>
      <c r="N86" s="18">
        <v>4208</v>
      </c>
      <c r="O86" s="19">
        <v>0.2281</v>
      </c>
      <c r="P86" s="20" t="s">
        <v>67</v>
      </c>
      <c r="Q86" s="22" t="s">
        <v>1085</v>
      </c>
      <c r="R86" s="18">
        <v>3266</v>
      </c>
      <c r="S86" s="19">
        <v>-0.2114</v>
      </c>
      <c r="T86" s="18">
        <v>81617.336</v>
      </c>
      <c r="U86" s="23" t="s">
        <v>450</v>
      </c>
      <c r="V86" s="18">
        <v>7497</v>
      </c>
      <c r="W86" s="24">
        <v>153</v>
      </c>
      <c r="X86" s="25">
        <v>24.99</v>
      </c>
      <c r="AA86" s="18">
        <v>51</v>
      </c>
      <c r="AB86" s="24">
        <v>15219</v>
      </c>
      <c r="AC86" s="18">
        <v>61</v>
      </c>
      <c r="AD86" s="28">
        <v>4.4</v>
      </c>
      <c r="AE86" s="29">
        <v>0.0187</v>
      </c>
      <c r="AF86" s="25">
        <v>6.53</v>
      </c>
      <c r="AG86" s="19">
        <v>0.5387</v>
      </c>
      <c r="AI86" s="14" t="s">
        <v>1191</v>
      </c>
      <c r="AJ86" s="24">
        <v>1943</v>
      </c>
      <c r="AK86" s="14" t="s">
        <v>92</v>
      </c>
      <c r="AL86" s="24">
        <v>8.8</v>
      </c>
      <c r="AM86" s="24">
        <v>1</v>
      </c>
      <c r="AN86" s="15" t="s">
        <v>1186</v>
      </c>
      <c r="AO86" s="14" t="s">
        <v>92</v>
      </c>
      <c r="AP86" s="14" t="s">
        <v>94</v>
      </c>
      <c r="AQ86" s="15" t="s">
        <v>1192</v>
      </c>
      <c r="AR86" s="14" t="s">
        <v>1193</v>
      </c>
      <c r="AS86" s="14" t="s">
        <v>73</v>
      </c>
      <c r="AT86" s="14" t="s">
        <v>74</v>
      </c>
      <c r="AU86" s="14" t="s">
        <v>73</v>
      </c>
      <c r="AV86" s="14" t="s">
        <v>74</v>
      </c>
      <c r="AW86" s="14" t="s">
        <v>74</v>
      </c>
      <c r="AX86" s="14" t="s">
        <v>73</v>
      </c>
      <c r="AY86" s="14" t="s">
        <v>73</v>
      </c>
      <c r="AZ86" s="14" t="s">
        <v>73</v>
      </c>
      <c r="BA86" s="15" t="s">
        <v>73</v>
      </c>
      <c r="BB86" s="23" t="s">
        <v>1194</v>
      </c>
      <c r="BC86" s="23" t="s">
        <v>277</v>
      </c>
      <c r="BD86" s="23" t="s">
        <v>278</v>
      </c>
      <c r="BE86" s="23" t="s">
        <v>1195</v>
      </c>
      <c r="BF86" s="14" t="s">
        <v>1196</v>
      </c>
    </row>
    <row r="87" ht="24" customHeight="1" spans="1:58">
      <c r="A87" s="14" t="str">
        <f>_xlfn.DISPIMG("ID_7ECC2A05C153458BAB40996F99928D38",1)</f>
        <v>=DISPIMG("ID_7ECC2A05C153458BAB40996F99928D38",1)</v>
      </c>
      <c r="B87" s="15" t="s">
        <v>1197</v>
      </c>
      <c r="C87" s="15" t="s">
        <v>1198</v>
      </c>
      <c r="D87" s="15" t="s">
        <v>1199</v>
      </c>
      <c r="E87" s="15" t="s">
        <v>763</v>
      </c>
      <c r="F87" s="15" t="s">
        <v>764</v>
      </c>
      <c r="G87" s="15" t="s">
        <v>1200</v>
      </c>
      <c r="H87" s="15" t="s">
        <v>1201</v>
      </c>
      <c r="I87" s="15" t="s">
        <v>1202</v>
      </c>
      <c r="J87" s="15" t="s">
        <v>1203</v>
      </c>
      <c r="K87" s="15" t="s">
        <v>65</v>
      </c>
      <c r="L87" s="15" t="s">
        <v>66</v>
      </c>
      <c r="M87" s="18">
        <v>14739</v>
      </c>
      <c r="N87" s="18">
        <v>14583</v>
      </c>
      <c r="O87" s="19">
        <v>0.4967</v>
      </c>
      <c r="P87" s="20" t="s">
        <v>67</v>
      </c>
      <c r="Q87" s="22" t="s">
        <v>1204</v>
      </c>
      <c r="R87" s="18">
        <v>2398</v>
      </c>
      <c r="S87" s="19">
        <v>0.5041</v>
      </c>
      <c r="T87" s="18">
        <v>61125.02</v>
      </c>
      <c r="U87" s="23" t="s">
        <v>247</v>
      </c>
      <c r="V87" s="18">
        <v>2549</v>
      </c>
      <c r="W87" s="24">
        <v>144</v>
      </c>
      <c r="X87" s="25">
        <v>25.49</v>
      </c>
      <c r="Z87" s="7"/>
      <c r="AA87" s="8"/>
      <c r="AB87" s="24">
        <v>234</v>
      </c>
      <c r="AC87" s="18">
        <v>25</v>
      </c>
      <c r="AD87" s="28">
        <v>4</v>
      </c>
      <c r="AE87" s="29">
        <v>0.0104</v>
      </c>
      <c r="AF87" s="25">
        <v>6.53</v>
      </c>
      <c r="AG87" s="19">
        <v>0.5438</v>
      </c>
      <c r="AI87" s="14" t="s">
        <v>1205</v>
      </c>
      <c r="AJ87" s="24">
        <v>398</v>
      </c>
      <c r="AK87" s="14" t="s">
        <v>92</v>
      </c>
      <c r="AL87" s="24">
        <v>9.8</v>
      </c>
      <c r="AM87" s="24">
        <v>1</v>
      </c>
      <c r="AN87" s="15" t="s">
        <v>763</v>
      </c>
      <c r="AO87" s="14" t="s">
        <v>92</v>
      </c>
      <c r="AP87" s="14" t="s">
        <v>94</v>
      </c>
      <c r="AQ87" s="15" t="s">
        <v>772</v>
      </c>
      <c r="AR87" s="14" t="s">
        <v>773</v>
      </c>
      <c r="AS87" s="14" t="s">
        <v>73</v>
      </c>
      <c r="AT87" s="14" t="s">
        <v>73</v>
      </c>
      <c r="AU87" s="14" t="s">
        <v>74</v>
      </c>
      <c r="AV87" s="14" t="s">
        <v>74</v>
      </c>
      <c r="AW87" s="14" t="s">
        <v>74</v>
      </c>
      <c r="AX87" s="14" t="s">
        <v>73</v>
      </c>
      <c r="AY87" s="14" t="s">
        <v>73</v>
      </c>
      <c r="AZ87" s="14" t="s">
        <v>73</v>
      </c>
      <c r="BA87" s="15" t="s">
        <v>74</v>
      </c>
      <c r="BB87" s="7"/>
      <c r="BC87" s="23" t="s">
        <v>828</v>
      </c>
      <c r="BD87" s="23" t="s">
        <v>829</v>
      </c>
      <c r="BE87" s="23" t="s">
        <v>830</v>
      </c>
      <c r="BF87" s="14" t="s">
        <v>831</v>
      </c>
    </row>
    <row r="88" ht="24" customHeight="1" spans="1:58">
      <c r="A88" s="14" t="str">
        <f>_xlfn.DISPIMG("ID_2D19521910D342E0BEC3DA51DABC7670",1)</f>
        <v>=DISPIMG("ID_2D19521910D342E0BEC3DA51DABC7670",1)</v>
      </c>
      <c r="B88" s="15" t="s">
        <v>1206</v>
      </c>
      <c r="C88" s="15" t="s">
        <v>73</v>
      </c>
      <c r="D88" s="15" t="s">
        <v>73</v>
      </c>
      <c r="E88" s="15" t="s">
        <v>377</v>
      </c>
      <c r="F88" s="15" t="s">
        <v>378</v>
      </c>
      <c r="G88" s="15" t="s">
        <v>1207</v>
      </c>
      <c r="H88" s="15" t="s">
        <v>1208</v>
      </c>
      <c r="I88" s="15" t="s">
        <v>1209</v>
      </c>
      <c r="J88" s="15" t="s">
        <v>1206</v>
      </c>
      <c r="K88" s="15" t="s">
        <v>65</v>
      </c>
      <c r="L88" s="15" t="s">
        <v>66</v>
      </c>
      <c r="M88" s="18">
        <v>15025</v>
      </c>
      <c r="N88" s="18">
        <v>522</v>
      </c>
      <c r="O88" s="19">
        <v>0.0336</v>
      </c>
      <c r="P88" s="20" t="s">
        <v>67</v>
      </c>
      <c r="Q88" s="22" t="s">
        <v>1210</v>
      </c>
      <c r="R88" s="18">
        <v>2432</v>
      </c>
      <c r="S88" s="19">
        <v>-0.1362</v>
      </c>
      <c r="T88" s="18">
        <v>85120</v>
      </c>
      <c r="U88" s="23" t="s">
        <v>450</v>
      </c>
      <c r="V88" s="18">
        <v>10500</v>
      </c>
      <c r="W88" s="24">
        <v>113</v>
      </c>
      <c r="X88" s="25">
        <v>35</v>
      </c>
      <c r="AA88" s="18">
        <v>15</v>
      </c>
      <c r="AB88" s="24">
        <v>2386</v>
      </c>
      <c r="AC88" s="18">
        <v>22</v>
      </c>
      <c r="AD88" s="28">
        <v>4.6</v>
      </c>
      <c r="AE88" s="29">
        <v>0.009</v>
      </c>
      <c r="AF88" s="25">
        <v>6.4</v>
      </c>
      <c r="AG88" s="19">
        <v>0.6171</v>
      </c>
      <c r="AI88" s="14" t="s">
        <v>1211</v>
      </c>
      <c r="AJ88" s="24">
        <v>1052</v>
      </c>
      <c r="AK88" s="14" t="s">
        <v>92</v>
      </c>
      <c r="AL88" s="24">
        <v>9.8</v>
      </c>
      <c r="AM88" s="24">
        <v>1</v>
      </c>
      <c r="AN88" s="15" t="s">
        <v>377</v>
      </c>
      <c r="AO88" s="14" t="s">
        <v>92</v>
      </c>
      <c r="AP88" s="14" t="s">
        <v>94</v>
      </c>
      <c r="AQ88" s="15" t="s">
        <v>387</v>
      </c>
      <c r="AR88" s="14" t="s">
        <v>388</v>
      </c>
      <c r="AS88" s="14" t="s">
        <v>73</v>
      </c>
      <c r="AT88" s="14" t="s">
        <v>74</v>
      </c>
      <c r="AU88" s="14" t="s">
        <v>73</v>
      </c>
      <c r="AV88" s="14" t="s">
        <v>74</v>
      </c>
      <c r="AW88" s="14" t="s">
        <v>73</v>
      </c>
      <c r="AX88" s="14" t="s">
        <v>73</v>
      </c>
      <c r="AY88" s="14" t="s">
        <v>73</v>
      </c>
      <c r="AZ88" s="14" t="s">
        <v>73</v>
      </c>
      <c r="BA88" s="15" t="s">
        <v>73</v>
      </c>
      <c r="BB88" s="23" t="s">
        <v>1212</v>
      </c>
      <c r="BC88" s="23" t="s">
        <v>1213</v>
      </c>
      <c r="BD88" s="23" t="s">
        <v>1214</v>
      </c>
      <c r="BE88" s="23" t="s">
        <v>1215</v>
      </c>
      <c r="BF88" s="14" t="s">
        <v>1216</v>
      </c>
    </row>
    <row r="89" ht="24" customHeight="1" spans="1:58">
      <c r="A89" s="14" t="str">
        <f>_xlfn.DISPIMG("ID_2A20FB6D12374E9D8D700D8505DDCB2E",1)</f>
        <v>=DISPIMG("ID_2A20FB6D12374E9D8D700D8505DDCB2E",1)</v>
      </c>
      <c r="B89" s="15" t="s">
        <v>1217</v>
      </c>
      <c r="C89" s="15" t="s">
        <v>73</v>
      </c>
      <c r="D89" s="15" t="s">
        <v>73</v>
      </c>
      <c r="E89" s="15" t="s">
        <v>1218</v>
      </c>
      <c r="F89" s="15" t="s">
        <v>1219</v>
      </c>
      <c r="G89" s="15" t="s">
        <v>1220</v>
      </c>
      <c r="H89" s="15" t="s">
        <v>1221</v>
      </c>
      <c r="I89" s="15" t="s">
        <v>1222</v>
      </c>
      <c r="J89" s="15" t="s">
        <v>1217</v>
      </c>
      <c r="K89" s="15" t="s">
        <v>65</v>
      </c>
      <c r="L89" s="15" t="s">
        <v>66</v>
      </c>
      <c r="M89" s="18">
        <v>15221</v>
      </c>
      <c r="N89" s="18">
        <v>3164</v>
      </c>
      <c r="O89" s="19">
        <v>0.1721</v>
      </c>
      <c r="P89" s="20" t="s">
        <v>67</v>
      </c>
      <c r="Q89" s="22" t="s">
        <v>1223</v>
      </c>
      <c r="R89" s="18">
        <v>2665</v>
      </c>
      <c r="S89" s="19">
        <v>1.1223</v>
      </c>
      <c r="T89" s="18">
        <v>95913.35</v>
      </c>
      <c r="U89" s="23" t="s">
        <v>247</v>
      </c>
      <c r="V89" s="18">
        <v>3599</v>
      </c>
      <c r="W89" s="24">
        <v>41</v>
      </c>
      <c r="X89" s="25">
        <v>35.99</v>
      </c>
      <c r="AA89" s="18">
        <v>11</v>
      </c>
      <c r="AB89" s="24">
        <v>413</v>
      </c>
      <c r="AC89" s="18">
        <v>42</v>
      </c>
      <c r="AD89" s="28">
        <v>4.5</v>
      </c>
      <c r="AE89" s="29">
        <v>0.0158</v>
      </c>
      <c r="AF89" s="25">
        <v>7.27</v>
      </c>
      <c r="AG89" s="19">
        <v>0.598</v>
      </c>
      <c r="AI89" s="14" t="s">
        <v>1224</v>
      </c>
      <c r="AJ89" s="24">
        <v>473</v>
      </c>
      <c r="AK89" s="14" t="s">
        <v>92</v>
      </c>
      <c r="AL89" s="24">
        <v>9.8</v>
      </c>
      <c r="AM89" s="24">
        <v>1</v>
      </c>
      <c r="AN89" s="15" t="s">
        <v>1218</v>
      </c>
      <c r="AO89" s="14" t="s">
        <v>92</v>
      </c>
      <c r="AP89" s="14" t="s">
        <v>94</v>
      </c>
      <c r="AQ89" s="15" t="s">
        <v>1225</v>
      </c>
      <c r="AR89" s="14" t="s">
        <v>1226</v>
      </c>
      <c r="AS89" s="14" t="s">
        <v>73</v>
      </c>
      <c r="AT89" s="14" t="s">
        <v>74</v>
      </c>
      <c r="AU89" s="14" t="s">
        <v>73</v>
      </c>
      <c r="AV89" s="14" t="s">
        <v>74</v>
      </c>
      <c r="AW89" s="14" t="s">
        <v>73</v>
      </c>
      <c r="AX89" s="14" t="s">
        <v>73</v>
      </c>
      <c r="AY89" s="14" t="s">
        <v>73</v>
      </c>
      <c r="AZ89" s="14" t="s">
        <v>73</v>
      </c>
      <c r="BA89" s="15" t="s">
        <v>73</v>
      </c>
      <c r="BB89" s="23" t="s">
        <v>203</v>
      </c>
      <c r="BC89" s="23" t="s">
        <v>1227</v>
      </c>
      <c r="BD89" s="23" t="s">
        <v>1228</v>
      </c>
      <c r="BE89" s="23" t="s">
        <v>1229</v>
      </c>
      <c r="BF89" s="14" t="s">
        <v>1230</v>
      </c>
    </row>
    <row r="90" ht="24" customHeight="1" spans="1:58">
      <c r="A90" s="14" t="str">
        <f>_xlfn.DISPIMG("ID_6F3CACE06D884D8D89BB4C32E0319834",1)</f>
        <v>=DISPIMG("ID_6F3CACE06D884D8D89BB4C32E0319834",1)</v>
      </c>
      <c r="B90" s="15" t="s">
        <v>1231</v>
      </c>
      <c r="C90" s="15" t="s">
        <v>73</v>
      </c>
      <c r="D90" s="15" t="s">
        <v>73</v>
      </c>
      <c r="E90" s="15" t="s">
        <v>1232</v>
      </c>
      <c r="F90" s="15" t="s">
        <v>1233</v>
      </c>
      <c r="G90" s="15" t="s">
        <v>1234</v>
      </c>
      <c r="H90" s="15" t="s">
        <v>1235</v>
      </c>
      <c r="I90" s="15" t="s">
        <v>1236</v>
      </c>
      <c r="J90" s="15" t="s">
        <v>1231</v>
      </c>
      <c r="K90" s="15" t="s">
        <v>65</v>
      </c>
      <c r="L90" s="15" t="s">
        <v>66</v>
      </c>
      <c r="M90" s="18">
        <v>15371</v>
      </c>
      <c r="N90" s="18">
        <v>24300</v>
      </c>
      <c r="O90" s="19">
        <v>0.3961</v>
      </c>
      <c r="P90" s="20" t="s">
        <v>67</v>
      </c>
      <c r="Q90" s="22" t="s">
        <v>1237</v>
      </c>
      <c r="R90" s="18">
        <v>1185</v>
      </c>
      <c r="S90" s="19">
        <v>-0.3002</v>
      </c>
      <c r="T90" s="18">
        <v>41463.152</v>
      </c>
      <c r="U90" s="23" t="s">
        <v>1161</v>
      </c>
      <c r="V90" s="18">
        <v>1749.5</v>
      </c>
      <c r="W90" s="24">
        <v>56</v>
      </c>
      <c r="X90" s="25">
        <v>34.99</v>
      </c>
      <c r="AB90" s="24">
        <v>153</v>
      </c>
      <c r="AC90" s="18">
        <v>23</v>
      </c>
      <c r="AD90" s="28">
        <v>4.2</v>
      </c>
      <c r="AE90" s="29">
        <v>0.0194</v>
      </c>
      <c r="AF90" s="25">
        <v>6.27</v>
      </c>
      <c r="AG90" s="19">
        <v>0.6208</v>
      </c>
      <c r="AI90" s="14" t="s">
        <v>1238</v>
      </c>
      <c r="AJ90" s="24">
        <v>215</v>
      </c>
      <c r="AK90" s="14" t="s">
        <v>92</v>
      </c>
      <c r="AL90" s="24">
        <v>10</v>
      </c>
      <c r="AM90" s="24">
        <v>1</v>
      </c>
      <c r="AN90" s="15" t="s">
        <v>1239</v>
      </c>
      <c r="AO90" s="14" t="s">
        <v>92</v>
      </c>
      <c r="AP90" s="14" t="s">
        <v>94</v>
      </c>
      <c r="AQ90" s="15" t="s">
        <v>1240</v>
      </c>
      <c r="AR90" s="14" t="s">
        <v>1241</v>
      </c>
      <c r="AS90" s="14" t="s">
        <v>73</v>
      </c>
      <c r="AT90" s="14" t="s">
        <v>73</v>
      </c>
      <c r="AU90" s="14" t="s">
        <v>73</v>
      </c>
      <c r="AV90" s="14" t="s">
        <v>74</v>
      </c>
      <c r="AW90" s="14" t="s">
        <v>74</v>
      </c>
      <c r="AX90" s="14" t="s">
        <v>73</v>
      </c>
      <c r="AY90" s="14" t="s">
        <v>73</v>
      </c>
      <c r="AZ90" s="14" t="s">
        <v>73</v>
      </c>
      <c r="BA90" s="15" t="s">
        <v>73</v>
      </c>
      <c r="BC90" s="23" t="s">
        <v>1242</v>
      </c>
      <c r="BD90" s="23" t="s">
        <v>1243</v>
      </c>
      <c r="BE90" s="23" t="s">
        <v>1244</v>
      </c>
      <c r="BF90" s="14" t="s">
        <v>1245</v>
      </c>
    </row>
    <row r="91" ht="24" customHeight="1" spans="1:58">
      <c r="A91" s="14" t="str">
        <f>_xlfn.DISPIMG("ID_EC9D577A8AED4BBE8A53D821AB081631",1)</f>
        <v>=DISPIMG("ID_EC9D577A8AED4BBE8A53D821AB081631",1)</v>
      </c>
      <c r="B91" s="15" t="s">
        <v>1246</v>
      </c>
      <c r="C91" s="15" t="s">
        <v>73</v>
      </c>
      <c r="D91" s="15" t="s">
        <v>73</v>
      </c>
      <c r="E91" s="15" t="s">
        <v>83</v>
      </c>
      <c r="F91" s="15" t="s">
        <v>84</v>
      </c>
      <c r="G91" s="15" t="s">
        <v>1247</v>
      </c>
      <c r="H91" s="15" t="s">
        <v>1248</v>
      </c>
      <c r="I91" s="15" t="s">
        <v>1249</v>
      </c>
      <c r="J91" s="15" t="s">
        <v>1246</v>
      </c>
      <c r="K91" s="15" t="s">
        <v>65</v>
      </c>
      <c r="L91" s="15" t="s">
        <v>66</v>
      </c>
      <c r="M91" s="18">
        <v>15427</v>
      </c>
      <c r="N91" s="18">
        <v>2291</v>
      </c>
      <c r="O91" s="19">
        <v>0.1699</v>
      </c>
      <c r="P91" s="20" t="s">
        <v>67</v>
      </c>
      <c r="Q91" s="22" t="s">
        <v>1237</v>
      </c>
      <c r="R91" s="18">
        <v>3419</v>
      </c>
      <c r="S91" s="19">
        <v>0.313</v>
      </c>
      <c r="T91" s="18">
        <v>34155.81</v>
      </c>
      <c r="U91" s="23" t="s">
        <v>73</v>
      </c>
      <c r="V91" s="18" t="s">
        <v>73</v>
      </c>
      <c r="W91" s="24">
        <v>73</v>
      </c>
      <c r="X91" s="25">
        <v>9.99</v>
      </c>
      <c r="AA91" s="18">
        <v>19</v>
      </c>
      <c r="AB91" s="24">
        <v>3363</v>
      </c>
      <c r="AC91" s="18">
        <v>24</v>
      </c>
      <c r="AD91" s="28">
        <v>4</v>
      </c>
      <c r="AE91" s="29">
        <v>0.007</v>
      </c>
      <c r="AF91" s="25">
        <v>6.15</v>
      </c>
      <c r="AG91" s="19">
        <v>0.1844</v>
      </c>
      <c r="AI91" s="14" t="s">
        <v>1250</v>
      </c>
      <c r="AJ91" s="24">
        <v>1145</v>
      </c>
      <c r="AK91" s="14" t="s">
        <v>92</v>
      </c>
      <c r="AL91" s="24">
        <v>9.8</v>
      </c>
      <c r="AM91" s="24">
        <v>1</v>
      </c>
      <c r="AN91" s="15" t="s">
        <v>93</v>
      </c>
      <c r="AO91" s="14" t="s">
        <v>92</v>
      </c>
      <c r="AP91" s="14" t="s">
        <v>94</v>
      </c>
      <c r="AQ91" s="15" t="s">
        <v>95</v>
      </c>
      <c r="AR91" s="14" t="s">
        <v>96</v>
      </c>
      <c r="AS91" s="14" t="s">
        <v>73</v>
      </c>
      <c r="AT91" s="14" t="s">
        <v>74</v>
      </c>
      <c r="AU91" s="14" t="s">
        <v>73</v>
      </c>
      <c r="AV91" s="14" t="s">
        <v>74</v>
      </c>
      <c r="AW91" s="14" t="s">
        <v>74</v>
      </c>
      <c r="AX91" s="14" t="s">
        <v>73</v>
      </c>
      <c r="AY91" s="14" t="s">
        <v>73</v>
      </c>
      <c r="AZ91" s="14" t="s">
        <v>73</v>
      </c>
      <c r="BA91" s="15" t="s">
        <v>73</v>
      </c>
      <c r="BB91" s="23" t="s">
        <v>1251</v>
      </c>
      <c r="BC91" s="23" t="s">
        <v>1252</v>
      </c>
      <c r="BD91" s="23" t="s">
        <v>1253</v>
      </c>
      <c r="BE91" s="23" t="s">
        <v>1254</v>
      </c>
      <c r="BF91" s="14" t="s">
        <v>1255</v>
      </c>
    </row>
    <row r="92" ht="24" customHeight="1" spans="1:58">
      <c r="A92" s="14" t="str">
        <f>_xlfn.DISPIMG("ID_DA9B5E3927A347548A5CDFF06FF7B312",1)</f>
        <v>=DISPIMG("ID_DA9B5E3927A347548A5CDFF06FF7B312",1)</v>
      </c>
      <c r="B92" s="15" t="s">
        <v>1256</v>
      </c>
      <c r="C92" s="15" t="s">
        <v>73</v>
      </c>
      <c r="D92" s="15" t="s">
        <v>73</v>
      </c>
      <c r="E92" s="15" t="s">
        <v>1257</v>
      </c>
      <c r="F92" s="15" t="s">
        <v>1258</v>
      </c>
      <c r="G92" s="15" t="s">
        <v>1259</v>
      </c>
      <c r="H92" s="15" t="s">
        <v>1260</v>
      </c>
      <c r="I92" s="15" t="s">
        <v>1261</v>
      </c>
      <c r="J92" s="15" t="s">
        <v>1256</v>
      </c>
      <c r="K92" s="15" t="s">
        <v>65</v>
      </c>
      <c r="L92" s="15" t="s">
        <v>66</v>
      </c>
      <c r="M92" s="18">
        <v>15674</v>
      </c>
      <c r="N92" s="18">
        <v>15284</v>
      </c>
      <c r="O92" s="19">
        <v>0.4977</v>
      </c>
      <c r="P92" s="20" t="s">
        <v>67</v>
      </c>
      <c r="Q92" s="22" t="s">
        <v>859</v>
      </c>
      <c r="R92" s="18">
        <v>1995</v>
      </c>
      <c r="S92" s="19">
        <v>0.0473</v>
      </c>
      <c r="T92" s="18">
        <v>55939.8</v>
      </c>
      <c r="U92" s="23" t="s">
        <v>1161</v>
      </c>
      <c r="V92" s="18">
        <v>1402</v>
      </c>
      <c r="W92" s="24">
        <v>50</v>
      </c>
      <c r="X92" s="25">
        <v>28.04</v>
      </c>
      <c r="AA92" s="18">
        <v>8</v>
      </c>
      <c r="AB92" s="24">
        <v>1870</v>
      </c>
      <c r="AC92" s="18">
        <v>30</v>
      </c>
      <c r="AD92" s="28">
        <v>4.4</v>
      </c>
      <c r="AE92" s="29">
        <v>0.015</v>
      </c>
      <c r="AF92" s="25">
        <v>6.92</v>
      </c>
      <c r="AG92" s="19">
        <v>0.5532</v>
      </c>
      <c r="AI92" s="14" t="s">
        <v>1262</v>
      </c>
      <c r="AJ92" s="24">
        <v>386</v>
      </c>
      <c r="AK92" s="14" t="s">
        <v>92</v>
      </c>
      <c r="AL92" s="24">
        <v>10</v>
      </c>
      <c r="AM92" s="24">
        <v>1</v>
      </c>
      <c r="AN92" s="15" t="s">
        <v>1263</v>
      </c>
      <c r="AO92" s="14" t="s">
        <v>92</v>
      </c>
      <c r="AP92" s="14" t="s">
        <v>94</v>
      </c>
      <c r="AQ92" s="15" t="s">
        <v>1264</v>
      </c>
      <c r="AR92" s="14" t="s">
        <v>1265</v>
      </c>
      <c r="AS92" s="14" t="s">
        <v>73</v>
      </c>
      <c r="AT92" s="14" t="s">
        <v>74</v>
      </c>
      <c r="AU92" s="14" t="s">
        <v>73</v>
      </c>
      <c r="AV92" s="14" t="s">
        <v>74</v>
      </c>
      <c r="AW92" s="14" t="s">
        <v>74</v>
      </c>
      <c r="AX92" s="14" t="s">
        <v>73</v>
      </c>
      <c r="AY92" s="14" t="s">
        <v>73</v>
      </c>
      <c r="AZ92" s="14" t="s">
        <v>73</v>
      </c>
      <c r="BA92" s="15" t="s">
        <v>73</v>
      </c>
      <c r="BB92" s="23" t="s">
        <v>1266</v>
      </c>
      <c r="BC92" s="23" t="s">
        <v>1267</v>
      </c>
      <c r="BD92" s="23" t="s">
        <v>1268</v>
      </c>
      <c r="BE92" s="23" t="s">
        <v>1269</v>
      </c>
      <c r="BF92" s="14" t="s">
        <v>1270</v>
      </c>
    </row>
    <row r="93" ht="24" customHeight="1" spans="1:58">
      <c r="A93" s="14" t="str">
        <f>_xlfn.DISPIMG("ID_51941CC12C8B4C148A2E203ED0B7D60D",1)</f>
        <v>=DISPIMG("ID_51941CC12C8B4C148A2E203ED0B7D60D",1)</v>
      </c>
      <c r="B93" s="15" t="s">
        <v>1271</v>
      </c>
      <c r="C93" s="15" t="s">
        <v>73</v>
      </c>
      <c r="D93" s="15" t="s">
        <v>73</v>
      </c>
      <c r="E93" s="15" t="s">
        <v>493</v>
      </c>
      <c r="F93" s="15" t="s">
        <v>494</v>
      </c>
      <c r="G93" s="15" t="s">
        <v>1272</v>
      </c>
      <c r="H93" s="15" t="s">
        <v>1273</v>
      </c>
      <c r="I93" s="15" t="s">
        <v>1274</v>
      </c>
      <c r="J93" s="15" t="s">
        <v>1271</v>
      </c>
      <c r="K93" s="15" t="s">
        <v>65</v>
      </c>
      <c r="L93" s="15" t="s">
        <v>66</v>
      </c>
      <c r="M93" s="18">
        <v>15937</v>
      </c>
      <c r="N93" s="18">
        <v>355304</v>
      </c>
      <c r="O93" s="19">
        <v>0.9571</v>
      </c>
      <c r="P93" s="20" t="s">
        <v>67</v>
      </c>
      <c r="Q93" s="22" t="s">
        <v>1275</v>
      </c>
      <c r="R93" s="18">
        <v>478</v>
      </c>
      <c r="S93" s="19" t="s">
        <v>73</v>
      </c>
      <c r="T93" s="18">
        <v>13379.22</v>
      </c>
      <c r="U93" s="23" t="s">
        <v>1161</v>
      </c>
      <c r="V93" s="18">
        <v>1399.5</v>
      </c>
      <c r="W93" s="24">
        <v>20</v>
      </c>
      <c r="X93" s="25">
        <v>27.99</v>
      </c>
      <c r="AB93" s="24">
        <v>19</v>
      </c>
      <c r="AC93" s="18">
        <v>15</v>
      </c>
      <c r="AD93" s="28">
        <v>4.6</v>
      </c>
      <c r="AE93" s="29">
        <v>0.0314</v>
      </c>
      <c r="AF93" s="25">
        <v>6.27</v>
      </c>
      <c r="AG93" s="19">
        <v>0.576</v>
      </c>
      <c r="AI93" s="14" t="s">
        <v>1276</v>
      </c>
      <c r="AJ93" s="24">
        <v>18</v>
      </c>
      <c r="AK93" s="14" t="s">
        <v>92</v>
      </c>
      <c r="AL93" s="24">
        <v>8</v>
      </c>
      <c r="AM93" s="24">
        <v>1</v>
      </c>
      <c r="AN93" s="15" t="s">
        <v>501</v>
      </c>
      <c r="AO93" s="14" t="s">
        <v>92</v>
      </c>
      <c r="AP93" s="14" t="s">
        <v>94</v>
      </c>
      <c r="AQ93" s="15" t="s">
        <v>502</v>
      </c>
      <c r="AR93" s="14" t="s">
        <v>503</v>
      </c>
      <c r="AS93" s="14" t="s">
        <v>73</v>
      </c>
      <c r="AT93" s="14" t="s">
        <v>73</v>
      </c>
      <c r="AU93" s="14" t="s">
        <v>74</v>
      </c>
      <c r="AV93" s="14" t="s">
        <v>73</v>
      </c>
      <c r="AW93" s="14" t="s">
        <v>73</v>
      </c>
      <c r="AX93" s="14" t="s">
        <v>73</v>
      </c>
      <c r="AY93" s="14" t="s">
        <v>73</v>
      </c>
      <c r="AZ93" s="14" t="s">
        <v>73</v>
      </c>
      <c r="BA93" s="15" t="s">
        <v>73</v>
      </c>
      <c r="BB93" s="7"/>
      <c r="BC93" s="23" t="s">
        <v>1277</v>
      </c>
      <c r="BD93" s="23" t="s">
        <v>218</v>
      </c>
      <c r="BE93" s="23" t="s">
        <v>1278</v>
      </c>
      <c r="BF93" s="14" t="s">
        <v>1279</v>
      </c>
    </row>
    <row r="94" ht="24" customHeight="1" spans="1:58">
      <c r="A94" s="14" t="str">
        <f>_xlfn.DISPIMG("ID_0CE963E4516B467FBABCF565C04B2323",1)</f>
        <v>=DISPIMG("ID_0CE963E4516B467FBABCF565C04B2323",1)</v>
      </c>
      <c r="B94" s="15" t="s">
        <v>1280</v>
      </c>
      <c r="C94" s="15" t="s">
        <v>73</v>
      </c>
      <c r="D94" s="15" t="s">
        <v>73</v>
      </c>
      <c r="E94" s="15" t="s">
        <v>1281</v>
      </c>
      <c r="F94" s="15" t="s">
        <v>1282</v>
      </c>
      <c r="G94" s="15" t="s">
        <v>1283</v>
      </c>
      <c r="H94" s="15" t="s">
        <v>1284</v>
      </c>
      <c r="I94" s="15" t="s">
        <v>1285</v>
      </c>
      <c r="J94" s="15" t="s">
        <v>1280</v>
      </c>
      <c r="K94" s="15" t="s">
        <v>65</v>
      </c>
      <c r="L94" s="15" t="s">
        <v>66</v>
      </c>
      <c r="M94" s="18">
        <v>16431</v>
      </c>
      <c r="N94" s="18">
        <v>17761</v>
      </c>
      <c r="O94" s="19">
        <v>0.5194</v>
      </c>
      <c r="P94" s="20" t="s">
        <v>67</v>
      </c>
      <c r="Q94" s="22" t="s">
        <v>1286</v>
      </c>
      <c r="R94" s="18">
        <v>1589</v>
      </c>
      <c r="S94" s="19">
        <v>0.4113</v>
      </c>
      <c r="T94" s="18">
        <v>57172.22</v>
      </c>
      <c r="U94" s="23" t="s">
        <v>247</v>
      </c>
      <c r="V94" s="18">
        <v>3598</v>
      </c>
      <c r="W94" s="24">
        <v>40</v>
      </c>
      <c r="X94" s="25">
        <v>35.98</v>
      </c>
      <c r="AB94" s="24">
        <v>325</v>
      </c>
      <c r="AC94" s="18">
        <v>27</v>
      </c>
      <c r="AD94" s="28">
        <v>4.2</v>
      </c>
      <c r="AE94" s="29">
        <v>0.017</v>
      </c>
      <c r="AF94" s="25">
        <v>7.85</v>
      </c>
      <c r="AG94" s="19">
        <v>0.5818</v>
      </c>
      <c r="AI94" s="14" t="s">
        <v>1287</v>
      </c>
      <c r="AJ94" s="24">
        <v>467</v>
      </c>
      <c r="AK94" s="14" t="s">
        <v>92</v>
      </c>
      <c r="AL94" s="24">
        <v>9.8</v>
      </c>
      <c r="AM94" s="24">
        <v>1</v>
      </c>
      <c r="AN94" s="15" t="s">
        <v>1281</v>
      </c>
      <c r="AO94" s="14" t="s">
        <v>92</v>
      </c>
      <c r="AP94" s="14" t="s">
        <v>1288</v>
      </c>
      <c r="AQ94" s="15" t="s">
        <v>1289</v>
      </c>
      <c r="AR94" s="14" t="s">
        <v>1290</v>
      </c>
      <c r="AS94" s="14" t="s">
        <v>73</v>
      </c>
      <c r="AT94" s="14" t="s">
        <v>73</v>
      </c>
      <c r="AU94" s="14" t="s">
        <v>73</v>
      </c>
      <c r="AV94" s="14" t="s">
        <v>74</v>
      </c>
      <c r="AW94" s="14" t="s">
        <v>74</v>
      </c>
      <c r="AX94" s="14" t="s">
        <v>73</v>
      </c>
      <c r="AY94" s="14" t="s">
        <v>73</v>
      </c>
      <c r="AZ94" s="14" t="s">
        <v>73</v>
      </c>
      <c r="BA94" s="15" t="s">
        <v>73</v>
      </c>
      <c r="BB94" s="7"/>
      <c r="BC94" s="23" t="s">
        <v>235</v>
      </c>
      <c r="BD94" s="23" t="s">
        <v>236</v>
      </c>
      <c r="BE94" s="23" t="s">
        <v>1291</v>
      </c>
      <c r="BF94" s="14" t="s">
        <v>1292</v>
      </c>
    </row>
    <row r="95" ht="24" customHeight="1" spans="1:58">
      <c r="A95" s="14" t="str">
        <f>_xlfn.DISPIMG("ID_C1845742888342549FAD25AECA3F3390",1)</f>
        <v>=DISPIMG("ID_C1845742888342549FAD25AECA3F3390",1)</v>
      </c>
      <c r="B95" s="15" t="s">
        <v>1293</v>
      </c>
      <c r="C95" s="15" t="s">
        <v>73</v>
      </c>
      <c r="D95" s="15" t="s">
        <v>73</v>
      </c>
      <c r="E95" s="15" t="s">
        <v>477</v>
      </c>
      <c r="F95" s="15" t="s">
        <v>478</v>
      </c>
      <c r="G95" s="15" t="s">
        <v>1294</v>
      </c>
      <c r="H95" s="15" t="s">
        <v>1295</v>
      </c>
      <c r="I95" s="15" t="s">
        <v>1296</v>
      </c>
      <c r="J95" s="15" t="s">
        <v>1293</v>
      </c>
      <c r="K95" s="15" t="s">
        <v>65</v>
      </c>
      <c r="L95" s="15" t="s">
        <v>66</v>
      </c>
      <c r="M95" s="18">
        <v>16492</v>
      </c>
      <c r="N95" s="18">
        <v>-4306</v>
      </c>
      <c r="O95" s="19">
        <v>-0.3534</v>
      </c>
      <c r="P95" s="20" t="s">
        <v>67</v>
      </c>
      <c r="Q95" s="22" t="s">
        <v>1297</v>
      </c>
      <c r="R95" s="18">
        <v>2366</v>
      </c>
      <c r="S95" s="19">
        <v>1.1919</v>
      </c>
      <c r="T95" s="18">
        <v>80420.34</v>
      </c>
      <c r="U95" s="23" t="s">
        <v>368</v>
      </c>
      <c r="V95" s="18">
        <v>13596</v>
      </c>
      <c r="W95" s="24">
        <v>101</v>
      </c>
      <c r="X95" s="25">
        <v>33.99</v>
      </c>
      <c r="AA95" s="18">
        <v>1</v>
      </c>
      <c r="AB95" s="24">
        <v>296</v>
      </c>
      <c r="AC95" s="18">
        <v>14</v>
      </c>
      <c r="AD95" s="28">
        <v>4.4</v>
      </c>
      <c r="AE95" s="29">
        <v>0.0059</v>
      </c>
      <c r="AF95" s="25">
        <v>6.19</v>
      </c>
      <c r="AG95" s="19">
        <v>0.6179</v>
      </c>
      <c r="AI95" s="14" t="s">
        <v>1298</v>
      </c>
      <c r="AJ95" s="24">
        <v>793</v>
      </c>
      <c r="AK95" s="14" t="s">
        <v>92</v>
      </c>
      <c r="AL95" s="24">
        <v>9</v>
      </c>
      <c r="AM95" s="24">
        <v>1</v>
      </c>
      <c r="AN95" s="15" t="s">
        <v>485</v>
      </c>
      <c r="AO95" s="14" t="s">
        <v>92</v>
      </c>
      <c r="AP95" s="14" t="s">
        <v>94</v>
      </c>
      <c r="AQ95" s="15" t="s">
        <v>486</v>
      </c>
      <c r="AR95" s="14" t="s">
        <v>487</v>
      </c>
      <c r="AS95" s="14" t="s">
        <v>73</v>
      </c>
      <c r="AT95" s="14" t="s">
        <v>74</v>
      </c>
      <c r="AU95" s="14" t="s">
        <v>73</v>
      </c>
      <c r="AV95" s="14" t="s">
        <v>74</v>
      </c>
      <c r="AW95" s="14" t="s">
        <v>74</v>
      </c>
      <c r="AX95" s="14" t="s">
        <v>73</v>
      </c>
      <c r="AY95" s="14" t="s">
        <v>73</v>
      </c>
      <c r="AZ95" s="14" t="s">
        <v>73</v>
      </c>
      <c r="BA95" s="15" t="s">
        <v>73</v>
      </c>
      <c r="BB95" s="23" t="s">
        <v>1299</v>
      </c>
      <c r="BC95" s="23" t="s">
        <v>1300</v>
      </c>
      <c r="BD95" s="23" t="s">
        <v>1301</v>
      </c>
      <c r="BE95" s="23" t="s">
        <v>1302</v>
      </c>
      <c r="BF95" s="14" t="s">
        <v>1303</v>
      </c>
    </row>
    <row r="96" ht="24" customHeight="1" spans="1:58">
      <c r="A96" s="14" t="str">
        <f>_xlfn.DISPIMG("ID_D0560D44FEC34C51B10A53D26B16F9FE",1)</f>
        <v>=DISPIMG("ID_D0560D44FEC34C51B10A53D26B16F9FE",1)</v>
      </c>
      <c r="B96" s="15" t="s">
        <v>1304</v>
      </c>
      <c r="C96" s="15" t="s">
        <v>73</v>
      </c>
      <c r="D96" s="15" t="s">
        <v>73</v>
      </c>
      <c r="E96" s="15" t="s">
        <v>1080</v>
      </c>
      <c r="F96" s="15" t="s">
        <v>1081</v>
      </c>
      <c r="G96" s="15" t="s">
        <v>1305</v>
      </c>
      <c r="H96" s="15" t="s">
        <v>1306</v>
      </c>
      <c r="I96" s="15" t="s">
        <v>1307</v>
      </c>
      <c r="J96" s="15" t="s">
        <v>1304</v>
      </c>
      <c r="K96" s="15" t="s">
        <v>65</v>
      </c>
      <c r="L96" s="15" t="s">
        <v>66</v>
      </c>
      <c r="M96" s="18">
        <v>17045</v>
      </c>
      <c r="N96" s="18">
        <v>12500</v>
      </c>
      <c r="O96" s="19">
        <v>0.4231</v>
      </c>
      <c r="P96" s="20" t="s">
        <v>67</v>
      </c>
      <c r="Q96" s="22" t="s">
        <v>1308</v>
      </c>
      <c r="R96" s="18">
        <v>747</v>
      </c>
      <c r="S96" s="19">
        <v>-0.5961</v>
      </c>
      <c r="T96" s="18">
        <v>11063.07</v>
      </c>
      <c r="U96" s="23" t="s">
        <v>247</v>
      </c>
      <c r="V96" s="18">
        <v>1481</v>
      </c>
      <c r="W96" s="24">
        <v>53</v>
      </c>
      <c r="X96" s="25">
        <v>14.81</v>
      </c>
      <c r="AA96" s="18">
        <v>33</v>
      </c>
      <c r="AB96" s="24">
        <v>5236</v>
      </c>
      <c r="AC96" s="18">
        <v>4964</v>
      </c>
      <c r="AD96" s="28">
        <v>4.2</v>
      </c>
      <c r="AE96" s="29">
        <v>0</v>
      </c>
      <c r="AF96" s="25">
        <v>6.15</v>
      </c>
      <c r="AG96" s="19">
        <v>0.3847</v>
      </c>
      <c r="AI96" s="14" t="s">
        <v>1309</v>
      </c>
      <c r="AJ96" s="24">
        <v>596</v>
      </c>
      <c r="AK96" s="14" t="s">
        <v>92</v>
      </c>
      <c r="AL96" s="24">
        <v>9.2</v>
      </c>
      <c r="AM96" s="24">
        <v>2</v>
      </c>
      <c r="AN96" s="15" t="s">
        <v>1310</v>
      </c>
      <c r="AO96" s="14" t="s">
        <v>92</v>
      </c>
      <c r="AP96" s="14" t="s">
        <v>131</v>
      </c>
      <c r="AQ96" s="15" t="s">
        <v>1311</v>
      </c>
      <c r="AR96" s="14" t="s">
        <v>1312</v>
      </c>
      <c r="AS96" s="14" t="s">
        <v>73</v>
      </c>
      <c r="AT96" s="14" t="s">
        <v>74</v>
      </c>
      <c r="AU96" s="14" t="s">
        <v>73</v>
      </c>
      <c r="AV96" s="14" t="s">
        <v>74</v>
      </c>
      <c r="AW96" s="14" t="s">
        <v>73</v>
      </c>
      <c r="AX96" s="14" t="s">
        <v>73</v>
      </c>
      <c r="AY96" s="14" t="s">
        <v>73</v>
      </c>
      <c r="AZ96" s="14" t="s">
        <v>73</v>
      </c>
      <c r="BA96" s="15" t="s">
        <v>73</v>
      </c>
      <c r="BB96" s="23" t="s">
        <v>1313</v>
      </c>
      <c r="BC96" s="23" t="s">
        <v>1314</v>
      </c>
      <c r="BD96" s="23" t="s">
        <v>1315</v>
      </c>
      <c r="BE96" s="23" t="s">
        <v>1316</v>
      </c>
      <c r="BF96" s="14" t="s">
        <v>1317</v>
      </c>
    </row>
    <row r="97" ht="24" customHeight="1" spans="1:58">
      <c r="A97" s="14" t="str">
        <f>_xlfn.DISPIMG("ID_2498E5FCB6D14D2C8D7228D6A46ED8D9",1)</f>
        <v>=DISPIMG("ID_2498E5FCB6D14D2C8D7228D6A46ED8D9",1)</v>
      </c>
      <c r="B97" s="15" t="s">
        <v>1318</v>
      </c>
      <c r="C97" s="15" t="s">
        <v>73</v>
      </c>
      <c r="D97" s="15" t="s">
        <v>73</v>
      </c>
      <c r="E97" s="15" t="s">
        <v>1319</v>
      </c>
      <c r="F97" s="15" t="s">
        <v>1320</v>
      </c>
      <c r="G97" s="15" t="s">
        <v>1321</v>
      </c>
      <c r="H97" s="15" t="s">
        <v>1322</v>
      </c>
      <c r="I97" s="15" t="s">
        <v>1323</v>
      </c>
      <c r="J97" s="15" t="s">
        <v>1318</v>
      </c>
      <c r="K97" s="15" t="s">
        <v>65</v>
      </c>
      <c r="L97" s="15" t="s">
        <v>66</v>
      </c>
      <c r="M97" s="18">
        <v>17189</v>
      </c>
      <c r="N97" s="18">
        <v>26031</v>
      </c>
      <c r="O97" s="19">
        <v>0.6023</v>
      </c>
      <c r="P97" s="20" t="s">
        <v>67</v>
      </c>
      <c r="Q97" s="22" t="s">
        <v>1324</v>
      </c>
      <c r="R97" s="18">
        <v>1454</v>
      </c>
      <c r="S97" s="19">
        <v>-0.4761</v>
      </c>
      <c r="T97" s="18">
        <v>14525.46</v>
      </c>
      <c r="U97" s="23" t="s">
        <v>247</v>
      </c>
      <c r="V97" s="18">
        <v>999</v>
      </c>
      <c r="W97" s="24">
        <v>35</v>
      </c>
      <c r="X97" s="25">
        <v>9.99</v>
      </c>
      <c r="AA97" s="18">
        <v>32</v>
      </c>
      <c r="AB97" s="24">
        <v>704</v>
      </c>
      <c r="AC97" s="18">
        <v>54</v>
      </c>
      <c r="AD97" s="28">
        <v>4.4</v>
      </c>
      <c r="AE97" s="29">
        <v>0.0371</v>
      </c>
      <c r="AF97" s="25">
        <v>5.5</v>
      </c>
      <c r="AG97" s="19">
        <v>0.2495</v>
      </c>
      <c r="AI97" s="14" t="s">
        <v>1325</v>
      </c>
      <c r="AJ97" s="24">
        <v>283</v>
      </c>
      <c r="AK97" s="14" t="s">
        <v>92</v>
      </c>
      <c r="AL97" s="24">
        <v>9.9</v>
      </c>
      <c r="AM97" s="24">
        <v>1</v>
      </c>
      <c r="AN97" s="15" t="s">
        <v>1326</v>
      </c>
      <c r="AO97" s="14" t="s">
        <v>92</v>
      </c>
      <c r="AP97" s="14" t="s">
        <v>94</v>
      </c>
      <c r="AQ97" s="15" t="s">
        <v>1327</v>
      </c>
      <c r="AR97" s="14" t="s">
        <v>1328</v>
      </c>
      <c r="AS97" s="14" t="s">
        <v>73</v>
      </c>
      <c r="AT97" s="14" t="s">
        <v>74</v>
      </c>
      <c r="AU97" s="14" t="s">
        <v>74</v>
      </c>
      <c r="AV97" s="14" t="s">
        <v>74</v>
      </c>
      <c r="AW97" s="14" t="s">
        <v>74</v>
      </c>
      <c r="AX97" s="14" t="s">
        <v>73</v>
      </c>
      <c r="AY97" s="14" t="s">
        <v>73</v>
      </c>
      <c r="AZ97" s="14" t="s">
        <v>73</v>
      </c>
      <c r="BA97" s="15" t="s">
        <v>73</v>
      </c>
      <c r="BB97" s="23" t="s">
        <v>1329</v>
      </c>
      <c r="BC97" s="23" t="s">
        <v>1330</v>
      </c>
      <c r="BD97" s="23" t="s">
        <v>1331</v>
      </c>
      <c r="BE97" s="23" t="s">
        <v>1332</v>
      </c>
      <c r="BF97" s="14" t="s">
        <v>1333</v>
      </c>
    </row>
    <row r="98" ht="24" customHeight="1" spans="1:58">
      <c r="A98" s="14" t="str">
        <f>_xlfn.DISPIMG("ID_5A6F104D6FF5427AA99F5D4B1748C47E",1)</f>
        <v>=DISPIMG("ID_5A6F104D6FF5427AA99F5D4B1748C47E",1)</v>
      </c>
      <c r="B98" s="15" t="s">
        <v>1334</v>
      </c>
      <c r="C98" s="15" t="s">
        <v>73</v>
      </c>
      <c r="D98" s="15" t="s">
        <v>73</v>
      </c>
      <c r="E98" s="15" t="s">
        <v>83</v>
      </c>
      <c r="F98" s="15" t="s">
        <v>84</v>
      </c>
      <c r="G98" s="15" t="s">
        <v>1335</v>
      </c>
      <c r="H98" s="15" t="s">
        <v>1336</v>
      </c>
      <c r="I98" s="15" t="s">
        <v>1337</v>
      </c>
      <c r="J98" s="15" t="s">
        <v>1334</v>
      </c>
      <c r="K98" s="15" t="s">
        <v>65</v>
      </c>
      <c r="L98" s="15" t="s">
        <v>66</v>
      </c>
      <c r="M98" s="18">
        <v>17994</v>
      </c>
      <c r="N98" s="18">
        <v>29487</v>
      </c>
      <c r="O98" s="19">
        <v>0.621</v>
      </c>
      <c r="P98" s="20" t="s">
        <v>67</v>
      </c>
      <c r="Q98" s="22" t="s">
        <v>1338</v>
      </c>
      <c r="R98" s="18">
        <v>1045</v>
      </c>
      <c r="S98" s="19">
        <v>-0.5093</v>
      </c>
      <c r="T98" s="18">
        <v>20889.549</v>
      </c>
      <c r="U98" s="23" t="s">
        <v>1161</v>
      </c>
      <c r="V98" s="18">
        <v>999.5</v>
      </c>
      <c r="W98" s="24">
        <v>16</v>
      </c>
      <c r="X98" s="25">
        <v>19.99</v>
      </c>
      <c r="AB98" s="24">
        <v>82</v>
      </c>
      <c r="AC98" s="18">
        <v>18</v>
      </c>
      <c r="AD98" s="28">
        <v>4.2</v>
      </c>
      <c r="AE98" s="29">
        <v>0.0172</v>
      </c>
      <c r="AF98" s="25">
        <v>7.69</v>
      </c>
      <c r="AG98" s="19">
        <v>0.5069</v>
      </c>
      <c r="AI98" s="14" t="s">
        <v>231</v>
      </c>
      <c r="AJ98" s="24">
        <v>157</v>
      </c>
      <c r="AK98" s="14" t="s">
        <v>92</v>
      </c>
      <c r="AL98" s="24">
        <v>9.8</v>
      </c>
      <c r="AM98" s="24">
        <v>1</v>
      </c>
      <c r="AN98" s="15" t="s">
        <v>93</v>
      </c>
      <c r="AO98" s="14" t="s">
        <v>92</v>
      </c>
      <c r="AP98" s="14" t="s">
        <v>94</v>
      </c>
      <c r="AQ98" s="15" t="s">
        <v>95</v>
      </c>
      <c r="AR98" s="14" t="s">
        <v>96</v>
      </c>
      <c r="AS98" s="14" t="s">
        <v>73</v>
      </c>
      <c r="AT98" s="14" t="s">
        <v>73</v>
      </c>
      <c r="AU98" s="14" t="s">
        <v>73</v>
      </c>
      <c r="AV98" s="14" t="s">
        <v>74</v>
      </c>
      <c r="AW98" s="14" t="s">
        <v>73</v>
      </c>
      <c r="AX98" s="14" t="s">
        <v>73</v>
      </c>
      <c r="AY98" s="14" t="s">
        <v>73</v>
      </c>
      <c r="AZ98" s="14" t="s">
        <v>73</v>
      </c>
      <c r="BA98" s="15" t="s">
        <v>73</v>
      </c>
      <c r="BB98" s="7"/>
      <c r="BC98" s="23" t="s">
        <v>1152</v>
      </c>
      <c r="BD98" s="23" t="s">
        <v>1153</v>
      </c>
      <c r="BE98" s="23" t="s">
        <v>1339</v>
      </c>
      <c r="BF98" s="14" t="s">
        <v>1340</v>
      </c>
    </row>
    <row r="99" ht="24" customHeight="1" spans="1:58">
      <c r="A99" s="14" t="str">
        <f>_xlfn.DISPIMG("ID_3C6C805058714009951A2FE87228E5F0",1)</f>
        <v>=DISPIMG("ID_3C6C805058714009951A2FE87228E5F0",1)</v>
      </c>
      <c r="B99" s="15" t="s">
        <v>1341</v>
      </c>
      <c r="C99" s="15" t="s">
        <v>73</v>
      </c>
      <c r="D99" s="15" t="s">
        <v>73</v>
      </c>
      <c r="E99" s="15" t="s">
        <v>1342</v>
      </c>
      <c r="F99" s="15" t="s">
        <v>1343</v>
      </c>
      <c r="G99" s="15" t="s">
        <v>1344</v>
      </c>
      <c r="H99" s="15" t="s">
        <v>1345</v>
      </c>
      <c r="I99" s="15" t="s">
        <v>1346</v>
      </c>
      <c r="J99" s="15" t="s">
        <v>1341</v>
      </c>
      <c r="K99" s="15" t="s">
        <v>65</v>
      </c>
      <c r="L99" s="15" t="s">
        <v>66</v>
      </c>
      <c r="M99" s="18">
        <v>18115</v>
      </c>
      <c r="N99" s="18">
        <v>-355</v>
      </c>
      <c r="O99" s="19">
        <v>-0.0182</v>
      </c>
      <c r="P99" s="20" t="s">
        <v>67</v>
      </c>
      <c r="Q99" s="22" t="s">
        <v>1324</v>
      </c>
      <c r="R99" s="18">
        <v>2258</v>
      </c>
      <c r="S99" s="19">
        <v>3.1238</v>
      </c>
      <c r="T99" s="18">
        <v>85758.836</v>
      </c>
      <c r="U99" s="23" t="s">
        <v>247</v>
      </c>
      <c r="V99" s="18">
        <v>3798</v>
      </c>
      <c r="W99" s="24">
        <v>81</v>
      </c>
      <c r="X99" s="25">
        <v>37.98</v>
      </c>
      <c r="AA99" s="18">
        <v>47</v>
      </c>
      <c r="AB99" s="24">
        <v>6668</v>
      </c>
      <c r="AC99" s="18">
        <v>0</v>
      </c>
      <c r="AD99" s="28">
        <v>4.3</v>
      </c>
      <c r="AE99" s="29">
        <v>0</v>
      </c>
      <c r="AF99" s="25">
        <v>6.53</v>
      </c>
      <c r="AG99" s="19">
        <v>0.5777</v>
      </c>
      <c r="AI99" s="14" t="s">
        <v>1347</v>
      </c>
      <c r="AJ99" s="24">
        <v>1605</v>
      </c>
      <c r="AK99" s="14" t="s">
        <v>92</v>
      </c>
      <c r="AL99" s="24">
        <v>10</v>
      </c>
      <c r="AM99" s="24">
        <v>2</v>
      </c>
      <c r="AN99" s="15" t="s">
        <v>1348</v>
      </c>
      <c r="AO99" s="14" t="s">
        <v>92</v>
      </c>
      <c r="AP99" s="14" t="s">
        <v>94</v>
      </c>
      <c r="AQ99" s="15" t="s">
        <v>1349</v>
      </c>
      <c r="AR99" s="14" t="s">
        <v>1350</v>
      </c>
      <c r="AS99" s="14" t="s">
        <v>73</v>
      </c>
      <c r="AT99" s="14" t="s">
        <v>74</v>
      </c>
      <c r="AU99" s="14" t="s">
        <v>73</v>
      </c>
      <c r="AV99" s="14" t="s">
        <v>74</v>
      </c>
      <c r="AW99" s="14" t="s">
        <v>74</v>
      </c>
      <c r="AX99" s="14" t="s">
        <v>73</v>
      </c>
      <c r="AY99" s="14" t="s">
        <v>73</v>
      </c>
      <c r="AZ99" s="14" t="s">
        <v>73</v>
      </c>
      <c r="BA99" s="15" t="s">
        <v>73</v>
      </c>
      <c r="BB99" s="23" t="s">
        <v>1351</v>
      </c>
      <c r="BC99" s="23" t="s">
        <v>115</v>
      </c>
      <c r="BD99" s="23" t="s">
        <v>116</v>
      </c>
      <c r="BE99" s="23" t="s">
        <v>117</v>
      </c>
      <c r="BF99" s="14" t="s">
        <v>118</v>
      </c>
    </row>
    <row r="100" ht="24" customHeight="1" spans="1:58">
      <c r="A100" s="14" t="str">
        <f>_xlfn.DISPIMG("ID_CFA175188AF9458CAC4FBC294825313E",1)</f>
        <v>=DISPIMG("ID_CFA175188AF9458CAC4FBC294825313E",1)</v>
      </c>
      <c r="B100" s="15" t="s">
        <v>1352</v>
      </c>
      <c r="C100" s="15" t="s">
        <v>73</v>
      </c>
      <c r="D100" s="15" t="s">
        <v>73</v>
      </c>
      <c r="E100" s="15" t="s">
        <v>1353</v>
      </c>
      <c r="F100" s="15" t="s">
        <v>1354</v>
      </c>
      <c r="G100" s="15" t="s">
        <v>1355</v>
      </c>
      <c r="H100" s="15" t="s">
        <v>1356</v>
      </c>
      <c r="I100" s="15" t="s">
        <v>1357</v>
      </c>
      <c r="J100" s="15" t="s">
        <v>1352</v>
      </c>
      <c r="K100" s="15" t="s">
        <v>65</v>
      </c>
      <c r="L100" s="15" t="s">
        <v>66</v>
      </c>
      <c r="M100" s="18">
        <v>18410</v>
      </c>
      <c r="N100" s="18">
        <v>81669</v>
      </c>
      <c r="O100" s="19">
        <v>0.816</v>
      </c>
      <c r="P100" s="20" t="s">
        <v>67</v>
      </c>
      <c r="Q100" s="22" t="s">
        <v>1358</v>
      </c>
      <c r="R100" s="18">
        <v>537</v>
      </c>
      <c r="S100" s="19">
        <v>77</v>
      </c>
      <c r="T100" s="18">
        <v>19326.63</v>
      </c>
      <c r="U100" s="23" t="s">
        <v>1161</v>
      </c>
      <c r="V100" s="18">
        <v>1799.5</v>
      </c>
      <c r="W100" s="24">
        <v>21</v>
      </c>
      <c r="X100" s="25">
        <v>35.99</v>
      </c>
      <c r="AA100" s="18">
        <v>8</v>
      </c>
      <c r="AB100" s="24">
        <v>203</v>
      </c>
      <c r="AC100" s="18">
        <v>6</v>
      </c>
      <c r="AD100" s="28">
        <v>4.2</v>
      </c>
      <c r="AE100" s="29">
        <v>0.0112</v>
      </c>
      <c r="AF100" s="25">
        <v>8.33</v>
      </c>
      <c r="AG100" s="19">
        <v>0.5686</v>
      </c>
      <c r="AI100" s="14" t="s">
        <v>1359</v>
      </c>
      <c r="AJ100" s="24">
        <v>709</v>
      </c>
      <c r="AK100" s="14" t="s">
        <v>92</v>
      </c>
      <c r="AL100" s="24">
        <v>10</v>
      </c>
      <c r="AM100" s="24">
        <v>1</v>
      </c>
      <c r="AN100" s="15" t="s">
        <v>1360</v>
      </c>
      <c r="AO100" s="14" t="s">
        <v>92</v>
      </c>
      <c r="AP100" s="14" t="s">
        <v>94</v>
      </c>
      <c r="AQ100" s="15" t="s">
        <v>1361</v>
      </c>
      <c r="AR100" s="14" t="s">
        <v>1362</v>
      </c>
      <c r="AS100" s="14" t="s">
        <v>73</v>
      </c>
      <c r="AT100" s="14" t="s">
        <v>73</v>
      </c>
      <c r="AU100" s="14" t="s">
        <v>73</v>
      </c>
      <c r="AV100" s="14" t="s">
        <v>74</v>
      </c>
      <c r="AW100" s="14" t="s">
        <v>73</v>
      </c>
      <c r="AX100" s="14" t="s">
        <v>73</v>
      </c>
      <c r="AY100" s="14" t="s">
        <v>73</v>
      </c>
      <c r="AZ100" s="14" t="s">
        <v>73</v>
      </c>
      <c r="BA100" s="15" t="s">
        <v>73</v>
      </c>
      <c r="BB100" s="7"/>
      <c r="BC100" s="23" t="s">
        <v>1363</v>
      </c>
      <c r="BD100" s="23" t="s">
        <v>1364</v>
      </c>
      <c r="BE100" s="23" t="s">
        <v>1365</v>
      </c>
      <c r="BF100" s="14" t="s">
        <v>1366</v>
      </c>
    </row>
    <row r="101" ht="24" customHeight="1" spans="1:58">
      <c r="A101" s="14" t="str">
        <f>_xlfn.DISPIMG("ID_828C0CB417944C619E04D4E13C6E8151",1)</f>
        <v>=DISPIMG("ID_828C0CB417944C619E04D4E13C6E8151",1)</v>
      </c>
      <c r="B101" s="15" t="s">
        <v>1367</v>
      </c>
      <c r="C101" s="15" t="s">
        <v>73</v>
      </c>
      <c r="D101" s="15" t="s">
        <v>73</v>
      </c>
      <c r="E101" s="15" t="s">
        <v>1368</v>
      </c>
      <c r="F101" s="15" t="s">
        <v>1369</v>
      </c>
      <c r="G101" s="15" t="s">
        <v>1370</v>
      </c>
      <c r="H101" s="15" t="s">
        <v>1371</v>
      </c>
      <c r="I101" s="15" t="s">
        <v>1372</v>
      </c>
      <c r="J101" s="15" t="s">
        <v>1367</v>
      </c>
      <c r="K101" s="15" t="s">
        <v>65</v>
      </c>
      <c r="L101" s="15" t="s">
        <v>66</v>
      </c>
      <c r="M101" s="18">
        <v>29772</v>
      </c>
      <c r="N101" s="18">
        <v>-1901</v>
      </c>
      <c r="O101" s="19">
        <v>-0.0682</v>
      </c>
      <c r="P101" s="20" t="s">
        <v>67</v>
      </c>
      <c r="Q101" s="22" t="s">
        <v>1373</v>
      </c>
      <c r="R101" s="18">
        <v>1199</v>
      </c>
      <c r="S101" s="19">
        <v>1.3053</v>
      </c>
      <c r="T101" s="18">
        <v>40754.01</v>
      </c>
      <c r="U101" s="23" t="s">
        <v>1161</v>
      </c>
      <c r="V101" s="18">
        <v>1699.5</v>
      </c>
      <c r="W101" s="24">
        <v>245</v>
      </c>
      <c r="X101" s="25">
        <v>33.99</v>
      </c>
      <c r="AA101" s="18">
        <v>22</v>
      </c>
      <c r="AB101" s="24">
        <v>1044</v>
      </c>
      <c r="AC101" s="18">
        <v>7</v>
      </c>
      <c r="AD101" s="28">
        <v>4.4</v>
      </c>
      <c r="AE101" s="29">
        <v>0.0058</v>
      </c>
      <c r="AF101" s="25">
        <v>5.82</v>
      </c>
      <c r="AG101" s="19">
        <v>0.6427</v>
      </c>
      <c r="AI101" s="14" t="s">
        <v>1374</v>
      </c>
      <c r="AJ101" s="24">
        <v>561</v>
      </c>
      <c r="AK101" s="14" t="s">
        <v>92</v>
      </c>
      <c r="AL101" s="24">
        <v>10</v>
      </c>
      <c r="AM101" s="24">
        <v>1</v>
      </c>
      <c r="AN101" s="15" t="s">
        <v>1375</v>
      </c>
      <c r="AO101" s="14" t="s">
        <v>92</v>
      </c>
      <c r="AP101" s="14" t="s">
        <v>94</v>
      </c>
      <c r="AQ101" s="15" t="s">
        <v>1376</v>
      </c>
      <c r="AR101" s="14" t="s">
        <v>1377</v>
      </c>
      <c r="AS101" s="14" t="s">
        <v>73</v>
      </c>
      <c r="AT101" s="14" t="s">
        <v>74</v>
      </c>
      <c r="AU101" s="14" t="s">
        <v>73</v>
      </c>
      <c r="AV101" s="14" t="s">
        <v>74</v>
      </c>
      <c r="AW101" s="14" t="s">
        <v>74</v>
      </c>
      <c r="AX101" s="14" t="s">
        <v>73</v>
      </c>
      <c r="AY101" s="14" t="s">
        <v>73</v>
      </c>
      <c r="AZ101" s="14" t="s">
        <v>73</v>
      </c>
      <c r="BA101" s="15" t="s">
        <v>73</v>
      </c>
      <c r="BB101" s="23" t="s">
        <v>1378</v>
      </c>
      <c r="BC101" s="23" t="s">
        <v>651</v>
      </c>
      <c r="BD101" s="23" t="s">
        <v>652</v>
      </c>
      <c r="BE101" s="23" t="s">
        <v>1379</v>
      </c>
      <c r="BF101" s="14" t="s">
        <v>1380</v>
      </c>
    </row>
  </sheetData>
  <autoFilter xmlns:etc="http://www.wps.cn/officeDocument/2017/etCustomData" ref="A1:BF101" etc:filterBottomFollowUsedRange="0">
    <extLst/>
  </autoFilter>
  <sortState ref="A2:BF101">
    <sortCondition ref="M2"/>
  </sortState>
  <hyperlinks>
    <hyperlink ref="B2" r:id="rId1" display="B0169P9G22" tooltip="https://www.amazon.com/dp/B0169P9G22"/>
    <hyperlink ref="F2" r:id="rId2" display="https://www.amazon.com/stores/Hanes/page/F83022EC-A709-4B2F-BCB7-7BBFA1896AB0?ref_=ast_bln&amp;store_ref=bl_ast_dp_brandLogo_sto" tooltip="https://www.amazon.com/stores/Hanes/page/F83022EC-A709-4B2F-BCB7-7BBFA1896AB0?ref_=ast_bln&amp;store_ref=bl_ast_dp_brandLogo_sto"/>
    <hyperlink ref="H2" r:id="rId3" display="https://www.amazon.com/dp/B0169P9G22?psc=1" tooltip="https://www.amazon.com/dp/B0169P9G22?psc=1"/>
    <hyperlink ref="I2" r:id="rId4" display="https://m.media-amazon.com/images/I/31qe-4OGLcL._AC_SR600,600_.jpg" tooltip="https://m.media-amazon.com/images/I/31qe-4OGLcL._AC_SR600,600_.jpg"/>
    <hyperlink ref="J2" r:id="rId5" display="B0CXYBN5BZ" tooltip="https://www.amazon.com/dp/B0CXYBN5BZ"/>
    <hyperlink ref="K2" r:id="rId6" display="Clothing, Shoes &amp; Jewelry:Women:Clothing:Active:Active Pants:Sweatpants" tooltip="https://www.amazon.com/b?node=1250423011"/>
    <hyperlink ref="L2" r:id="rId7" display="Clothing, Shoes &amp; Jewelry"/>
    <hyperlink ref="B3" r:id="rId8" display="B08XXMQ32C" tooltip="https://www.amazon.com/dp/B08XXMQ32C"/>
    <hyperlink ref="F3" r:id="rId9" display="https://www.amazon.com/stores/AUTOMET/page/FCCD3AC0-B62A-45A7-BF7C-452CD65FDF26?ref_=ast_bln&amp;store_ref=bl_ast_dp_brandLogo_sto" tooltip="https://www.amazon.com/stores/AUTOMET/page/FCCD3AC0-B62A-45A7-BF7C-452CD65FDF26?ref_=ast_bln&amp;store_ref=bl_ast_dp_brandLogo_sto"/>
    <hyperlink ref="H3" r:id="rId10" display="https://www.amazon.com/dp/B08XXMQ32C?psc=1" tooltip="https://www.amazon.com/dp/B08XXMQ32C?psc=1"/>
    <hyperlink ref="I3" r:id="rId11" display="https://images-na.ssl-images-amazon.com/images/I/51af29C2bqL._AC_US600_.jpg" tooltip="https://images-na.ssl-images-amazon.com/images/I/51af29C2bqL._AC_US600_.jpg"/>
    <hyperlink ref="J3" r:id="rId12" display="B0CVVNG3JB" tooltip="https://www.amazon.com/dp/B0CVVNG3JB"/>
    <hyperlink ref="K3" r:id="rId6" display="Clothing, Shoes &amp; Jewelry:Women:Clothing:Active:Active Pants:Sweatpants" tooltip="https://www.amazon.com/b?node=1250423011"/>
    <hyperlink ref="L3" r:id="rId7" display="Clothing, Shoes &amp; Jewelry"/>
    <hyperlink ref="AR3" r:id="rId13" display="https://www.amazon.com/gp/help/seller/at-a-glance.html/ref=dp_merchant_link?seller=AB2NECOE3B4S7" tooltip="https://www.amazon.com/gp/help/seller/at-a-glance.html/ref=dp_merchant_link?seller=AB2NECOE3B4S7"/>
    <hyperlink ref="B4" r:id="rId14" display="B07L6C4MW6" tooltip="https://www.amazon.com/dp/B07L6C4MW6"/>
    <hyperlink ref="F4" r:id="rId15" display="https://www.amazon.com/stores/Yeokou/page/0E5683BE-BF4C-42E9-94F5-F5D8B13D1CE6?ref_=ast_bln&amp;store_ref=bl_ast_dp_brandLogo_sto" tooltip="https://www.amazon.com/stores/Yeokou/page/0E5683BE-BF4C-42E9-94F5-F5D8B13D1CE6?ref_=ast_bln&amp;store_ref=bl_ast_dp_brandLogo_sto"/>
    <hyperlink ref="H4" r:id="rId16" display="https://www.amazon.com/dp/B07L6C4MW6?psc=1" tooltip="https://www.amazon.com/dp/B07L6C4MW6?psc=1"/>
    <hyperlink ref="I4" r:id="rId17" display="https://images-na.ssl-images-amazon.com/images/I/518PFzFvGjL._AC_US600_.jpg" tooltip="https://images-na.ssl-images-amazon.com/images/I/518PFzFvGjL._AC_US600_.jpg"/>
    <hyperlink ref="J4" r:id="rId18" display="B0CT8L14MN" tooltip="https://www.amazon.com/dp/B0CT8L14MN"/>
    <hyperlink ref="K4" r:id="rId6" display="Clothing, Shoes &amp; Jewelry:Women:Clothing:Active:Active Pants:Sweatpants" tooltip="https://www.amazon.com/b?node=1250423011"/>
    <hyperlink ref="L4" r:id="rId7" display="Clothing, Shoes &amp; Jewelry"/>
    <hyperlink ref="AR4" r:id="rId19" display="https://www.amazon.com/gp/help/seller/at-a-glance.html/ref=dp_merchant_link?seller=A8A0HLGI9IL7U" tooltip="https://www.amazon.com/gp/help/seller/at-a-glance.html/ref=dp_merchant_link?seller=A8A0HLGI9IL7U"/>
    <hyperlink ref="B5" r:id="rId20" display="B07B8VXF7F" tooltip="https://www.amazon.com/dp/B07B8VXF7F"/>
    <hyperlink ref="F5" r:id="rId21" display="https://www.amazon.com/stores/LeggingsDepot/page/68B33F7C-13F9-42C6-A40F-7F42F29E123A?ref_=ast_bln&amp;store_ref=bl_ast_dp_brandLogo_sto" tooltip="https://www.amazon.com/stores/LeggingsDepot/page/68B33F7C-13F9-42C6-A40F-7F42F29E123A?ref_=ast_bln&amp;store_ref=bl_ast_dp_brandLogo_sto"/>
    <hyperlink ref="H5" r:id="rId22" display="https://www.amazon.com/dp/B07B8VXF7F?psc=1" tooltip="https://www.amazon.com/dp/B07B8VXF7F?psc=1"/>
    <hyperlink ref="I5" r:id="rId23" display="https://images-na.ssl-images-amazon.com/images/I/61FI5v3C9JL._AC_US600_.jpg" tooltip="https://images-na.ssl-images-amazon.com/images/I/61FI5v3C9JL._AC_US600_.jpg"/>
    <hyperlink ref="J5" r:id="rId24" display="B07YYSC22N" tooltip="https://www.amazon.com/dp/B07YYSC22N"/>
    <hyperlink ref="K5" r:id="rId6" display="Clothing, Shoes &amp; Jewelry:Women:Clothing:Active:Active Pants:Sweatpants" tooltip="https://www.amazon.com/b?node=1250423011"/>
    <hyperlink ref="L5" r:id="rId7" display="Clothing, Shoes &amp; Jewelry"/>
    <hyperlink ref="AR5" r:id="rId25" display="https://www.amazon.com/gp/help/seller/at-a-glance.html/ref=dp_merchant_link?seller=A14UYV56QBLQTG" tooltip="https://www.amazon.com/gp/help/seller/at-a-glance.html/ref=dp_merchant_link?seller=A14UYV56QBLQTG"/>
    <hyperlink ref="B8" r:id="rId26" display="B0BCKJ27B5" tooltip="https://www.amazon.com/dp/B0BCKJ27B5"/>
    <hyperlink ref="F8" r:id="rId27" display="https://www.amazon.com/stores/GGradual/page/83E26C48-D353-4DB2-BBB1-1B1E939F003F?ref_=ast_bln&amp;store_ref=bl_ast_dp_brandLogo_sto" tooltip="https://www.amazon.com/stores/GGradual/page/83E26C48-D353-4DB2-BBB1-1B1E939F003F?ref_=ast_bln&amp;store_ref=bl_ast_dp_brandLogo_sto"/>
    <hyperlink ref="H8" r:id="rId28" display="https://www.amazon.com/dp/B0BCKJ27B5?psc=1" tooltip="https://www.amazon.com/dp/B0BCKJ27B5?psc=1"/>
    <hyperlink ref="I8" r:id="rId29" display="https://images-na.ssl-images-amazon.com/images/I/61nSSjhY6uL._AC_US600_.jpg" tooltip="https://images-na.ssl-images-amazon.com/images/I/61nSSjhY6uL._AC_US600_.jpg"/>
    <hyperlink ref="J8" r:id="rId30" display="B0BNVHG7W1" tooltip="https://www.amazon.com/dp/B0BNVHG7W1"/>
    <hyperlink ref="K8" r:id="rId6" display="Clothing, Shoes &amp; Jewelry:Women:Clothing:Active:Active Pants:Sweatpants" tooltip="https://www.amazon.com/b?node=1250423011"/>
    <hyperlink ref="L8" r:id="rId7" display="Clothing, Shoes &amp; Jewelry"/>
    <hyperlink ref="AR8" r:id="rId31" display="https://www.amazon.com/gp/help/seller/at-a-glance.html/ref=dp_merchant_link?seller=A3J1UQ06EUSAGL" tooltip="https://www.amazon.com/gp/help/seller/at-a-glance.html/ref=dp_merchant_link?seller=A3J1UQ06EUSAGL"/>
    <hyperlink ref="B10" r:id="rId32" display="B0915NGKRZ" tooltip="https://www.amazon.com/dp/B0915NGKRZ"/>
    <hyperlink ref="F10" r:id="rId9" display="https://www.amazon.com/stores/AUTOMET/page/FCCD3AC0-B62A-45A7-BF7C-452CD65FDF26?ref_=ast_bln&amp;store_ref=bl_ast_dp_brandLogo_sto" tooltip="https://www.amazon.com/stores/AUTOMET/page/FCCD3AC0-B62A-45A7-BF7C-452CD65FDF26?ref_=ast_bln&amp;store_ref=bl_ast_dp_brandLogo_sto"/>
    <hyperlink ref="H10" r:id="rId33" display="https://www.amazon.com/dp/B0915NGKRZ?psc=1" tooltip="https://www.amazon.com/dp/B0915NGKRZ?psc=1"/>
    <hyperlink ref="I10" r:id="rId34" display="https://images-na.ssl-images-amazon.com/images/I/61NI1Im3HyL._AC_US600_.jpg" tooltip="https://images-na.ssl-images-amazon.com/images/I/61NI1Im3HyL._AC_US600_.jpg"/>
    <hyperlink ref="J10" r:id="rId35" display="B0CVVQWRL4" tooltip="https://www.amazon.com/dp/B0CVVQWRL4"/>
    <hyperlink ref="K10" r:id="rId6" display="Clothing, Shoes &amp; Jewelry:Women:Clothing:Active:Active Pants:Sweatpants" tooltip="https://www.amazon.com/b?node=1250423011"/>
    <hyperlink ref="L10" r:id="rId7" display="Clothing, Shoes &amp; Jewelry"/>
    <hyperlink ref="AR10" r:id="rId13" display="https://www.amazon.com/gp/help/seller/at-a-glance.html/ref=dp_merchant_link?seller=AB2NECOE3B4S7" tooltip="https://www.amazon.com/gp/help/seller/at-a-glance.html/ref=dp_merchant_link?seller=AB2NECOE3B4S7"/>
    <hyperlink ref="B7" r:id="rId36" display="B08X996KM7" tooltip="https://www.amazon.com/dp/B08X996KM7"/>
    <hyperlink ref="F7" r:id="rId37" display="https://www.amazon.com/stores/RealEssentials/page/FBE83AF6-EE5D-4217-AB93-7822B24A96FB?ref_=ast_bln&amp;store_ref=bl_ast_dp_brandLogo_sto" tooltip="https://www.amazon.com/stores/RealEssentials/page/FBE83AF6-EE5D-4217-AB93-7822B24A96FB?ref_=ast_bln&amp;store_ref=bl_ast_dp_brandLogo_sto"/>
    <hyperlink ref="H7" r:id="rId38" display="https://www.amazon.com/dp/B08X996KM7?psc=1" tooltip="https://www.amazon.com/dp/B08X996KM7?psc=1"/>
    <hyperlink ref="I7" r:id="rId39" display="https://m.media-amazon.com/images/I/41z+1B9EuuL._AC_SR600,600_.jpg" tooltip="https://m.media-amazon.com/images/I/41z+1B9EuuL._AC_SR600,600_.jpg"/>
    <hyperlink ref="J7" r:id="rId40" display="B0CP4FNCN5" tooltip="https://www.amazon.com/dp/B0CP4FNCN5"/>
    <hyperlink ref="K7" r:id="rId6" display="Clothing, Shoes &amp; Jewelry:Women:Clothing:Active:Active Pants:Sweatpants" tooltip="https://www.amazon.com/b?node=1250423011"/>
    <hyperlink ref="L7" r:id="rId7" display="Clothing, Shoes &amp; Jewelry"/>
    <hyperlink ref="AR7" r:id="rId41" display="https://www.amazon.com/gp/help/seller/at-a-glance.html/ref=dp_merchant_link?seller=A2ZO1F0HRSC2G3" tooltip="https://www.amazon.com/gp/help/seller/at-a-glance.html/ref=dp_merchant_link?seller=A2ZO1F0HRSC2G3"/>
    <hyperlink ref="B11" r:id="rId42" display="B0D5HKJFJJ" tooltip="https://www.amazon.com/dp/B0D5HKJFJJ"/>
    <hyperlink ref="F11" r:id="rId43" display="https://www.amazon.com/stores/ATHMILE/page/4E137DE3-CE99-4A51-A7DA-FC98898E0D58?ref_=ast_bln&amp;store_ref=bl_ast_dp_brandLogo_sto" tooltip="https://www.amazon.com/stores/ATHMILE/page/4E137DE3-CE99-4A51-A7DA-FC98898E0D58?ref_=ast_bln&amp;store_ref=bl_ast_dp_brandLogo_sto"/>
    <hyperlink ref="H11" r:id="rId44" display="https://www.amazon.com/dp/B0D5HKJFJJ?psc=1" tooltip="https://www.amazon.com/dp/B0D5HKJFJJ?psc=1"/>
    <hyperlink ref="I11" r:id="rId45" display="https://m.media-amazon.com/images/I/31sEt18AvFL._AC_SR600,600_.jpg" tooltip="https://m.media-amazon.com/images/I/31sEt18AvFL._AC_SR600,600_.jpg"/>
    <hyperlink ref="J11" r:id="rId46" display="B0D5HJRNP2" tooltip="https://www.amazon.com/dp/B0D5HJRNP2"/>
    <hyperlink ref="K11" r:id="rId6" display="Clothing, Shoes &amp; Jewelry:Women:Clothing:Active:Active Pants:Sweatpants" tooltip="https://www.amazon.com/b?node=1250423011"/>
    <hyperlink ref="L11" r:id="rId7" display="Clothing, Shoes &amp; Jewelry"/>
    <hyperlink ref="AR11" r:id="rId47" display="https://www.amazon.com/gp/help/seller/at-a-glance.html/ref=dp_merchant_link?seller=A2T7LQ02S6L1QM" tooltip="https://www.amazon.com/gp/help/seller/at-a-glance.html/ref=dp_merchant_link?seller=A2T7LQ02S6L1QM"/>
    <hyperlink ref="B13" r:id="rId48" display="B0BGKCM23M" tooltip="https://www.amazon.com/dp/B0BGKCM23M"/>
    <hyperlink ref="F13" r:id="rId9" display="https://www.amazon.com/stores/AUTOMET/page/FCCD3AC0-B62A-45A7-BF7C-452CD65FDF26?ref_=ast_bln&amp;store_ref=bl_ast_dp_brandLogo_sto" tooltip="https://www.amazon.com/stores/AUTOMET/page/FCCD3AC0-B62A-45A7-BF7C-452CD65FDF26?ref_=ast_bln&amp;store_ref=bl_ast_dp_brandLogo_sto"/>
    <hyperlink ref="H13" r:id="rId49" display="https://www.amazon.com/dp/B0BGKCM23M?psc=1" tooltip="https://www.amazon.com/dp/B0BGKCM23M?psc=1"/>
    <hyperlink ref="I13" r:id="rId50" display="https://m.media-amazon.com/images/I/31u55NjnMwL._AC_SR600,600_.jpg" tooltip="https://m.media-amazon.com/images/I/31u55NjnMwL._AC_SR600,600_.jpg"/>
    <hyperlink ref="J13" r:id="rId51" display="B0CVVP3LSW" tooltip="https://www.amazon.com/dp/B0CVVP3LSW"/>
    <hyperlink ref="K13" r:id="rId6" display="Clothing, Shoes &amp; Jewelry:Women:Clothing:Active:Active Pants:Sweatpants" tooltip="https://www.amazon.com/b?node=1250423011"/>
    <hyperlink ref="L13" r:id="rId7" display="Clothing, Shoes &amp; Jewelry"/>
    <hyperlink ref="AR13" r:id="rId13" display="https://www.amazon.com/gp/help/seller/at-a-glance.html/ref=dp_merchant_link?seller=AB2NECOE3B4S7" tooltip="https://www.amazon.com/gp/help/seller/at-a-glance.html/ref=dp_merchant_link?seller=AB2NECOE3B4S7"/>
    <hyperlink ref="B15" r:id="rId52" display="B0C7QTNVKY" tooltip="https://www.amazon.com/dp/B0C7QTNVKY"/>
    <hyperlink ref="F15" r:id="rId9" display="https://www.amazon.com/stores/AUTOMET/page/FCCD3AC0-B62A-45A7-BF7C-452CD65FDF26?ref_=ast_bln&amp;store_ref=bl_ast_dp_brandLogo_sto" tooltip="https://www.amazon.com/stores/AUTOMET/page/FCCD3AC0-B62A-45A7-BF7C-452CD65FDF26?ref_=ast_bln&amp;store_ref=bl_ast_dp_brandLogo_sto"/>
    <hyperlink ref="H15" r:id="rId53" display="https://www.amazon.com/dp/B0C7QTNVKY?psc=1" tooltip="https://www.amazon.com/dp/B0C7QTNVKY?psc=1"/>
    <hyperlink ref="I15" r:id="rId54" display="https://images-na.ssl-images-amazon.com/images/I/61FEThJ8CdL._AC_US600_.jpg" tooltip="https://images-na.ssl-images-amazon.com/images/I/61FEThJ8CdL._AC_US600_.jpg"/>
    <hyperlink ref="J15" r:id="rId55" display="B0CVVP4ZN3" tooltip="https://www.amazon.com/dp/B0CVVP4ZN3"/>
    <hyperlink ref="K15" r:id="rId6" display="Clothing, Shoes &amp; Jewelry:Women:Clothing:Active:Active Pants:Sweatpants" tooltip="https://www.amazon.com/b?node=1250423011"/>
    <hyperlink ref="L15" r:id="rId7" display="Clothing, Shoes &amp; Jewelry"/>
    <hyperlink ref="AR15" r:id="rId13" display="https://www.amazon.com/gp/help/seller/at-a-glance.html/ref=dp_merchant_link?seller=AB2NECOE3B4S7" tooltip="https://www.amazon.com/gp/help/seller/at-a-glance.html/ref=dp_merchant_link?seller=AB2NECOE3B4S7"/>
    <hyperlink ref="B14" r:id="rId56" display="B08T68Y8YM" tooltip="https://www.amazon.com/dp/B08T68Y8YM"/>
    <hyperlink ref="F14" r:id="rId57" display="https://www.amazon.com/stores/Libin/page/9518B9E7-5E52-4CB0-9CC5-DC685B152BC9?ref_=ast_bln&amp;store_ref=bl_ast_dp_brandLogo_sto" tooltip="https://www.amazon.com/stores/Libin/page/9518B9E7-5E52-4CB0-9CC5-DC685B152BC9?ref_=ast_bln&amp;store_ref=bl_ast_dp_brandLogo_sto"/>
    <hyperlink ref="H14" r:id="rId58" display="https://www.amazon.com/dp/B08T68Y8YM?psc=1" tooltip="https://www.amazon.com/dp/B08T68Y8YM?psc=1"/>
    <hyperlink ref="I14" r:id="rId59" display="https://images-na.ssl-images-amazon.com/images/I/61+LL+2CZvL._AC_US600_.jpg" tooltip="https://images-na.ssl-images-amazon.com/images/I/61+LL+2CZvL._AC_US600_.jpg"/>
    <hyperlink ref="J14" r:id="rId60" display="B0DK5HF2PN" tooltip="https://www.amazon.com/dp/B0DK5HF2PN"/>
    <hyperlink ref="K14" r:id="rId6" display="Clothing, Shoes &amp; Jewelry:Women:Clothing:Active:Active Pants:Sweatpants" tooltip="https://www.amazon.com/b?node=1250423011"/>
    <hyperlink ref="L14" r:id="rId7" display="Clothing, Shoes &amp; Jewelry"/>
    <hyperlink ref="AR14" r:id="rId61" display="https://www.amazon.com/gp/help/seller/at-a-glance.html/ref=dp_merchant_link?seller=A3NZPOMD22XCCN" tooltip="https://www.amazon.com/gp/help/seller/at-a-glance.html/ref=dp_merchant_link?seller=A3NZPOMD22XCCN"/>
    <hyperlink ref="B16" r:id="rId62" display="B0C7X7N1XW" tooltip="https://www.amazon.com/dp/B0C7X7N1XW"/>
    <hyperlink ref="F16" r:id="rId63" display="https://www.amazon.com/stores/BottomLine/page/961D76CE-E2B6-4E4B-BA23-7E5266AE3F50?ref_=ast_bln" tooltip="https://www.amazon.com/stores/BottomLine/page/961D76CE-E2B6-4E4B-BA23-7E5266AE3F50?ref_=ast_bln"/>
    <hyperlink ref="H16" r:id="rId64" display="https://www.amazon.com/dp/B0C7X7N1XW?psc=1" tooltip="https://www.amazon.com/dp/B0C7X7N1XW?psc=1"/>
    <hyperlink ref="I16" r:id="rId65" display="https://m.media-amazon.com/images/I/41bs6ZGtQYL._AC_SR600,600_.jpg" tooltip="https://m.media-amazon.com/images/I/41bs6ZGtQYL._AC_SR600,600_.jpg"/>
    <hyperlink ref="J16" r:id="rId66" display="B0CS42M6FQ" tooltip="https://www.amazon.com/dp/B0CS42M6FQ"/>
    <hyperlink ref="K16" r:id="rId6" display="Clothing, Shoes &amp; Jewelry:Women:Clothing:Active:Active Pants:Sweatpants" tooltip="https://www.amazon.com/b?node=1250423011"/>
    <hyperlink ref="L16" r:id="rId7" display="Clothing, Shoes &amp; Jewelry"/>
    <hyperlink ref="AR16" r:id="rId67" display="https://www.amazon.com/gp/help/seller/at-a-glance.html/ref=dp_merchant_link?seller=A36X6RFJ7XS38Y" tooltip="https://www.amazon.com/gp/help/seller/at-a-glance.html/ref=dp_merchant_link?seller=A36X6RFJ7XS38Y"/>
    <hyperlink ref="B6" r:id="rId68" display="B07BJ8G4D1" tooltip="https://www.amazon.com/dp/B07BJ8G4D1"/>
    <hyperlink ref="F6" r:id="rId69" display="https://www.amazon.com/stores/AmazonEssentials/page/F8FB6F3C-F896-455C-BC52-7879F4CEF0CF?ref_=ast_bln&amp;store_ref=bl_ast_dp_brandLogo_sto" tooltip="https://www.amazon.com/stores/AmazonEssentials/page/F8FB6F3C-F896-455C-BC52-7879F4CEF0CF?ref_=ast_bln&amp;store_ref=bl_ast_dp_brandLogo_sto"/>
    <hyperlink ref="H6" r:id="rId70" display="https://www.amazon.com/dp/B07BJ8G4D1?psc=1" tooltip="https://www.amazon.com/dp/B07BJ8G4D1?psc=1"/>
    <hyperlink ref="I6" r:id="rId71" display="https://m.media-amazon.com/images/I/31vgm9jF+rL._AC_SR600,600_.jpg" tooltip="https://m.media-amazon.com/images/I/31vgm9jF+rL._AC_SR600,600_.jpg"/>
    <hyperlink ref="J6" r:id="rId72" display="B0D3ZJ6YKD" tooltip="https://www.amazon.com/dp/B0D3ZJ6YKD"/>
    <hyperlink ref="K6" r:id="rId6" display="Clothing, Shoes &amp; Jewelry:Women:Clothing:Active:Active Pants:Sweatpants" tooltip="https://www.amazon.com/b?node=1250423011"/>
    <hyperlink ref="L6" r:id="rId73" display="Our Brands"/>
    <hyperlink ref="B20" r:id="rId74" display="B0CDPGD31L" tooltip="https://www.amazon.com/dp/B0CDPGD31L"/>
    <hyperlink ref="F20" r:id="rId9" display="https://www.amazon.com/stores/AUTOMET/page/FCCD3AC0-B62A-45A7-BF7C-452CD65FDF26?ref_=ast_bln&amp;store_ref=bl_ast_dp_brandLogo_sto" tooltip="https://www.amazon.com/stores/AUTOMET/page/FCCD3AC0-B62A-45A7-BF7C-452CD65FDF26?ref_=ast_bln&amp;store_ref=bl_ast_dp_brandLogo_sto"/>
    <hyperlink ref="H20" r:id="rId75" display="https://www.amazon.com/dp/B0CDPGD31L?psc=1" tooltip="https://www.amazon.com/dp/B0CDPGD31L?psc=1"/>
    <hyperlink ref="I20" r:id="rId76" display="https://m.media-amazon.com/images/I/31B6hE1WoOL._AC_SR600,600_.jpg" tooltip="https://m.media-amazon.com/images/I/31B6hE1WoOL._AC_SR600,600_.jpg"/>
    <hyperlink ref="J20" r:id="rId77" display="B0CDQ465K4" tooltip="https://www.amazon.com/dp/B0CDQ465K4"/>
    <hyperlink ref="K20" r:id="rId6" display="Clothing, Shoes &amp; Jewelry:Women:Clothing:Active:Active Pants:Sweatpants" tooltip="https://www.amazon.com/b?node=1250423011"/>
    <hyperlink ref="L20" r:id="rId7" display="Clothing, Shoes &amp; Jewelry"/>
    <hyperlink ref="AR20" r:id="rId13" display="https://www.amazon.com/gp/help/seller/at-a-glance.html/ref=dp_merchant_link?seller=AB2NECOE3B4S7" tooltip="https://www.amazon.com/gp/help/seller/at-a-glance.html/ref=dp_merchant_link?seller=AB2NECOE3B4S7"/>
    <hyperlink ref="B9" r:id="rId78" display="B08LBG6G3L" tooltip="https://www.amazon.com/dp/B08LBG6G3L"/>
    <hyperlink ref="F9" r:id="rId27" display="https://www.amazon.com/stores/GGradual/page/83E26C48-D353-4DB2-BBB1-1B1E939F003F?ref_=ast_bln&amp;store_ref=bl_ast_dp_brandLogo_sto" tooltip="https://www.amazon.com/stores/GGradual/page/83E26C48-D353-4DB2-BBB1-1B1E939F003F?ref_=ast_bln&amp;store_ref=bl_ast_dp_brandLogo_sto"/>
    <hyperlink ref="H9" r:id="rId79" display="https://www.amazon.com/dp/B08LBG6G3L?psc=1" tooltip="https://www.amazon.com/dp/B08LBG6G3L?psc=1"/>
    <hyperlink ref="I9" r:id="rId80" display="https://m.media-amazon.com/images/I/31kz7NZE+VL._AC_SR600,600_.jpg" tooltip="https://m.media-amazon.com/images/I/31kz7NZE+VL._AC_SR600,600_.jpg"/>
    <hyperlink ref="J9" r:id="rId81" display="B08LBF6PZZ" tooltip="https://www.amazon.com/dp/B08LBF6PZZ"/>
    <hyperlink ref="K9" r:id="rId6" display="Clothing, Shoes &amp; Jewelry:Women:Clothing:Active:Active Pants:Sweatpants" tooltip="https://www.amazon.com/b?node=1250423011"/>
    <hyperlink ref="L9" r:id="rId7" display="Clothing, Shoes &amp; Jewelry"/>
    <hyperlink ref="AR9" r:id="rId31" display="https://www.amazon.com/gp/help/seller/at-a-glance.html/ref=dp_merchant_link?seller=A3J1UQ06EUSAGL" tooltip="https://www.amazon.com/gp/help/seller/at-a-glance.html/ref=dp_merchant_link?seller=A3J1UQ06EUSAGL"/>
    <hyperlink ref="B22" r:id="rId82" display="B0D56DKYJ5" tooltip="https://www.amazon.com/dp/B0D56DKYJ5"/>
    <hyperlink ref="F22" r:id="rId9" display="https://www.amazon.com/stores/AUTOMET/page/FCCD3AC0-B62A-45A7-BF7C-452CD65FDF26?ref_=ast_bln&amp;store_ref=bl_ast_dp_brandLogo_sto" tooltip="https://www.amazon.com/stores/AUTOMET/page/FCCD3AC0-B62A-45A7-BF7C-452CD65FDF26?ref_=ast_bln&amp;store_ref=bl_ast_dp_brandLogo_sto"/>
    <hyperlink ref="H22" r:id="rId83" display="https://www.amazon.com/dp/B0D56DKYJ5?psc=1" tooltip="https://www.amazon.com/dp/B0D56DKYJ5?psc=1"/>
    <hyperlink ref="I22" r:id="rId84" display="https://images-na.ssl-images-amazon.com/images/I/71QO0lU+8RL._AC_US600_.jpg" tooltip="https://images-na.ssl-images-amazon.com/images/I/71QO0lU+8RL._AC_US600_.jpg"/>
    <hyperlink ref="J22" r:id="rId85" display="B0D55ZWT83" tooltip="https://www.amazon.com/dp/B0D55ZWT83"/>
    <hyperlink ref="K22" r:id="rId6" display="Clothing, Shoes &amp; Jewelry:Women:Clothing:Active:Active Pants:Sweatpants" tooltip="https://www.amazon.com/b?node=1250423011"/>
    <hyperlink ref="L22" r:id="rId7" display="Clothing, Shoes &amp; Jewelry"/>
    <hyperlink ref="AR22" r:id="rId13" display="https://www.amazon.com/gp/help/seller/at-a-glance.html/ref=dp_merchant_link?seller=AB2NECOE3B4S7" tooltip="https://www.amazon.com/gp/help/seller/at-a-glance.html/ref=dp_merchant_link?seller=AB2NECOE3B4S7"/>
    <hyperlink ref="B21" r:id="rId86" display="B0CGV3Z1J9" tooltip="https://www.amazon.com/dp/B0CGV3Z1J9"/>
    <hyperlink ref="F21" r:id="rId87" display="https://www.amazon.com/stores/CRZYOGA/page/F2232413-0F7D-4831-81A1-9FDFCFE5C54D?ref_=ast_bln&amp;store_ref=bl_ast_dp_brandLogo_sto" tooltip="https://www.amazon.com/stores/CRZYOGA/page/F2232413-0F7D-4831-81A1-9FDFCFE5C54D?ref_=ast_bln&amp;store_ref=bl_ast_dp_brandLogo_sto"/>
    <hyperlink ref="H21" r:id="rId88" display="https://www.amazon.com/dp/B0CGV3Z1J9?psc=1" tooltip="https://www.amazon.com/dp/B0CGV3Z1J9?psc=1"/>
    <hyperlink ref="I21" r:id="rId89" display="https://images-na.ssl-images-amazon.com/images/I/61ev4PLw5xL._AC_US600_.jpg" tooltip="https://images-na.ssl-images-amazon.com/images/I/61ev4PLw5xL._AC_US600_.jpg"/>
    <hyperlink ref="J21" r:id="rId90" display="B0CGV3LQHT" tooltip="https://www.amazon.com/dp/B0CGV3LQHT"/>
    <hyperlink ref="K21" r:id="rId6" display="Clothing, Shoes &amp; Jewelry:Women:Clothing:Active:Active Pants:Sweatpants" tooltip="https://www.amazon.com/b?node=1250423011"/>
    <hyperlink ref="L21" r:id="rId7" display="Clothing, Shoes &amp; Jewelry"/>
    <hyperlink ref="AR21" r:id="rId91" display="https://www.amazon.com/gp/help/seller/at-a-glance.html/ref=dp_merchant_link?seller=A1CX3Y6OPGB2MO" tooltip="https://www.amazon.com/gp/help/seller/at-a-glance.html/ref=dp_merchant_link?seller=A1CX3Y6OPGB2MO"/>
    <hyperlink ref="B24" r:id="rId92" display="B0B9T5VK32" tooltip="https://www.amazon.com/dp/B0B9T5VK32"/>
    <hyperlink ref="F24" r:id="rId37" display="https://www.amazon.com/stores/RealEssentials/page/FBE83AF6-EE5D-4217-AB93-7822B24A96FB?ref_=ast_bln&amp;store_ref=bl_ast_dp_brandLogo_sto" tooltip="https://www.amazon.com/stores/RealEssentials/page/FBE83AF6-EE5D-4217-AB93-7822B24A96FB?ref_=ast_bln&amp;store_ref=bl_ast_dp_brandLogo_sto"/>
    <hyperlink ref="H24" r:id="rId93" display="https://www.amazon.com/dp/B0B9T5VK32?psc=1" tooltip="https://www.amazon.com/dp/B0B9T5VK32?psc=1"/>
    <hyperlink ref="I24" r:id="rId94" display="https://m.media-amazon.com/images/I/41-QT3su1GL._AC_SR600,600_.jpg" tooltip="https://m.media-amazon.com/images/I/41-QT3su1GL._AC_SR600,600_.jpg"/>
    <hyperlink ref="J24" r:id="rId95" display="B0DJYXH4WV" tooltip="https://www.amazon.com/dp/B0DJYXH4WV"/>
    <hyperlink ref="K24" r:id="rId6" display="Clothing, Shoes &amp; Jewelry:Women:Clothing:Active:Active Pants:Sweatpants" tooltip="https://www.amazon.com/b?node=1250423011"/>
    <hyperlink ref="L24" r:id="rId7" display="Clothing, Shoes &amp; Jewelry"/>
    <hyperlink ref="AR24" r:id="rId41" display="https://www.amazon.com/gp/help/seller/at-a-glance.html/ref=dp_merchant_link?seller=A2ZO1F0HRSC2G3" tooltip="https://www.amazon.com/gp/help/seller/at-a-glance.html/ref=dp_merchant_link?seller=A2ZO1F0HRSC2G3"/>
    <hyperlink ref="B25" r:id="rId96" display="B081GWWN93" tooltip="https://www.amazon.com/dp/B081GWWN93"/>
    <hyperlink ref="F25" r:id="rId27" display="https://www.amazon.com/stores/GGradual/page/83E26C48-D353-4DB2-BBB1-1B1E939F003F?ref_=ast_bln&amp;store_ref=bl_ast_dp_brandLogo_sto" tooltip="https://www.amazon.com/stores/GGradual/page/83E26C48-D353-4DB2-BBB1-1B1E939F003F?ref_=ast_bln&amp;store_ref=bl_ast_dp_brandLogo_sto"/>
    <hyperlink ref="H25" r:id="rId97" display="https://www.amazon.com/dp/B081GWWN93?psc=1" tooltip="https://www.amazon.com/dp/B081GWWN93?psc=1"/>
    <hyperlink ref="I25" r:id="rId98" display="https://images-na.ssl-images-amazon.com/images/I/31cFPqtuGSL._AC_US600_.jpg" tooltip="https://images-na.ssl-images-amazon.com/images/I/31cFPqtuGSL._AC_US600_.jpg"/>
    <hyperlink ref="J25" r:id="rId99" display="B081GYBNKP" tooltip="https://www.amazon.com/dp/B081GYBNKP"/>
    <hyperlink ref="K25" r:id="rId6" display="Clothing, Shoes &amp; Jewelry:Women:Clothing:Active:Active Pants:Sweatpants" tooltip="https://www.amazon.com/b?node=1250423011"/>
    <hyperlink ref="L25" r:id="rId7" display="Clothing, Shoes &amp; Jewelry"/>
    <hyperlink ref="AR25" r:id="rId31" display="https://www.amazon.com/gp/help/seller/at-a-glance.html/ref=dp_merchant_link?seller=A3J1UQ06EUSAGL" tooltip="https://www.amazon.com/gp/help/seller/at-a-glance.html/ref=dp_merchant_link?seller=A3J1UQ06EUSAGL"/>
    <hyperlink ref="B28" r:id="rId100" display="B09H6541HP" tooltip="https://www.amazon.com/dp/B09H6541HP"/>
    <hyperlink ref="F28" r:id="rId101" display="https://www.amazon.com/stores/SANTINY/page/C8E491B5-0FA2-4D0C-979E-F3B657EE0FA5?ref_=ast_bln&amp;store_ref=bl_ast_dp_brandLogo_sto" tooltip="https://www.amazon.com/stores/SANTINY/page/C8E491B5-0FA2-4D0C-979E-F3B657EE0FA5?ref_=ast_bln&amp;store_ref=bl_ast_dp_brandLogo_sto"/>
    <hyperlink ref="H28" r:id="rId102" display="https://www.amazon.com/dp/B09H6541HP?psc=1" tooltip="https://www.amazon.com/dp/B09H6541HP?psc=1"/>
    <hyperlink ref="I28" r:id="rId103" display="https://m.media-amazon.com/images/I/31iY9+8AkFL._AC_SR600,600_.jpg" tooltip="https://m.media-amazon.com/images/I/31iY9+8AkFL._AC_SR600,600_.jpg"/>
    <hyperlink ref="J28" r:id="rId104" display="B09H65TD9M" tooltip="https://www.amazon.com/dp/B09H65TD9M"/>
    <hyperlink ref="K28" r:id="rId6" display="Clothing, Shoes &amp; Jewelry:Women:Clothing:Active:Active Pants:Sweatpants" tooltip="https://www.amazon.com/b?node=1250423011"/>
    <hyperlink ref="L28" r:id="rId7" display="Clothing, Shoes &amp; Jewelry"/>
    <hyperlink ref="AR28" r:id="rId105" display="https://www.amazon.com/gp/help/seller/at-a-glance.html/ref=dp_merchant_link?seller=A3E1SQM5WUB3RR" tooltip="https://www.amazon.com/gp/help/seller/at-a-glance.html/ref=dp_merchant_link?seller=A3E1SQM5WUB3RR"/>
    <hyperlink ref="B18" r:id="rId106" display="B07MCN1NGT" tooltip="https://www.amazon.com/dp/B07MCN1NGT"/>
    <hyperlink ref="F18" r:id="rId107" display="https://www.amazon.com/stores/Skechers/page/4B1ECBE0-2659-48D2-A5C3-A8252218356A?ref_=ast_bln&amp;store_ref=bl_ast_dp_brandLogo_sto" tooltip="https://www.amazon.com/stores/Skechers/page/4B1ECBE0-2659-48D2-A5C3-A8252218356A?ref_=ast_bln&amp;store_ref=bl_ast_dp_brandLogo_sto"/>
    <hyperlink ref="H18" r:id="rId108" display="https://www.amazon.com/dp/B07MCN1NGT?psc=1" tooltip="https://www.amazon.com/dp/B07MCN1NGT?psc=1"/>
    <hyperlink ref="I18" r:id="rId109" display="https://m.media-amazon.com/images/I/21WoUzaXFrS._AC_SR600,600_.jpg" tooltip="https://m.media-amazon.com/images/I/21WoUzaXFrS._AC_SR600,600_.jpg"/>
    <hyperlink ref="J18" r:id="rId110" display="B0DG2FZXP1" tooltip="https://www.amazon.com/dp/B0DG2FZXP1"/>
    <hyperlink ref="K18" r:id="rId6" display="Clothing, Shoes &amp; Jewelry:Women:Clothing:Active:Active Pants:Sweatpants" tooltip="https://www.amazon.com/b?node=1250423011"/>
    <hyperlink ref="L18" r:id="rId7" display="Clothing, Shoes &amp; Jewelry"/>
    <hyperlink ref="B23" r:id="rId111" display="B0CJ2QM8LH" tooltip="https://www.amazon.com/dp/B0CJ2QM8LH"/>
    <hyperlink ref="F23" r:id="rId112" display="https://www.amazon.com/stores/Aleumdr/page/79470688-80B8-4863-82F6-18A200C81FC8?ref_=ast_bln&amp;store_ref=bl_ast_dp_brandLogo_sto" tooltip="https://www.amazon.com/stores/Aleumdr/page/79470688-80B8-4863-82F6-18A200C81FC8?ref_=ast_bln&amp;store_ref=bl_ast_dp_brandLogo_sto"/>
    <hyperlink ref="H23" r:id="rId113" display="https://www.amazon.com/dp/B0CJ2QM8LH?psc=1" tooltip="https://www.amazon.com/dp/B0CJ2QM8LH?psc=1"/>
    <hyperlink ref="I23" r:id="rId114" display="https://images-na.ssl-images-amazon.com/images/I/61zdWh+ZJDL._AC_US600_.jpg" tooltip="https://images-na.ssl-images-amazon.com/images/I/61zdWh+ZJDL._AC_US600_.jpg"/>
    <hyperlink ref="J23" r:id="rId115" display="B0CJ2PBS5J" tooltip="https://www.amazon.com/dp/B0CJ2PBS5J"/>
    <hyperlink ref="K23" r:id="rId6" display="Clothing, Shoes &amp; Jewelry:Women:Clothing:Active:Active Pants:Sweatpants" tooltip="https://www.amazon.com/b?node=1250423011"/>
    <hyperlink ref="L23" r:id="rId7" display="Clothing, Shoes &amp; Jewelry"/>
    <hyperlink ref="AR23" r:id="rId116" display="https://www.amazon.com/gp/help/seller/at-a-glance.html/ref=dp_merchant_link?seller=A21VT5TXUQ068P" tooltip="https://www.amazon.com/gp/help/seller/at-a-glance.html/ref=dp_merchant_link?seller=A21VT5TXUQ068P"/>
    <hyperlink ref="B30" r:id="rId117" display="B0CJ2PKXPK" tooltip="https://www.amazon.com/dp/B0CJ2PKXPK"/>
    <hyperlink ref="F30" r:id="rId112" display="https://www.amazon.com/stores/Aleumdr/page/79470688-80B8-4863-82F6-18A200C81FC8?ref_=ast_bln&amp;store_ref=bl_ast_dp_brandLogo_sto" tooltip="https://www.amazon.com/stores/Aleumdr/page/79470688-80B8-4863-82F6-18A200C81FC8?ref_=ast_bln&amp;store_ref=bl_ast_dp_brandLogo_sto"/>
    <hyperlink ref="H30" r:id="rId118" display="https://www.amazon.com/dp/B0CJ2PKXPK?psc=1" tooltip="https://www.amazon.com/dp/B0CJ2PKXPK?psc=1"/>
    <hyperlink ref="I30" r:id="rId119" display="https://m.media-amazon.com/images/I/31-99xdsMAL._AC_SR600,600_.jpg" tooltip="https://m.media-amazon.com/images/I/31-99xdsMAL._AC_SR600,600_.jpg"/>
    <hyperlink ref="J30" r:id="rId120" display="B0CJ2PGVQP" tooltip="https://www.amazon.com/dp/B0CJ2PGVQP"/>
    <hyperlink ref="K30" r:id="rId6" display="Clothing, Shoes &amp; Jewelry:Women:Clothing:Active:Active Pants:Sweatpants" tooltip="https://www.amazon.com/b?node=1250423011"/>
    <hyperlink ref="L30" r:id="rId7" display="Clothing, Shoes &amp; Jewelry"/>
    <hyperlink ref="AR30" r:id="rId116" display="https://www.amazon.com/gp/help/seller/at-a-glance.html/ref=dp_merchant_link?seller=A21VT5TXUQ068P" tooltip="https://www.amazon.com/gp/help/seller/at-a-glance.html/ref=dp_merchant_link?seller=A21VT5TXUQ068P"/>
    <hyperlink ref="B29" r:id="rId121" display="B0DF2H6G9B" tooltip="https://www.amazon.com/dp/B0DF2H6G9B"/>
    <hyperlink ref="F29" r:id="rId122" display="https://www.amazon.com/stores/TrendyQueen/page/C358EA1A-E134-4D8D-90F5-BB331A2FDC37?ref_=ast_bln&amp;store_ref=bl_ast_dp_brandLogo_sto" tooltip="https://www.amazon.com/stores/TrendyQueen/page/C358EA1A-E134-4D8D-90F5-BB331A2FDC37?ref_=ast_bln&amp;store_ref=bl_ast_dp_brandLogo_sto"/>
    <hyperlink ref="H29" r:id="rId123" display="https://www.amazon.com/dp/B0DF2H6G9B?psc=1" tooltip="https://www.amazon.com/dp/B0DF2H6G9B?psc=1"/>
    <hyperlink ref="I29" r:id="rId124" display="https://m.media-amazon.com/images/I/31AAXAu+IdL._AC_SR600,600_.jpg" tooltip="https://m.media-amazon.com/images/I/31AAXAu+IdL._AC_SR600,600_.jpg"/>
    <hyperlink ref="J29" r:id="rId125" display="B0DJPP6V3X" tooltip="https://www.amazon.com/dp/B0DJPP6V3X"/>
    <hyperlink ref="K29" r:id="rId6" display="Clothing, Shoes &amp; Jewelry:Women:Clothing:Active:Active Pants:Sweatpants" tooltip="https://www.amazon.com/b?node=1250423011"/>
    <hyperlink ref="L29" r:id="rId7" display="Clothing, Shoes &amp; Jewelry"/>
    <hyperlink ref="AR29" r:id="rId126" display="https://www.amazon.com/gp/help/seller/at-a-glance.html/ref=dp_merchant_link?seller=A2R1SX4L6FB0QR" tooltip="https://www.amazon.com/gp/help/seller/at-a-glance.html/ref=dp_merchant_link?seller=A2R1SX4L6FB0QR"/>
    <hyperlink ref="B27" r:id="rId127" display="B00ZUNKE8A" tooltip="https://www.amazon.com/dp/B00ZUNKE8A"/>
    <hyperlink ref="F27" r:id="rId2" display="https://www.amazon.com/stores/Hanes/page/F83022EC-A709-4B2F-BCB7-7BBFA1896AB0?ref_=ast_bln&amp;store_ref=bl_ast_dp_brandLogo_sto" tooltip="https://www.amazon.com/stores/Hanes/page/F83022EC-A709-4B2F-BCB7-7BBFA1896AB0?ref_=ast_bln&amp;store_ref=bl_ast_dp_brandLogo_sto"/>
    <hyperlink ref="H27" r:id="rId128" display="https://www.amazon.com/dp/B00ZUNKE8A?psc=1" tooltip="https://www.amazon.com/dp/B00ZUNKE8A?psc=1"/>
    <hyperlink ref="I27" r:id="rId129" display="https://m.media-amazon.com/images/I/31fcy+ADzyL._AC_SR600,600_.jpg" tooltip="https://m.media-amazon.com/images/I/31fcy+ADzyL._AC_SR600,600_.jpg"/>
    <hyperlink ref="J27" r:id="rId130" display="B00ZUNEZ7Q" tooltip="https://www.amazon.com/dp/B00ZUNEZ7Q"/>
    <hyperlink ref="K27" r:id="rId6" display="Clothing, Shoes &amp; Jewelry:Women:Clothing:Active:Active Pants:Sweatpants" tooltip="https://www.amazon.com/b?node=1250423011"/>
    <hyperlink ref="L27" r:id="rId7" display="Clothing, Shoes &amp; Jewelry"/>
    <hyperlink ref="AR27" r:id="rId131" display="https://www.amazon.com/gp/help/seller/at-a-glance.html/ref=dp_merchant_link?seller=A2MVH3YSS69WMD" tooltip="https://www.amazon.com/gp/help/seller/at-a-glance.html/ref=dp_merchant_link?seller=A2MVH3YSS69WMD"/>
    <hyperlink ref="B17" r:id="rId132" display="B0CDSHX3QN" tooltip="https://www.amazon.com/dp/B0CDSHX3QN"/>
    <hyperlink ref="F17" r:id="rId133" display="https://www.amazon.com/stores/Kcutteyg/page/A44BE68F-0490-492A-8440-1BF984B01569?ref_=ast_bln&amp;store_ref=bl_ast_dp_brandLogo_sto" tooltip="https://www.amazon.com/stores/Kcutteyg/page/A44BE68F-0490-492A-8440-1BF984B01569?ref_=ast_bln&amp;store_ref=bl_ast_dp_brandLogo_sto"/>
    <hyperlink ref="H17" r:id="rId134" display="https://www.amazon.com/dp/B0CDSHX3QN?psc=1" tooltip="https://www.amazon.com/dp/B0CDSHX3QN?psc=1"/>
    <hyperlink ref="I17" r:id="rId135" display="https://m.media-amazon.com/images/I/31+R4n4W+ZL._AC_SR600,600_.jpg" tooltip="https://m.media-amazon.com/images/I/31+R4n4W+ZL._AC_SR600,600_.jpg"/>
    <hyperlink ref="J17" r:id="rId136" display="B08RCSQY1W" tooltip="https://www.amazon.com/dp/B08RCSQY1W"/>
    <hyperlink ref="K17" r:id="rId6" display="Clothing, Shoes &amp; Jewelry:Women:Clothing:Active:Active Pants:Sweatpants" tooltip="https://www.amazon.com/b?node=1250423011"/>
    <hyperlink ref="L17" r:id="rId7" display="Clothing, Shoes &amp; Jewelry"/>
    <hyperlink ref="AR17" r:id="rId137" display="https://www.amazon.com/gp/help/seller/at-a-glance.html/ref=dp_merchant_link?seller=AUF2A00T2W48I" tooltip="https://www.amazon.com/gp/help/seller/at-a-glance.html/ref=dp_merchant_link?seller=AUF2A00T2W48I"/>
    <hyperlink ref="B31" r:id="rId138" display="B08KCZTBLP" tooltip="https://www.amazon.com/dp/B08KCZTBLP"/>
    <hyperlink ref="F31" r:id="rId139" display="https://www.amazon.com/stores/FULLSOFT/page/57CC2CC0-EB5D-4A7C-9BBC-77F4668EA664?ref_=ast_bln&amp;store_ref=bl_ast_dp_brandLogo_sto" tooltip="https://www.amazon.com/stores/FULLSOFT/page/57CC2CC0-EB5D-4A7C-9BBC-77F4668EA664?ref_=ast_bln&amp;store_ref=bl_ast_dp_brandLogo_sto"/>
    <hyperlink ref="H31" r:id="rId140" display="https://www.amazon.com/dp/B08KCZTBLP?psc=1" tooltip="https://www.amazon.com/dp/B08KCZTBLP?psc=1"/>
    <hyperlink ref="I31" r:id="rId141" display="https://m.media-amazon.com/images/I/31txqWhnsAL._AC_US600_.jpg" tooltip="https://m.media-amazon.com/images/I/31txqWhnsAL._AC_US600_.jpg"/>
    <hyperlink ref="J31" r:id="rId142" display="B0DL52VYMY" tooltip="https://www.amazon.com/dp/B0DL52VYMY"/>
    <hyperlink ref="K31" r:id="rId6" display="Clothing, Shoes &amp; Jewelry:Women:Clothing:Active:Active Pants:Sweatpants" tooltip="https://www.amazon.com/b?node=1250423011"/>
    <hyperlink ref="L31" r:id="rId7" display="Clothing, Shoes &amp; Jewelry"/>
    <hyperlink ref="AR31" r:id="rId143" display="https://www.amazon.com/gp/help/seller/at-a-glance.html/ref=dp_merchant_link?seller=ASAJM4MD6M4ZA" tooltip="https://www.amazon.com/gp/help/seller/at-a-glance.html/ref=dp_merchant_link?seller=ASAJM4MD6M4ZA"/>
    <hyperlink ref="B33" r:id="rId144" display="B09BFD1H3C" tooltip="https://www.amazon.com/dp/B09BFD1H3C"/>
    <hyperlink ref="F33" r:id="rId145" display="https://www.amazon.com/stores/Yovela/page/6FD7837D-2C6D-437F-B814-1D81FF80ED11?ref_=ast_bln&amp;store_ref=bl_ast_dp_brandLogo_sto" tooltip="https://www.amazon.com/stores/Yovela/page/6FD7837D-2C6D-437F-B814-1D81FF80ED11?ref_=ast_bln&amp;store_ref=bl_ast_dp_brandLogo_sto"/>
    <hyperlink ref="H33" r:id="rId146" display="https://www.amazon.com/dp/B09BFD1H3C?psc=1" tooltip="https://www.amazon.com/dp/B09BFD1H3C?psc=1"/>
    <hyperlink ref="I33" r:id="rId147" display="https://images-na.ssl-images-amazon.com/images/I/71JKGqlYYRL._AC_US600_.jpg" tooltip="https://images-na.ssl-images-amazon.com/images/I/71JKGqlYYRL._AC_US600_.jpg"/>
    <hyperlink ref="J33" r:id="rId148" display="B09BFDBRNW" tooltip="https://www.amazon.com/dp/B09BFDBRNW"/>
    <hyperlink ref="K33" r:id="rId6" display="Clothing, Shoes &amp; Jewelry:Women:Clothing:Active:Active Pants:Sweatpants" tooltip="https://www.amazon.com/b?node=1250423011"/>
    <hyperlink ref="L33" r:id="rId7" display="Clothing, Shoes &amp; Jewelry"/>
    <hyperlink ref="AR33" r:id="rId149" display="https://www.amazon.com/gp/help/seller/at-a-glance.html/ref=dp_merchant_link?seller=AKFXQXOCRUPSB" tooltip="https://www.amazon.com/gp/help/seller/at-a-glance.html/ref=dp_merchant_link?seller=AKFXQXOCRUPSB"/>
    <hyperlink ref="B32" r:id="rId150" display="B01N5ASNXV" tooltip="https://www.amazon.com/dp/B01N5ASNXV"/>
    <hyperlink ref="F32" r:id="rId151" display="https://www.amazon.com/stores/baleaf/page/243A5985-DEA3-405F-83ED-364B4A3733C5?ref_=ast_bln&amp;store_ref=bl_ast_dp_brandLogo_sto" tooltip="https://www.amazon.com/stores/baleaf/page/243A5985-DEA3-405F-83ED-364B4A3733C5?ref_=ast_bln&amp;store_ref=bl_ast_dp_brandLogo_sto"/>
    <hyperlink ref="H32" r:id="rId152" display="https://www.amazon.com/dp/B01N5ASNXV?psc=1" tooltip="https://www.amazon.com/dp/B01N5ASNXV?psc=1"/>
    <hyperlink ref="I32" r:id="rId153" display="https://images-na.ssl-images-amazon.com/images/I/517On3JKqVL._AC_US600_.jpg" tooltip="https://images-na.ssl-images-amazon.com/images/I/517On3JKqVL._AC_US600_.jpg"/>
    <hyperlink ref="J32" r:id="rId154" display="B0BV9B8JMF" tooltip="https://www.amazon.com/dp/B0BV9B8JMF"/>
    <hyperlink ref="K32" r:id="rId6" display="Clothing, Shoes &amp; Jewelry:Women:Clothing:Active:Active Pants:Sweatpants" tooltip="https://www.amazon.com/b?node=1250423011"/>
    <hyperlink ref="L32" r:id="rId7" display="Clothing, Shoes &amp; Jewelry"/>
    <hyperlink ref="AR32" r:id="rId155" display="https://www.amazon.com/gp/help/seller/at-a-glance.html/ref=dp_merchant_link?seller=AUCI3SOXHH004" tooltip="https://www.amazon.com/gp/help/seller/at-a-glance.html/ref=dp_merchant_link?seller=AUCI3SOXHH004"/>
    <hyperlink ref="B35" r:id="rId156" display="B08LKCK3FG" tooltip="https://www.amazon.com/dp/B08LKCK3FG"/>
    <hyperlink ref="F35" r:id="rId157" display="https://www.amazon.com/stores/SoothfeelOnline/page/D744595D-1AAF-431C-B85C-0E072E8A8C24?ref_=ast_bln&amp;store_ref=bl_ast_dp_brandLogo_sto" tooltip="https://www.amazon.com/stores/SoothfeelOnline/page/D744595D-1AAF-431C-B85C-0E072E8A8C24?ref_=ast_bln&amp;store_ref=bl_ast_dp_brandLogo_sto"/>
    <hyperlink ref="H35" r:id="rId158" display="https://www.amazon.com/dp/B08LKCK3FG?psc=1" tooltip="https://www.amazon.com/dp/B08LKCK3FG?psc=1"/>
    <hyperlink ref="I35" r:id="rId159" display="https://m.media-amazon.com/images/I/31DBpLffGiL._AC_SR600,600_.jpg" tooltip="https://m.media-amazon.com/images/I/31DBpLffGiL._AC_SR600,600_.jpg"/>
    <hyperlink ref="J35" r:id="rId160" display="B08LKTPNYV" tooltip="https://www.amazon.com/dp/B08LKTPNYV"/>
    <hyperlink ref="K35" r:id="rId6" display="Clothing, Shoes &amp; Jewelry:Women:Clothing:Active:Active Pants:Sweatpants" tooltip="https://www.amazon.com/b?node=1250423011"/>
    <hyperlink ref="L35" r:id="rId7" display="Clothing, Shoes &amp; Jewelry"/>
    <hyperlink ref="AR35" r:id="rId161" display="https://www.amazon.com/gp/help/seller/at-a-glance.html/ref=dp_merchant_link?seller=A1O4XWHB9E2F9S" tooltip="https://www.amazon.com/gp/help/seller/at-a-glance.html/ref=dp_merchant_link?seller=A1O4XWHB9E2F9S"/>
    <hyperlink ref="B38" r:id="rId162" display="B08CGRT7G5" tooltip="https://www.amazon.com/dp/B08CGRT7G5"/>
    <hyperlink ref="F38" r:id="rId163" display="https://www.amazon.com/stores/HeSaYep/page/51E4D08D-FF93-4DDA-9FE5-EDBDE8093B03?ref_=ast_bln&amp;store_ref=bl_ast_dp_brandLogo_sto" tooltip="https://www.amazon.com/stores/HeSaYep/page/51E4D08D-FF93-4DDA-9FE5-EDBDE8093B03?ref_=ast_bln&amp;store_ref=bl_ast_dp_brandLogo_sto"/>
    <hyperlink ref="H38" r:id="rId164" display="https://www.amazon.com/dp/B08CGRT7G5?psc=1" tooltip="https://www.amazon.com/dp/B08CGRT7G5?psc=1"/>
    <hyperlink ref="I38" r:id="rId165" display="https://images-na.ssl-images-amazon.com/images/I/619IhAoylxL._AC_US600_.jpg" tooltip="https://images-na.ssl-images-amazon.com/images/I/619IhAoylxL._AC_US600_.jpg"/>
    <hyperlink ref="J38" r:id="rId166" display="B08CGYGPNY" tooltip="https://www.amazon.com/dp/B08CGYGPNY"/>
    <hyperlink ref="K38" r:id="rId6" display="Clothing, Shoes &amp; Jewelry:Women:Clothing:Active:Active Pants:Sweatpants" tooltip="https://www.amazon.com/b?node=1250423011"/>
    <hyperlink ref="L38" r:id="rId7" display="Clothing, Shoes &amp; Jewelry"/>
    <hyperlink ref="AR38" r:id="rId167" display="https://www.amazon.com/gp/help/seller/at-a-glance.html/ref=dp_merchant_link?seller=A2W4G9JRV8R0QX" tooltip="https://www.amazon.com/gp/help/seller/at-a-glance.html/ref=dp_merchant_link?seller=A2W4G9JRV8R0QX"/>
    <hyperlink ref="B36" r:id="rId168" display="B010CZE7VU" tooltip="https://www.amazon.com/dp/B010CZE7VU"/>
    <hyperlink ref="F36" r:id="rId169" display="https://www.amazon.com/JUST-MY-SIZE/b/ref=bl_sl_s_ap_web_3032534011?ie=UTF8&amp;node=3032534011&amp;field-lbr_brands_browse-bin=JUST+MY+SIZE" tooltip="https://www.amazon.com/JUST-MY-SIZE/b/ref=bl_sl_s_ap_web_3032534011?ie=UTF8&amp;node=3032534011&amp;field-lbr_brands_browse-bin=JUST+MY+SIZE"/>
    <hyperlink ref="H36" r:id="rId170" display="https://www.amazon.com/dp/B010CZE7VU?psc=1" tooltip="https://www.amazon.com/dp/B010CZE7VU?psc=1"/>
    <hyperlink ref="I36" r:id="rId171" display="https://m.media-amazon.com/images/I/31atnIr5wwL._AC_SR600,600_.jpg" tooltip="https://m.media-amazon.com/images/I/31atnIr5wwL._AC_SR600,600_.jpg"/>
    <hyperlink ref="J36" r:id="rId172" display="B010CZCMD0" tooltip="https://www.amazon.com/dp/B010CZCMD0"/>
    <hyperlink ref="K36" r:id="rId6" display="Clothing, Shoes &amp; Jewelry:Women:Clothing:Active:Active Pants:Sweatpants" tooltip="https://www.amazon.com/b?node=1250423011"/>
    <hyperlink ref="L36" r:id="rId7" display="Clothing, Shoes &amp; Jewelry"/>
    <hyperlink ref="B39" r:id="rId173" display="B0DBLRD5K4" tooltip="https://www.amazon.com/dp/B0DBLRD5K4"/>
    <hyperlink ref="F39" r:id="rId122" display="https://www.amazon.com/stores/TrendyQueen/page/C358EA1A-E134-4D8D-90F5-BB331A2FDC37?ref_=ast_bln&amp;store_ref=bl_ast_dp_brandLogo_sto" tooltip="https://www.amazon.com/stores/TrendyQueen/page/C358EA1A-E134-4D8D-90F5-BB331A2FDC37?ref_=ast_bln&amp;store_ref=bl_ast_dp_brandLogo_sto"/>
    <hyperlink ref="H39" r:id="rId174" display="https://www.amazon.com/dp/B0DBLRD5K4?psc=1" tooltip="https://www.amazon.com/dp/B0DBLRD5K4?psc=1"/>
    <hyperlink ref="I39" r:id="rId175" display="https://images-na.ssl-images-amazon.com/images/I/61E0s9lrkCL._AC_US600_.jpg" tooltip="https://images-na.ssl-images-amazon.com/images/I/61E0s9lrkCL._AC_US600_.jpg"/>
    <hyperlink ref="J39" r:id="rId176" display="B0DBLMJGYL" tooltip="https://www.amazon.com/dp/B0DBLMJGYL"/>
    <hyperlink ref="K39" r:id="rId6" display="Clothing, Shoes &amp; Jewelry:Women:Clothing:Active:Active Pants:Sweatpants" tooltip="https://www.amazon.com/b?node=1250423011"/>
    <hyperlink ref="L39" r:id="rId7" display="Clothing, Shoes &amp; Jewelry"/>
    <hyperlink ref="AR39" r:id="rId126" display="https://www.amazon.com/gp/help/seller/at-a-glance.html/ref=dp_merchant_link?seller=A2R1SX4L6FB0QR" tooltip="https://www.amazon.com/gp/help/seller/at-a-glance.html/ref=dp_merchant_link?seller=A2R1SX4L6FB0QR"/>
    <hyperlink ref="B40" r:id="rId177" display="B0C6RB895P" tooltip="https://www.amazon.com/dp/B0C6RB895P"/>
    <hyperlink ref="F40" r:id="rId178" display="https://www.amazon.com/U-S-Polo-Assn/b/ref=bl_sl_s_ap_web_2603064011?ie=UTF8&amp;node=2603064011&amp;field-lbr_brands_browse-bin=U.S.+Polo+Assn." tooltip="https://www.amazon.com/U-S-Polo-Assn/b/ref=bl_sl_s_ap_web_2603064011?ie=UTF8&amp;node=2603064011&amp;field-lbr_brands_browse-bin=U.S.+Polo+Assn."/>
    <hyperlink ref="H40" r:id="rId179" display="https://www.amazon.com/dp/B0C6RB895P?psc=1" tooltip="https://www.amazon.com/dp/B0C6RB895P?psc=1"/>
    <hyperlink ref="I40" r:id="rId180" display="https://m.media-amazon.com/images/I/31cnWAlgIJL._AC_SR600,600_.jpg" tooltip="https://m.media-amazon.com/images/I/31cnWAlgIJL._AC_SR600,600_.jpg"/>
    <hyperlink ref="J40" r:id="rId181" display="B0CXP5D7ML" tooltip="https://www.amazon.com/dp/B0CXP5D7ML"/>
    <hyperlink ref="K40" r:id="rId6" display="Clothing, Shoes &amp; Jewelry:Women:Clothing:Active:Active Pants:Sweatpants" tooltip="https://www.amazon.com/b?node=1250423011"/>
    <hyperlink ref="L40" r:id="rId7" display="Clothing, Shoes &amp; Jewelry"/>
    <hyperlink ref="AR40" r:id="rId182" display="https://www.amazon.com/gp/help/seller/at-a-glance.html/ref=dp_merchant_link?seller=A1BM62752C3YWX" tooltip="https://www.amazon.com/gp/help/seller/at-a-glance.html/ref=dp_merchant_link?seller=A1BM62752C3YWX"/>
    <hyperlink ref="B47" r:id="rId183" display="B0B5H7NH5Q" tooltip="https://www.amazon.com/dp/B0B5H7NH5Q"/>
    <hyperlink ref="F47" r:id="rId9" display="https://www.amazon.com/stores/AUTOMET/page/FCCD3AC0-B62A-45A7-BF7C-452CD65FDF26?ref_=ast_bln&amp;store_ref=bl_ast_dp_brandLogo_sto" tooltip="https://www.amazon.com/stores/AUTOMET/page/FCCD3AC0-B62A-45A7-BF7C-452CD65FDF26?ref_=ast_bln&amp;store_ref=bl_ast_dp_brandLogo_sto"/>
    <hyperlink ref="H47" r:id="rId184" display="https://www.amazon.com/dp/B0B5H7NH5Q?psc=1" tooltip="https://www.amazon.com/dp/B0B5H7NH5Q?psc=1"/>
    <hyperlink ref="I47" r:id="rId185" display="https://m.media-amazon.com/images/I/31-Qow6r1AL._AC_SR600,600_.jpg" tooltip="https://m.media-amazon.com/images/I/31-Qow6r1AL._AC_SR600,600_.jpg"/>
    <hyperlink ref="J47" r:id="rId186" display="B0CVVXRTGG" tooltip="https://www.amazon.com/dp/B0CVVXRTGG"/>
    <hyperlink ref="K47" r:id="rId6" display="Clothing, Shoes &amp; Jewelry:Women:Clothing:Active:Active Pants:Sweatpants" tooltip="https://www.amazon.com/b?node=1250423011"/>
    <hyperlink ref="L47" r:id="rId7" display="Clothing, Shoes &amp; Jewelry"/>
    <hyperlink ref="AR47" r:id="rId13" display="https://www.amazon.com/gp/help/seller/at-a-glance.html/ref=dp_merchant_link?seller=AB2NECOE3B4S7" tooltip="https://www.amazon.com/gp/help/seller/at-a-glance.html/ref=dp_merchant_link?seller=AB2NECOE3B4S7"/>
    <hyperlink ref="B48" r:id="rId187" display="B0D7LQD3KK" tooltip="https://www.amazon.com/dp/B0D7LQD3KK"/>
    <hyperlink ref="F48" r:id="rId188" display="https://www.amazon.com/stores/Pinspark/page/73638A0C-799E-4A9E-BD52-A76030463125?ref_=ast_bln&amp;store_ref=bl_ast_dp_brandLogo_sto" tooltip="https://www.amazon.com/stores/Pinspark/page/73638A0C-799E-4A9E-BD52-A76030463125?ref_=ast_bln&amp;store_ref=bl_ast_dp_brandLogo_sto"/>
    <hyperlink ref="H48" r:id="rId189" display="https://www.amazon.com/dp/B0D7LQD3KK?psc=1" tooltip="https://www.amazon.com/dp/B0D7LQD3KK?psc=1"/>
    <hyperlink ref="I48" r:id="rId190" display="https://images-na.ssl-images-amazon.com/images/I/61HlDu+Qv+L._AC_US600_.jpg" tooltip="https://images-na.ssl-images-amazon.com/images/I/61HlDu+Qv+L._AC_US600_.jpg"/>
    <hyperlink ref="J48" r:id="rId191" display="B0D7M6JD2H" tooltip="https://www.amazon.com/dp/B0D7M6JD2H"/>
    <hyperlink ref="K48" r:id="rId6" display="Clothing, Shoes &amp; Jewelry:Women:Clothing:Active:Active Pants:Sweatpants" tooltip="https://www.amazon.com/b?node=1250423011"/>
    <hyperlink ref="L48" r:id="rId7" display="Clothing, Shoes &amp; Jewelry"/>
    <hyperlink ref="AR48" r:id="rId192" display="https://www.amazon.com/gp/help/seller/at-a-glance.html/ref=dp_merchant_link?seller=A154O6JL5L5T2Z" tooltip="https://www.amazon.com/gp/help/seller/at-a-glance.html/ref=dp_merchant_link?seller=A154O6JL5L5T2Z"/>
    <hyperlink ref="B34" r:id="rId193" display="B07CMQKV13" tooltip="https://www.amazon.com/dp/B07CMQKV13"/>
    <hyperlink ref="F34" r:id="rId87" display="https://www.amazon.com/stores/CRZYOGA/page/F2232413-0F7D-4831-81A1-9FDFCFE5C54D?ref_=ast_bln&amp;store_ref=bl_ast_dp_brandLogo_sto" tooltip="https://www.amazon.com/stores/CRZYOGA/page/F2232413-0F7D-4831-81A1-9FDFCFE5C54D?ref_=ast_bln&amp;store_ref=bl_ast_dp_brandLogo_sto"/>
    <hyperlink ref="H34" r:id="rId194" display="https://www.amazon.com/dp/B07CMQKV13?psc=1" tooltip="https://www.amazon.com/dp/B07CMQKV13?psc=1"/>
    <hyperlink ref="I34" r:id="rId195" display="https://images-na.ssl-images-amazon.com/images/I/61sfTFTZddL._AC_US600_.jpg" tooltip="https://images-na.ssl-images-amazon.com/images/I/61sfTFTZddL._AC_US600_.jpg"/>
    <hyperlink ref="J34" r:id="rId196" display="B0C774XCNC" tooltip="https://www.amazon.com/dp/B0C774XCNC"/>
    <hyperlink ref="K34" r:id="rId6" display="Clothing, Shoes &amp; Jewelry:Women:Clothing:Active:Active Pants:Sweatpants" tooltip="https://www.amazon.com/b?node=1250423011"/>
    <hyperlink ref="L34" r:id="rId7" display="Clothing, Shoes &amp; Jewelry"/>
    <hyperlink ref="AR34" r:id="rId91" display="https://www.amazon.com/gp/help/seller/at-a-glance.html/ref=dp_merchant_link?seller=A1CX3Y6OPGB2MO" tooltip="https://www.amazon.com/gp/help/seller/at-a-glance.html/ref=dp_merchant_link?seller=A1CX3Y6OPGB2MO"/>
    <hyperlink ref="B46" r:id="rId197" display="B07W5V3FX6" tooltip="https://www.amazon.com/dp/B07W5V3FX6"/>
    <hyperlink ref="F46" r:id="rId198" display="https://www.amazon.com/stores/AJISAI/page/37D7BB64-3680-453D-BD9A-6E61AD311529?ref_=ast_bln&amp;store_ref=bl_ast_dp_brandLogo_sto" tooltip="https://www.amazon.com/stores/AJISAI/page/37D7BB64-3680-453D-BD9A-6E61AD311529?ref_=ast_bln&amp;store_ref=bl_ast_dp_brandLogo_sto"/>
    <hyperlink ref="H46" r:id="rId199" display="https://www.amazon.com/dp/B07W5V3FX6?psc=1" tooltip="https://www.amazon.com/dp/B07W5V3FX6?psc=1"/>
    <hyperlink ref="I46" r:id="rId200" display="https://m.media-amazon.com/images/I/31wvO6BMF6L._AC_SR600,600_.jpg" tooltip="https://m.media-amazon.com/images/I/31wvO6BMF6L._AC_SR600,600_.jpg"/>
    <hyperlink ref="J46" r:id="rId201" display="B07WBZX79F" tooltip="https://www.amazon.com/dp/B07WBZX79F"/>
    <hyperlink ref="K46" r:id="rId6" display="Clothing, Shoes &amp; Jewelry:Women:Clothing:Active:Active Pants:Sweatpants" tooltip="https://www.amazon.com/b?node=1250423011"/>
    <hyperlink ref="L46" r:id="rId7" display="Clothing, Shoes &amp; Jewelry"/>
    <hyperlink ref="AR46" r:id="rId202" display="https://www.amazon.com/gp/help/seller/at-a-glance.html/ref=dp_merchant_link?seller=A3FZRPDHD9EJ2Q" tooltip="https://www.amazon.com/gp/help/seller/at-a-glance.html/ref=dp_merchant_link?seller=A3FZRPDHD9EJ2Q"/>
    <hyperlink ref="B41" r:id="rId203" display="B0CF56BBZC" tooltip="https://www.amazon.com/dp/B0CF56BBZC"/>
    <hyperlink ref="F41" r:id="rId204" display="https://www.amazon.com/stores/GAYHAY/page/F76EA664-9511-4AF2-93C5-F1E1DF2F3893?ref_=ast_bln&amp;store_ref=bl_ast_dp_brandLogo_sto" tooltip="https://www.amazon.com/stores/GAYHAY/page/F76EA664-9511-4AF2-93C5-F1E1DF2F3893?ref_=ast_bln&amp;store_ref=bl_ast_dp_brandLogo_sto"/>
    <hyperlink ref="H41" r:id="rId205" display="https://www.amazon.com/dp/B0CF56BBZC?psc=1" tooltip="https://www.amazon.com/dp/B0CF56BBZC?psc=1"/>
    <hyperlink ref="I41" r:id="rId206" display="https://images-na.ssl-images-amazon.com/images/I/61BO6x0SgaL._AC_US600_.jpg" tooltip="https://images-na.ssl-images-amazon.com/images/I/61BO6x0SgaL._AC_US600_.jpg"/>
    <hyperlink ref="J41" r:id="rId207" display="B0D8Q1CJ5Z" tooltip="https://www.amazon.com/dp/B0D8Q1CJ5Z"/>
    <hyperlink ref="K41" r:id="rId6" display="Clothing, Shoes &amp; Jewelry:Women:Clothing:Active:Active Pants:Sweatpants" tooltip="https://www.amazon.com/b?node=1250423011"/>
    <hyperlink ref="L41" r:id="rId7" display="Clothing, Shoes &amp; Jewelry"/>
    <hyperlink ref="AR41" r:id="rId208" display="https://www.amazon.com/gp/help/seller/at-a-glance.html/ref=dp_merchant_link?seller=A1E123VYUDMRG0" tooltip="https://www.amazon.com/gp/help/seller/at-a-glance.html/ref=dp_merchant_link?seller=A1E123VYUDMRG0"/>
    <hyperlink ref="B12" r:id="rId209" display="B07JN6Q1RT" tooltip="https://www.amazon.com/dp/B07JN6Q1RT"/>
    <hyperlink ref="F12" r:id="rId69" display="https://www.amazon.com/stores/AmazonEssentials/page/F8FB6F3C-F896-455C-BC52-7879F4CEF0CF?ref_=ast_bln&amp;store_ref=bl_ast_dp_brandLogo_sto" tooltip="https://www.amazon.com/stores/AmazonEssentials/page/F8FB6F3C-F896-455C-BC52-7879F4CEF0CF?ref_=ast_bln&amp;store_ref=bl_ast_dp_brandLogo_sto"/>
    <hyperlink ref="H12" r:id="rId210" display="https://www.amazon.com/dp/B07JN6Q1RT?psc=1" tooltip="https://www.amazon.com/dp/B07JN6Q1RT?psc=1"/>
    <hyperlink ref="I12" r:id="rId211" display="https://m.media-amazon.com/images/I/31z16drn5SL._AC_SR200,200_.jpg" tooltip="https://m.media-amazon.com/images/I/31z16drn5SL._AC_SR200,200_.jpg"/>
    <hyperlink ref="J12" r:id="rId212" display="B0DGQS42J8" tooltip="https://www.amazon.com/dp/B0DGQS42J8"/>
    <hyperlink ref="K12" r:id="rId6" display="Clothing, Shoes &amp; Jewelry:Women:Clothing:Active:Active Pants:Sweatpants" tooltip="https://www.amazon.com/b?node=1250423011"/>
    <hyperlink ref="L12" r:id="rId73" display="Our Brands"/>
    <hyperlink ref="B45" r:id="rId213" display="B0B5528K7L" tooltip="https://www.amazon.com/dp/B0B5528K7L"/>
    <hyperlink ref="F45" r:id="rId27" display="https://www.amazon.com/stores/GGradual/page/83E26C48-D353-4DB2-BBB1-1B1E939F003F?ref_=ast_bln&amp;store_ref=bl_ast_dp_brandLogo_sto" tooltip="https://www.amazon.com/stores/GGradual/page/83E26C48-D353-4DB2-BBB1-1B1E939F003F?ref_=ast_bln&amp;store_ref=bl_ast_dp_brandLogo_sto"/>
    <hyperlink ref="H45" r:id="rId214" display="https://www.amazon.com/dp/B0B5528K7L?psc=1" tooltip="https://www.amazon.com/dp/B0B5528K7L?psc=1"/>
    <hyperlink ref="I45" r:id="rId215" display="https://m.media-amazon.com/images/I/31QKvnSSd3L._AC_SR600,600_.jpg" tooltip="https://m.media-amazon.com/images/I/31QKvnSSd3L._AC_SR600,600_.jpg"/>
    <hyperlink ref="J45" r:id="rId216" display="B0B5588Z9V" tooltip="https://www.amazon.com/dp/B0B5588Z9V"/>
    <hyperlink ref="K45" r:id="rId6" display="Clothing, Shoes &amp; Jewelry:Women:Clothing:Active:Active Pants:Sweatpants" tooltip="https://www.amazon.com/b?node=1250423011"/>
    <hyperlink ref="L45" r:id="rId7" display="Clothing, Shoes &amp; Jewelry"/>
    <hyperlink ref="AR45" r:id="rId31" display="https://www.amazon.com/gp/help/seller/at-a-glance.html/ref=dp_merchant_link?seller=A3J1UQ06EUSAGL" tooltip="https://www.amazon.com/gp/help/seller/at-a-glance.html/ref=dp_merchant_link?seller=A3J1UQ06EUSAGL"/>
    <hyperlink ref="B42" r:id="rId217" display="B0BTTQD6XH" tooltip="https://www.amazon.com/dp/B0BTTQD6XH"/>
    <hyperlink ref="F42" r:id="rId2" display="https://www.amazon.com/stores/Hanes/page/F83022EC-A709-4B2F-BCB7-7BBFA1896AB0?ref_=ast_bln&amp;store_ref=bl_ast_dp_brandLogo_sto" tooltip="https://www.amazon.com/stores/Hanes/page/F83022EC-A709-4B2F-BCB7-7BBFA1896AB0?ref_=ast_bln&amp;store_ref=bl_ast_dp_brandLogo_sto"/>
    <hyperlink ref="H42" r:id="rId218" display="https://www.amazon.com/dp/B0BTTQD6XH?psc=1" tooltip="https://www.amazon.com/dp/B0BTTQD6XH?psc=1"/>
    <hyperlink ref="I42" r:id="rId219" display="https://m.media-amazon.com/images/I/315r0nE259L._AC_SR600,600_.jpg" tooltip="https://m.media-amazon.com/images/I/315r0nE259L._AC_SR600,600_.jpg"/>
    <hyperlink ref="J42" r:id="rId220" display="B0D2VCJZM9" tooltip="https://www.amazon.com/dp/B0D2VCJZM9"/>
    <hyperlink ref="K42" r:id="rId6" display="Clothing, Shoes &amp; Jewelry:Women:Clothing:Active:Active Pants:Sweatpants" tooltip="https://www.amazon.com/b?node=1250423011"/>
    <hyperlink ref="L42" r:id="rId7" display="Clothing, Shoes &amp; Jewelry"/>
    <hyperlink ref="B50" r:id="rId221" display="B0D6VP2RJG" tooltip="https://www.amazon.com/dp/B0D6VP2RJG"/>
    <hyperlink ref="F50" r:id="rId222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50" r:id="rId223" display="https://www.amazon.com/dp/B0D6VP2RJG?psc=1" tooltip="https://www.amazon.com/dp/B0D6VP2RJG?psc=1"/>
    <hyperlink ref="I50" r:id="rId224" display="https://images-na.ssl-images-amazon.com/images/I/61QQcDd2aYL._AC_US600_.jpg" tooltip="https://images-na.ssl-images-amazon.com/images/I/61QQcDd2aYL._AC_US600_.jpg"/>
    <hyperlink ref="J50" r:id="rId221" display="B0D6VP2RJG" tooltip="https://www.amazon.com/dp/B0D6VP2RJG"/>
    <hyperlink ref="K50" r:id="rId6" display="Clothing, Shoes &amp; Jewelry:Women:Clothing:Active:Active Pants:Sweatpants" tooltip="https://www.amazon.com/b?node=1250423011"/>
    <hyperlink ref="L50" r:id="rId7" display="Clothing, Shoes &amp; Jewelry"/>
    <hyperlink ref="AR50" r:id="rId225" display="https://www.amazon.com/gp/help/seller/at-a-glance.html/ref=dp_merchant_link?seller=ADPI9LE50EUV" tooltip="https://www.amazon.com/gp/help/seller/at-a-glance.html/ref=dp_merchant_link?seller=ADPI9LE50EUV"/>
    <hyperlink ref="B37" r:id="rId226" display="B08TWFPZ28" tooltip="https://www.amazon.com/dp/B08TWFPZ28"/>
    <hyperlink ref="F37" r:id="rId227" display="https://www.amazon.com/stores/Waitfairy/page/BE7202CB-D6CB-43BB-B545-F679BF52EF22?ref_=ast_bln&amp;store_ref=bl_ast_dp_brandLogo_sto" tooltip="https://www.amazon.com/stores/Waitfairy/page/BE7202CB-D6CB-43BB-B545-F679BF52EF22?ref_=ast_bln&amp;store_ref=bl_ast_dp_brandLogo_sto"/>
    <hyperlink ref="H37" r:id="rId228" display="https://www.amazon.com/dp/B08TWFPZ28?psc=1" tooltip="https://www.amazon.com/dp/B08TWFPZ28?psc=1"/>
    <hyperlink ref="I37" r:id="rId229" display="https://m.media-amazon.com/images/I/31jR6r73WTL._AC_SR600,600_.jpg" tooltip="https://m.media-amazon.com/images/I/31jR6r73WTL._AC_SR600,600_.jpg"/>
    <hyperlink ref="J37" r:id="rId226" display="B08TWFPZ28" tooltip="https://www.amazon.com/dp/B08TWFPZ28"/>
    <hyperlink ref="K37" r:id="rId6" display="Clothing, Shoes &amp; Jewelry:Women:Clothing:Active:Active Pants:Sweatpants" tooltip="https://www.amazon.com/b?node=1250423011"/>
    <hyperlink ref="L37" r:id="rId7" display="Clothing, Shoes &amp; Jewelry"/>
    <hyperlink ref="AR37" r:id="rId230" display="https://www.amazon.com/gp/help/seller/at-a-glance.html/ref=dp_merchant_link?seller=A2ATY78RI45PXL" tooltip="https://www.amazon.com/gp/help/seller/at-a-glance.html/ref=dp_merchant_link?seller=A2ATY78RI45PXL"/>
    <hyperlink ref="B52" r:id="rId231" display="B0BVQV8KMV" tooltip="https://www.amazon.com/dp/B0BVQV8KMV"/>
    <hyperlink ref="F52" r:id="rId139" display="https://www.amazon.com/stores/FULLSOFT/page/57CC2CC0-EB5D-4A7C-9BBC-77F4668EA664?ref_=ast_bln&amp;store_ref=bl_ast_dp_brandLogo_sto" tooltip="https://www.amazon.com/stores/FULLSOFT/page/57CC2CC0-EB5D-4A7C-9BBC-77F4668EA664?ref_=ast_bln&amp;store_ref=bl_ast_dp_brandLogo_sto"/>
    <hyperlink ref="H52" r:id="rId232" display="https://www.amazon.com/dp/B0BVQV8KMV?psc=1" tooltip="https://www.amazon.com/dp/B0BVQV8KMV?psc=1"/>
    <hyperlink ref="I52" r:id="rId233" display="https://m.media-amazon.com/images/I/41CjGkgP3bL._AC_US600_.jpg" tooltip="https://m.media-amazon.com/images/I/41CjGkgP3bL._AC_US600_.jpg"/>
    <hyperlink ref="J52" r:id="rId231" display="B0BVQV8KMV" tooltip="https://www.amazon.com/dp/B0BVQV8KMV"/>
    <hyperlink ref="K52" r:id="rId6" display="Clothing, Shoes &amp; Jewelry:Women:Clothing:Active:Active Pants:Sweatpants" tooltip="https://www.amazon.com/b?node=1250423011"/>
    <hyperlink ref="L52" r:id="rId7" display="Clothing, Shoes &amp; Jewelry"/>
    <hyperlink ref="AR52" r:id="rId143" display="https://www.amazon.com/gp/help/seller/at-a-glance.html/ref=dp_merchant_link?seller=ASAJM4MD6M4ZA" tooltip="https://www.amazon.com/gp/help/seller/at-a-glance.html/ref=dp_merchant_link?seller=ASAJM4MD6M4ZA"/>
    <hyperlink ref="B43" r:id="rId234" display="B0CZ9B55WN" tooltip="https://www.amazon.com/dp/B0CZ9B55WN"/>
    <hyperlink ref="F43" r:id="rId112" display="https://www.amazon.com/stores/Aleumdr/page/79470688-80B8-4863-82F6-18A200C81FC8?ref_=ast_bln&amp;store_ref=bl_ast_dp_brandLogo_sto" tooltip="https://www.amazon.com/stores/Aleumdr/page/79470688-80B8-4863-82F6-18A200C81FC8?ref_=ast_bln&amp;store_ref=bl_ast_dp_brandLogo_sto"/>
    <hyperlink ref="H43" r:id="rId235" display="https://www.amazon.com/dp/B0CZ9B55WN?psc=1" tooltip="https://www.amazon.com/dp/B0CZ9B55WN?psc=1"/>
    <hyperlink ref="I43" r:id="rId236" display="https://m.media-amazon.com/images/I/31hHA3t0pqL._AC_SR600,600_.jpg" tooltip="https://m.media-amazon.com/images/I/31hHA3t0pqL._AC_SR600,600_.jpg"/>
    <hyperlink ref="J43" r:id="rId234" display="B0CZ9B55WN" tooltip="https://www.amazon.com/dp/B0CZ9B55WN"/>
    <hyperlink ref="K43" r:id="rId6" display="Clothing, Shoes &amp; Jewelry:Women:Clothing:Active:Active Pants:Sweatpants" tooltip="https://www.amazon.com/b?node=1250423011"/>
    <hyperlink ref="L43" r:id="rId7" display="Clothing, Shoes &amp; Jewelry"/>
    <hyperlink ref="AR43" r:id="rId116" display="https://www.amazon.com/gp/help/seller/at-a-glance.html/ref=dp_merchant_link?seller=A21VT5TXUQ068P" tooltip="https://www.amazon.com/gp/help/seller/at-a-glance.html/ref=dp_merchant_link?seller=A21VT5TXUQ068P"/>
    <hyperlink ref="B62" r:id="rId237" display="B010D2IAYM" tooltip="https://www.amazon.com/dp/B010D2IAYM"/>
    <hyperlink ref="F62" r:id="rId169" display="https://www.amazon.com/JUST-MY-SIZE/b/ref=bl_sl_s_ap_web_3032534011?ie=UTF8&amp;node=3032534011&amp;field-lbr_brands_browse-bin=JUST+MY+SIZE" tooltip="https://www.amazon.com/JUST-MY-SIZE/b/ref=bl_sl_s_ap_web_3032534011?ie=UTF8&amp;node=3032534011&amp;field-lbr_brands_browse-bin=JUST+MY+SIZE"/>
    <hyperlink ref="H62" r:id="rId238" display="https://www.amazon.com/dp/B010D2IAYM?psc=1" tooltip="https://www.amazon.com/dp/B010D2IAYM?psc=1"/>
    <hyperlink ref="I62" r:id="rId171" display="https://m.media-amazon.com/images/I/31atnIr5wwL._AC_SR600,600_.jpg" tooltip="https://m.media-amazon.com/images/I/31atnIr5wwL._AC_SR600,600_.jpg"/>
    <hyperlink ref="J62" r:id="rId237" display="B010D2IAYM" tooltip="https://www.amazon.com/dp/B010D2IAYM"/>
    <hyperlink ref="K62" r:id="rId6" display="Clothing, Shoes &amp; Jewelry:Women:Clothing:Active:Active Pants:Sweatpants" tooltip="https://www.amazon.com/b?node=1250423011"/>
    <hyperlink ref="L62" r:id="rId7" display="Clothing, Shoes &amp; Jewelry"/>
    <hyperlink ref="B55" r:id="rId239" display="B0D89ZF61M" tooltip="https://www.amazon.com/dp/B0D89ZF61M"/>
    <hyperlink ref="F55" r:id="rId112" display="https://www.amazon.com/stores/Aleumdr/page/79470688-80B8-4863-82F6-18A200C81FC8?ref_=ast_bln&amp;store_ref=bl_ast_dp_brandLogo_sto" tooltip="https://www.amazon.com/stores/Aleumdr/page/79470688-80B8-4863-82F6-18A200C81FC8?ref_=ast_bln&amp;store_ref=bl_ast_dp_brandLogo_sto"/>
    <hyperlink ref="H55" r:id="rId240" display="https://www.amazon.com/dp/B0D89ZF61M?psc=1" tooltip="https://www.amazon.com/dp/B0D89ZF61M?psc=1"/>
    <hyperlink ref="I55" r:id="rId241" display="https://m.media-amazon.com/images/I/31T5d2aCTFL._AC_SR600,600_.jpg" tooltip="https://m.media-amazon.com/images/I/31T5d2aCTFL._AC_SR600,600_.jpg"/>
    <hyperlink ref="J55" r:id="rId242" display="B0D8B9G2J2" tooltip="https://www.amazon.com/dp/B0D8B9G2J2"/>
    <hyperlink ref="K55" r:id="rId6" display="Clothing, Shoes &amp; Jewelry:Women:Clothing:Active:Active Pants:Sweatpants" tooltip="https://www.amazon.com/b?node=1250423011"/>
    <hyperlink ref="L55" r:id="rId7" display="Clothing, Shoes &amp; Jewelry"/>
    <hyperlink ref="AR55" r:id="rId116" display="https://www.amazon.com/gp/help/seller/at-a-glance.html/ref=dp_merchant_link?seller=A21VT5TXUQ068P" tooltip="https://www.amazon.com/gp/help/seller/at-a-glance.html/ref=dp_merchant_link?seller=A21VT5TXUQ068P"/>
    <hyperlink ref="B51" r:id="rId243" display="B0D1TNV5QJ" tooltip="https://www.amazon.com/dp/B0D1TNV5QJ"/>
    <hyperlink ref="F51" r:id="rId43" display="https://www.amazon.com/stores/ATHMILE/page/4E137DE3-CE99-4A51-A7DA-FC98898E0D58?ref_=ast_bln&amp;store_ref=bl_ast_dp_brandLogo_sto" tooltip="https://www.amazon.com/stores/ATHMILE/page/4E137DE3-CE99-4A51-A7DA-FC98898E0D58?ref_=ast_bln&amp;store_ref=bl_ast_dp_brandLogo_sto"/>
    <hyperlink ref="H51" r:id="rId244" display="https://www.amazon.com/dp/B0D1TNV5QJ?psc=1" tooltip="https://www.amazon.com/dp/B0D1TNV5QJ?psc=1"/>
    <hyperlink ref="I51" r:id="rId245" display="https://images-na.ssl-images-amazon.com/images/I/51e9+uuXOlL._AC_US600_.jpg" tooltip="https://images-na.ssl-images-amazon.com/images/I/51e9+uuXOlL._AC_US600_.jpg"/>
    <hyperlink ref="J51" r:id="rId243" display="B0D1TNV5QJ" tooltip="https://www.amazon.com/dp/B0D1TNV5QJ"/>
    <hyperlink ref="K51" r:id="rId6" display="Clothing, Shoes &amp; Jewelry:Women:Clothing:Active:Active Pants:Sweatpants" tooltip="https://www.amazon.com/b?node=1250423011"/>
    <hyperlink ref="L51" r:id="rId7" display="Clothing, Shoes &amp; Jewelry"/>
    <hyperlink ref="AR51" r:id="rId47" display="https://www.amazon.com/gp/help/seller/at-a-glance.html/ref=dp_merchant_link?seller=A2T7LQ02S6L1QM" tooltip="https://www.amazon.com/gp/help/seller/at-a-glance.html/ref=dp_merchant_link?seller=A2T7LQ02S6L1QM"/>
    <hyperlink ref="B60" r:id="rId246" display="B0BKY4Q8JG" tooltip="https://www.amazon.com/dp/B0BKY4Q8JG"/>
    <hyperlink ref="F60" r:id="rId247" display="https://www.amazon.com/Mgput/b/ref=bl_sl_s_ap_web_36785345011?ie=UTF8&amp;node=36785345011&amp;field-lbr_brands_browse-bin=Mgput" tooltip="https://www.amazon.com/Mgput/b/ref=bl_sl_s_ap_web_36785345011?ie=UTF8&amp;node=36785345011&amp;field-lbr_brands_browse-bin=Mgput"/>
    <hyperlink ref="H60" r:id="rId248" display="https://www.amazon.com/dp/B0BKY4Q8JG?psc=1" tooltip="https://www.amazon.com/dp/B0BKY4Q8JG?psc=1"/>
    <hyperlink ref="I60" r:id="rId249" display="https://m.media-amazon.com/images/I/5132i3ZflVL._AC_SR600,600_.jpg" tooltip="https://m.media-amazon.com/images/I/5132i3ZflVL._AC_SR600,600_.jpg"/>
    <hyperlink ref="J60" r:id="rId246" display="B0BKY4Q8JG" tooltip="https://www.amazon.com/dp/B0BKY4Q8JG"/>
    <hyperlink ref="K60" r:id="rId6" display="Clothing, Shoes &amp; Jewelry:Women:Clothing:Active:Active Pants:Sweatpants" tooltip="https://www.amazon.com/b?node=1250423011"/>
    <hyperlink ref="L60" r:id="rId7" display="Clothing, Shoes &amp; Jewelry"/>
    <hyperlink ref="AR60" r:id="rId250" display="https://www.amazon.com/gp/help/seller/at-a-glance.html/ref=dp_merchant_link?seller=A14L38X79TLT5W" tooltip="https://www.amazon.com/gp/help/seller/at-a-glance.html/ref=dp_merchant_link?seller=A14L38X79TLT5W"/>
    <hyperlink ref="B66" r:id="rId251" display="B0BGW6LDHN" tooltip="https://www.amazon.com/dp/B0BGW6LDHN"/>
    <hyperlink ref="F66" r:id="rId252" display="https://www.amazon.com/stores/UnderArmour/page/4750579C-0CF4-4BF9-B7E8-F782E52D7683?ref_=ast_bln&amp;store_ref=bl_ast_dp_brandLogo_sto" tooltip="https://www.amazon.com/stores/UnderArmour/page/4750579C-0CF4-4BF9-B7E8-F782E52D7683?ref_=ast_bln&amp;store_ref=bl_ast_dp_brandLogo_sto"/>
    <hyperlink ref="H66" r:id="rId253" display="https://www.amazon.com/dp/B0BGW6LDHN?psc=1" tooltip="https://www.amazon.com/dp/B0BGW6LDHN?psc=1"/>
    <hyperlink ref="I66" r:id="rId254" display="https://images-na.ssl-images-amazon.com/images/I/21xWdlgq6oL._AC_US600_.jpg" tooltip="https://images-na.ssl-images-amazon.com/images/I/21xWdlgq6oL._AC_US600_.jpg"/>
    <hyperlink ref="J66" r:id="rId251" display="B0BGW6LDHN" tooltip="https://www.amazon.com/dp/B0BGW6LDHN"/>
    <hyperlink ref="K66" r:id="rId6" display="Clothing, Shoes &amp; Jewelry:Women:Clothing:Active:Active Pants:Sweatpants" tooltip="https://www.amazon.com/b?node=1250423011"/>
    <hyperlink ref="L66" r:id="rId7" display="Clothing, Shoes &amp; Jewelry"/>
    <hyperlink ref="AR66" r:id="rId255" display="https://www.amazon.com/gp/help/seller/at-a-glance.html/ref=dp_merchant_link?seller=A8T1RP95N3Q8U" tooltip="https://www.amazon.com/gp/help/seller/at-a-glance.html/ref=dp_merchant_link?seller=A8T1RP95N3Q8U"/>
    <hyperlink ref="B58" r:id="rId256" display="B0CD2DQWPZ" tooltip="https://www.amazon.com/dp/B0CD2DQWPZ"/>
    <hyperlink ref="F58" r:id="rId257" display="https://www.amazon.com/stores/CAMPSNAIL/page/B1FA9936-655F-4851-AB2E-981C5A378DA3?ref_=ast_bln&amp;store_ref=bl_ast_dp_brandLogo_sto" tooltip="https://www.amazon.com/stores/CAMPSNAIL/page/B1FA9936-655F-4851-AB2E-981C5A378DA3?ref_=ast_bln&amp;store_ref=bl_ast_dp_brandLogo_sto"/>
    <hyperlink ref="H58" r:id="rId258" display="https://www.amazon.com/dp/B0CD2DQWPZ?psc=1" tooltip="https://www.amazon.com/dp/B0CD2DQWPZ?psc=1"/>
    <hyperlink ref="I58" r:id="rId259" display="https://images-na.ssl-images-amazon.com/images/I/61YFo0tgwLL._AC_US600_.jpg" tooltip="https://images-na.ssl-images-amazon.com/images/I/61YFo0tgwLL._AC_US600_.jpg"/>
    <hyperlink ref="J58" r:id="rId256" display="B0CD2DQWPZ" tooltip="https://www.amazon.com/dp/B0CD2DQWPZ"/>
    <hyperlink ref="K58" r:id="rId6" display="Clothing, Shoes &amp; Jewelry:Women:Clothing:Active:Active Pants:Sweatpants" tooltip="https://www.amazon.com/b?node=1250423011"/>
    <hyperlink ref="L58" r:id="rId7" display="Clothing, Shoes &amp; Jewelry"/>
    <hyperlink ref="AR58" r:id="rId260" display="https://www.amazon.com/gp/help/seller/at-a-glance.html/ref=dp_merchant_link?seller=A3RLCBOE4WGURF" tooltip="https://www.amazon.com/gp/help/seller/at-a-glance.html/ref=dp_merchant_link?seller=A3RLCBOE4WGURF"/>
    <hyperlink ref="B57" r:id="rId261" display="B0BB88X32S" tooltip="https://www.amazon.com/dp/B0BB88X32S"/>
    <hyperlink ref="F57" r:id="rId2" display="https://www.amazon.com/stores/Hanes/page/F83022EC-A709-4B2F-BCB7-7BBFA1896AB0?ref_=ast_bln&amp;store_ref=bl_ast_dp_brandLogo_sto" tooltip="https://www.amazon.com/stores/Hanes/page/F83022EC-A709-4B2F-BCB7-7BBFA1896AB0?ref_=ast_bln&amp;store_ref=bl_ast_dp_brandLogo_sto"/>
    <hyperlink ref="H57" r:id="rId262" display="https://www.amazon.com/dp/B0BB88X32S?psc=1" tooltip="https://www.amazon.com/dp/B0BB88X32S?psc=1"/>
    <hyperlink ref="I57" r:id="rId263" display="https://m.media-amazon.com/images/I/41FFYX5NNgL._AC_SR600,600_.jpg" tooltip="https://m.media-amazon.com/images/I/41FFYX5NNgL._AC_SR600,600_.jpg"/>
    <hyperlink ref="J57" r:id="rId261" display="B0BB88X32S" tooltip="https://www.amazon.com/dp/B0BB88X32S"/>
    <hyperlink ref="K57" r:id="rId6" display="Clothing, Shoes &amp; Jewelry:Women:Clothing:Active:Active Pants:Sweatpants" tooltip="https://www.amazon.com/b?node=1250423011"/>
    <hyperlink ref="L57" r:id="rId7" display="Clothing, Shoes &amp; Jewelry"/>
    <hyperlink ref="B67" r:id="rId264" display="B09PF6GWFY" tooltip="https://www.amazon.com/dp/B09PF6GWFY"/>
    <hyperlink ref="F67" r:id="rId265" display="https://www.amazon.com/stores/Champion/page/9315F82B-8BDF-4711-8450-2428416D0F96?ref_=ast_bln&amp;store_ref=bl_ast_dp_brandLogo_sto" tooltip="https://www.amazon.com/stores/Champion/page/9315F82B-8BDF-4711-8450-2428416D0F96?ref_=ast_bln&amp;store_ref=bl_ast_dp_brandLogo_sto"/>
    <hyperlink ref="H67" r:id="rId266" display="https://www.amazon.com/dp/B09PF6GWFY?psc=1" tooltip="https://www.amazon.com/dp/B09PF6GWFY?psc=1"/>
    <hyperlink ref="I67" r:id="rId267" display="https://images-na.ssl-images-amazon.com/images/I/71sc-NJvmWL._AC_US600_.jpg" tooltip="https://images-na.ssl-images-amazon.com/images/I/71sc-NJvmWL._AC_US600_.jpg"/>
    <hyperlink ref="J67" r:id="rId264" display="B09PF6GWFY" tooltip="https://www.amazon.com/dp/B09PF6GWFY"/>
    <hyperlink ref="K67" r:id="rId6" display="Clothing, Shoes &amp; Jewelry:Women:Clothing:Active:Active Pants:Sweatpants" tooltip="https://www.amazon.com/b?node=1250423011"/>
    <hyperlink ref="L67" r:id="rId7" display="Clothing, Shoes &amp; Jewelry"/>
    <hyperlink ref="B54" r:id="rId268" display="B0D7CH9NVP" tooltip="https://www.amazon.com/dp/B0D7CH9NVP"/>
    <hyperlink ref="F54" r:id="rId188" display="https://www.amazon.com/stores/Pinspark/page/73638A0C-799E-4A9E-BD52-A76030463125?ref_=ast_bln&amp;store_ref=bl_ast_dp_brandLogo_sto" tooltip="https://www.amazon.com/stores/Pinspark/page/73638A0C-799E-4A9E-BD52-A76030463125?ref_=ast_bln&amp;store_ref=bl_ast_dp_brandLogo_sto"/>
    <hyperlink ref="H54" r:id="rId269" display="https://www.amazon.com/dp/B0D7CH9NVP?psc=1" tooltip="https://www.amazon.com/dp/B0D7CH9NVP?psc=1"/>
    <hyperlink ref="I54" r:id="rId270" display="https://m.media-amazon.com/images/I/318TcwzzINL._AC_SR600,600_.jpg" tooltip="https://m.media-amazon.com/images/I/318TcwzzINL._AC_SR600,600_.jpg"/>
    <hyperlink ref="J54" r:id="rId268" display="B0D7CH9NVP" tooltip="https://www.amazon.com/dp/B0D7CH9NVP"/>
    <hyperlink ref="K54" r:id="rId6" display="Clothing, Shoes &amp; Jewelry:Women:Clothing:Active:Active Pants:Sweatpants" tooltip="https://www.amazon.com/b?node=1250423011"/>
    <hyperlink ref="L54" r:id="rId7" display="Clothing, Shoes &amp; Jewelry"/>
    <hyperlink ref="AR54" r:id="rId192" display="https://www.amazon.com/gp/help/seller/at-a-glance.html/ref=dp_merchant_link?seller=A154O6JL5L5T2Z" tooltip="https://www.amazon.com/gp/help/seller/at-a-glance.html/ref=dp_merchant_link?seller=A154O6JL5L5T2Z"/>
    <hyperlink ref="B19" r:id="rId271" display="B0DJ5GZ9JB" tooltip="https://www.amazon.com/dp/B0DJ5GZ9JB"/>
    <hyperlink ref="F19" r:id="rId272" display="https://www.amazon.com/stores/CARACILIAFASHION/page/21A3E20B-2471-42E0-86AB-26C1A20FB2B0?ref_=ast_bln&amp;store_ref=bl_ast_dp_brandLogo_sto" tooltip="https://www.amazon.com/stores/CARACILIAFASHION/page/21A3E20B-2471-42E0-86AB-26C1A20FB2B0?ref_=ast_bln&amp;store_ref=bl_ast_dp_brandLogo_sto"/>
    <hyperlink ref="H19" r:id="rId273" display="https://www.amazon.com/dp/B0DJ5GZ9JB?psc=1" tooltip="https://www.amazon.com/dp/B0DJ5GZ9JB?psc=1"/>
    <hyperlink ref="I19" r:id="rId274" display="https://m.media-amazon.com/images/I/31tikasu0IL._AC_SR600,600_.jpg" tooltip="https://m.media-amazon.com/images/I/31tikasu0IL._AC_SR600,600_.jpg"/>
    <hyperlink ref="J19" r:id="rId271" display="B0DJ5GZ9JB" tooltip="https://www.amazon.com/dp/B0DJ5GZ9JB"/>
    <hyperlink ref="K19" r:id="rId275" display="Clothing, Shoes &amp; Jewelry:Women:Clothing:Pants:Casual" tooltip="https://www.amazon.com/b?node=2348576011"/>
    <hyperlink ref="L19" r:id="rId7" display="Clothing, Shoes &amp; Jewelry"/>
    <hyperlink ref="AR19" r:id="rId276" display="https://www.amazon.com/gp/help/seller/at-a-glance.html/ref=dp_merchant_link?seller=AT5K7MIX35CRI" tooltip="https://www.amazon.com/gp/help/seller/at-a-glance.html/ref=dp_merchant_link?seller=AT5K7MIX35CRI"/>
    <hyperlink ref="B59" r:id="rId277" display="B089SWR6ND" tooltip="https://www.amazon.com/dp/B089SWR6ND"/>
    <hyperlink ref="F59" r:id="rId278" display="https://www.amazon.com/stores/SEVEGO/page/F39FD0D5-16B2-4D94-8BF6-8202708FA4AA?ref_=ast_bln" tooltip="https://www.amazon.com/stores/SEVEGO/page/F39FD0D5-16B2-4D94-8BF6-8202708FA4AA?ref_=ast_bln"/>
    <hyperlink ref="H59" r:id="rId279" display="https://www.amazon.com/dp/B089SWR6ND?psc=1" tooltip="https://www.amazon.com/dp/B089SWR6ND?psc=1"/>
    <hyperlink ref="I59" r:id="rId280" display="https://m.media-amazon.com/images/I/31dSBBi0mqL._AC_SR600,600_.jpg" tooltip="https://m.media-amazon.com/images/I/31dSBBi0mqL._AC_SR600,600_.jpg"/>
    <hyperlink ref="J59" r:id="rId277" display="B089SWR6ND" tooltip="https://www.amazon.com/dp/B089SWR6ND"/>
    <hyperlink ref="K59" r:id="rId6" display="Clothing, Shoes &amp; Jewelry:Women:Clothing:Active:Active Pants:Sweatpants" tooltip="https://www.amazon.com/b?node=1250423011"/>
    <hyperlink ref="L59" r:id="rId7" display="Clothing, Shoes &amp; Jewelry"/>
    <hyperlink ref="AR59" r:id="rId281" display="https://www.amazon.com/gp/help/seller/at-a-glance.html/ref=dp_merchant_link?seller=A2WWIV91DF3R76" tooltip="https://www.amazon.com/gp/help/seller/at-a-glance.html/ref=dp_merchant_link?seller=A2WWIV91DF3R76"/>
    <hyperlink ref="B53" r:id="rId282" display="B0D6W6XDDN" tooltip="https://www.amazon.com/dp/B0D6W6XDDN"/>
    <hyperlink ref="F53" r:id="rId188" display="https://www.amazon.com/stores/Pinspark/page/73638A0C-799E-4A9E-BD52-A76030463125?ref_=ast_bln&amp;store_ref=bl_ast_dp_brandLogo_sto" tooltip="https://www.amazon.com/stores/Pinspark/page/73638A0C-799E-4A9E-BD52-A76030463125?ref_=ast_bln&amp;store_ref=bl_ast_dp_brandLogo_sto"/>
    <hyperlink ref="H53" r:id="rId283" display="https://www.amazon.com/dp/B0D6W6XDDN?psc=1" tooltip="https://www.amazon.com/dp/B0D6W6XDDN?psc=1"/>
    <hyperlink ref="I53" r:id="rId284" display="https://m.media-amazon.com/images/I/31NXOUj2vQL._AC_SR600,600_.jpg" tooltip="https://m.media-amazon.com/images/I/31NXOUj2vQL._AC_SR600,600_.jpg"/>
    <hyperlink ref="J53" r:id="rId282" display="B0D6W6XDDN" tooltip="https://www.amazon.com/dp/B0D6W6XDDN"/>
    <hyperlink ref="K53" r:id="rId6" display="Clothing, Shoes &amp; Jewelry:Women:Clothing:Active:Active Pants:Sweatpants" tooltip="https://www.amazon.com/b?node=1250423011"/>
    <hyperlink ref="L53" r:id="rId7" display="Clothing, Shoes &amp; Jewelry"/>
    <hyperlink ref="AR53" r:id="rId192" display="https://www.amazon.com/gp/help/seller/at-a-glance.html/ref=dp_merchant_link?seller=A154O6JL5L5T2Z" tooltip="https://www.amazon.com/gp/help/seller/at-a-glance.html/ref=dp_merchant_link?seller=A154O6JL5L5T2Z"/>
    <hyperlink ref="B73" r:id="rId285" display="B0CCJ987LY" tooltip="https://www.amazon.com/dp/B0CCJ987LY"/>
    <hyperlink ref="F73" r:id="rId286" display="https://www.amazon.com/stores/YYIDATON/page/117CD96B-F63B-4A7F-8F56-59E69C9F6393?ref_=ast_bln&amp;store_ref=bl_ast_dp_brandLogo_sto" tooltip="https://www.amazon.com/stores/YYIDATON/page/117CD96B-F63B-4A7F-8F56-59E69C9F6393?ref_=ast_bln&amp;store_ref=bl_ast_dp_brandLogo_sto"/>
    <hyperlink ref="H73" r:id="rId287" display="https://www.amazon.com/dp/B0CCJ987LY?psc=1" tooltip="https://www.amazon.com/dp/B0CCJ987LY?psc=1"/>
    <hyperlink ref="I73" r:id="rId288" display="https://m.media-amazon.com/images/I/4144nyugJ4L._AC_SR600,600_.jpg" tooltip="https://m.media-amazon.com/images/I/4144nyugJ4L._AC_SR600,600_.jpg"/>
    <hyperlink ref="J73" r:id="rId285" display="B0CCJ987LY" tooltip="https://www.amazon.com/dp/B0CCJ987LY"/>
    <hyperlink ref="K73" r:id="rId6" display="Clothing, Shoes &amp; Jewelry:Women:Clothing:Active:Active Pants:Sweatpants" tooltip="https://www.amazon.com/b?node=1250423011"/>
    <hyperlink ref="L73" r:id="rId7" display="Clothing, Shoes &amp; Jewelry"/>
    <hyperlink ref="AR73" r:id="rId289" display="https://www.amazon.com/gp/help/seller/at-a-glance.html/ref=dp_merchant_link?seller=A3DIO1PML7X4T" tooltip="https://www.amazon.com/gp/help/seller/at-a-glance.html/ref=dp_merchant_link?seller=A3DIO1PML7X4T"/>
    <hyperlink ref="B72" r:id="rId290" display="B0D7M1V9TM" tooltip="https://www.amazon.com/dp/B0D7M1V9TM"/>
    <hyperlink ref="F72" r:id="rId257" display="https://www.amazon.com/stores/CAMPSNAIL/page/B1FA9936-655F-4851-AB2E-981C5A378DA3?ref_=ast_bln&amp;store_ref=bl_ast_dp_brandLogo_sto" tooltip="https://www.amazon.com/stores/CAMPSNAIL/page/B1FA9936-655F-4851-AB2E-981C5A378DA3?ref_=ast_bln&amp;store_ref=bl_ast_dp_brandLogo_sto"/>
    <hyperlink ref="H72" r:id="rId291" display="https://www.amazon.com/dp/B0D7M1V9TM?psc=1" tooltip="https://www.amazon.com/dp/B0D7M1V9TM?psc=1"/>
    <hyperlink ref="I72" r:id="rId292" display="https://m.media-amazon.com/images/I/31Tr2AjpKnL._AC_SR600,600_.jpg" tooltip="https://m.media-amazon.com/images/I/31Tr2AjpKnL._AC_SR600,600_.jpg"/>
    <hyperlink ref="J72" r:id="rId290" display="B0D7M1V9TM" tooltip="https://www.amazon.com/dp/B0D7M1V9TM"/>
    <hyperlink ref="K72" r:id="rId6" display="Clothing, Shoes &amp; Jewelry:Women:Clothing:Active:Active Pants:Sweatpants" tooltip="https://www.amazon.com/b?node=1250423011"/>
    <hyperlink ref="L72" r:id="rId7" display="Clothing, Shoes &amp; Jewelry"/>
    <hyperlink ref="AR72" r:id="rId260" display="https://www.amazon.com/gp/help/seller/at-a-glance.html/ref=dp_merchant_link?seller=A3RLCBOE4WGURF" tooltip="https://www.amazon.com/gp/help/seller/at-a-glance.html/ref=dp_merchant_link?seller=A3RLCBOE4WGURF"/>
    <hyperlink ref="B64" r:id="rId293" display="B0D9LP3BJL" tooltip="https://www.amazon.com/dp/B0D9LP3BJL"/>
    <hyperlink ref="F64" r:id="rId294" display="https://www.amazon.com/stores/StelleAthletica/page/92A01961-B5D1-4EA4-A438-84B406B2808B?ref_=ast_bln&amp;store_ref=bl_ast_dp_brandLogo_sto" tooltip="https://www.amazon.com/stores/StelleAthletica/page/92A01961-B5D1-4EA4-A438-84B406B2808B?ref_=ast_bln&amp;store_ref=bl_ast_dp_brandLogo_sto"/>
    <hyperlink ref="H64" r:id="rId295" display="https://www.amazon.com/dp/B0D9LP3BJL?psc=1" tooltip="https://www.amazon.com/dp/B0D9LP3BJL?psc=1"/>
    <hyperlink ref="I64" r:id="rId296" display="https://images-na.ssl-images-amazon.com/images/I/61aVNfbMiKL._AC_US600_.jpg" tooltip="https://images-na.ssl-images-amazon.com/images/I/61aVNfbMiKL._AC_US600_.jpg"/>
    <hyperlink ref="J64" r:id="rId293" display="B0D9LP3BJL" tooltip="https://www.amazon.com/dp/B0D9LP3BJL"/>
    <hyperlink ref="K64" r:id="rId6" display="Clothing, Shoes &amp; Jewelry:Women:Clothing:Active:Active Pants:Sweatpants" tooltip="https://www.amazon.com/b?node=1250423011"/>
    <hyperlink ref="L64" r:id="rId7" display="Clothing, Shoes &amp; Jewelry"/>
    <hyperlink ref="AR64" r:id="rId297" display="https://www.amazon.com/gp/help/seller/at-a-glance.html/ref=dp_merchant_link?seller=A1ACJK2TICWQAI" tooltip="https://www.amazon.com/gp/help/seller/at-a-glance.html/ref=dp_merchant_link?seller=A1ACJK2TICWQAI"/>
    <hyperlink ref="B65" r:id="rId298" display="B0D7724HNR" tooltip="https://www.amazon.com/dp/B0D7724HNR"/>
    <hyperlink ref="F65" r:id="rId299" display="https://www.amazon.com/Gvraslvet/b/ref=bl_sl_s_ap_web_120702769011?ie=UTF8&amp;node=120702769011&amp;field-lbr_brands_browse-bin=Gvraslvet" tooltip="https://www.amazon.com/Gvraslvet/b/ref=bl_sl_s_ap_web_120702769011?ie=UTF8&amp;node=120702769011&amp;field-lbr_brands_browse-bin=Gvraslvet"/>
    <hyperlink ref="H65" r:id="rId300" display="https://www.amazon.com/dp/B0D7724HNR?psc=1" tooltip="https://www.amazon.com/dp/B0D7724HNR?psc=1"/>
    <hyperlink ref="I65" r:id="rId301" display="https://images-na.ssl-images-amazon.com/images/I/71og925UdrL._AC_US600_.jpg" tooltip="https://images-na.ssl-images-amazon.com/images/I/71og925UdrL._AC_US600_.jpg"/>
    <hyperlink ref="J65" r:id="rId298" display="B0D7724HNR" tooltip="https://www.amazon.com/dp/B0D7724HNR"/>
    <hyperlink ref="K65" r:id="rId6" display="Clothing, Shoes &amp; Jewelry:Women:Clothing:Active:Active Pants:Sweatpants" tooltip="https://www.amazon.com/b?node=1250423011"/>
    <hyperlink ref="L65" r:id="rId7" display="Clothing, Shoes &amp; Jewelry"/>
    <hyperlink ref="AR65" r:id="rId302" display="https://www.amazon.com/gp/help/seller/at-a-glance.html/ref=dp_merchant_link?seller=A3F3GY4HSOD2WM" tooltip="https://www.amazon.com/gp/help/seller/at-a-glance.html/ref=dp_merchant_link?seller=A3F3GY4HSOD2WM"/>
    <hyperlink ref="B74" r:id="rId303" display="B0CKVQ1M9Y" tooltip="https://www.amazon.com/dp/B0CKVQ1M9Y"/>
    <hyperlink ref="F74" r:id="rId9" display="https://www.amazon.com/stores/AUTOMET/page/FCCD3AC0-B62A-45A7-BF7C-452CD65FDF26?ref_=ast_bln&amp;store_ref=bl_ast_dp_brandLogo_sto" tooltip="https://www.amazon.com/stores/AUTOMET/page/FCCD3AC0-B62A-45A7-BF7C-452CD65FDF26?ref_=ast_bln&amp;store_ref=bl_ast_dp_brandLogo_sto"/>
    <hyperlink ref="H74" r:id="rId304" display="https://www.amazon.com/dp/B0CKVQ1M9Y?psc=1" tooltip="https://www.amazon.com/dp/B0CKVQ1M9Y?psc=1"/>
    <hyperlink ref="I74" r:id="rId305" display="https://images-na.ssl-images-amazon.com/images/I/61XGSg60z7L._AC_US600_.jpg" tooltip="https://images-na.ssl-images-amazon.com/images/I/61XGSg60z7L._AC_US600_.jpg"/>
    <hyperlink ref="J74" r:id="rId303" display="B0CKVQ1M9Y" tooltip="https://www.amazon.com/dp/B0CKVQ1M9Y"/>
    <hyperlink ref="K74" r:id="rId6" display="Clothing, Shoes &amp; Jewelry:Women:Clothing:Active:Active Pants:Sweatpants" tooltip="https://www.amazon.com/b?node=1250423011"/>
    <hyperlink ref="L74" r:id="rId7" display="Clothing, Shoes &amp; Jewelry"/>
    <hyperlink ref="AR74" r:id="rId13" display="https://www.amazon.com/gp/help/seller/at-a-glance.html/ref=dp_merchant_link?seller=AB2NECOE3B4S7" tooltip="https://www.amazon.com/gp/help/seller/at-a-glance.html/ref=dp_merchant_link?seller=AB2NECOE3B4S7"/>
    <hyperlink ref="B77" r:id="rId306" display="B0D91Z32RM" tooltip="https://www.amazon.com/dp/B0D91Z32RM"/>
    <hyperlink ref="F77" r:id="rId188" display="https://www.amazon.com/stores/Pinspark/page/73638A0C-799E-4A9E-BD52-A76030463125?ref_=ast_bln&amp;store_ref=bl_ast_dp_brandLogo_sto" tooltip="https://www.amazon.com/stores/Pinspark/page/73638A0C-799E-4A9E-BD52-A76030463125?ref_=ast_bln&amp;store_ref=bl_ast_dp_brandLogo_sto"/>
    <hyperlink ref="H77" r:id="rId307" display="https://www.amazon.com/dp/B0D91Z32RM?psc=1" tooltip="https://www.amazon.com/dp/B0D91Z32RM?psc=1"/>
    <hyperlink ref="I77" r:id="rId308" display="https://m.media-amazon.com/images/I/31tlmxERudL._AC_SR600,600_.jpg" tooltip="https://m.media-amazon.com/images/I/31tlmxERudL._AC_SR600,600_.jpg"/>
    <hyperlink ref="J77" r:id="rId306" display="B0D91Z32RM" tooltip="https://www.amazon.com/dp/B0D91Z32RM"/>
    <hyperlink ref="K77" r:id="rId6" display="Clothing, Shoes &amp; Jewelry:Women:Clothing:Active:Active Pants:Sweatpants" tooltip="https://www.amazon.com/b?node=1250423011"/>
    <hyperlink ref="L77" r:id="rId7" display="Clothing, Shoes &amp; Jewelry"/>
    <hyperlink ref="AR77" r:id="rId192" display="https://www.amazon.com/gp/help/seller/at-a-glance.html/ref=dp_merchant_link?seller=A154O6JL5L5T2Z" tooltip="https://www.amazon.com/gp/help/seller/at-a-glance.html/ref=dp_merchant_link?seller=A154O6JL5L5T2Z"/>
    <hyperlink ref="B69" r:id="rId309" display="B083TZG1LS" tooltip="https://www.amazon.com/dp/B083TZG1LS"/>
    <hyperlink ref="F69" r:id="rId87" display="https://www.amazon.com/stores/CRZYOGA/page/F2232413-0F7D-4831-81A1-9FDFCFE5C54D?ref_=ast_bln&amp;store_ref=bl_ast_dp_brandLogo_sto" tooltip="https://www.amazon.com/stores/CRZYOGA/page/F2232413-0F7D-4831-81A1-9FDFCFE5C54D?ref_=ast_bln&amp;store_ref=bl_ast_dp_brandLogo_sto"/>
    <hyperlink ref="H69" r:id="rId310" display="https://www.amazon.com/dp/B083TZG1LS?psc=1" tooltip="https://www.amazon.com/dp/B083TZG1LS?psc=1"/>
    <hyperlink ref="I69" r:id="rId311" display="https://m.media-amazon.com/images/I/31Ue1QSjk-L._AC_SR600,600_.jpg" tooltip="https://m.media-amazon.com/images/I/31Ue1QSjk-L._AC_SR600,600_.jpg"/>
    <hyperlink ref="J69" r:id="rId309" display="B083TZG1LS" tooltip="https://www.amazon.com/dp/B083TZG1LS"/>
    <hyperlink ref="K69" r:id="rId6" display="Clothing, Shoes &amp; Jewelry:Women:Clothing:Active:Active Pants:Sweatpants" tooltip="https://www.amazon.com/b?node=1250423011"/>
    <hyperlink ref="L69" r:id="rId7" display="Clothing, Shoes &amp; Jewelry"/>
    <hyperlink ref="AR69" r:id="rId91" display="https://www.amazon.com/gp/help/seller/at-a-glance.html/ref=dp_merchant_link?seller=A1CX3Y6OPGB2MO" tooltip="https://www.amazon.com/gp/help/seller/at-a-glance.html/ref=dp_merchant_link?seller=A1CX3Y6OPGB2MO"/>
    <hyperlink ref="B68" r:id="rId312" display="B0D6YRBPQ3" tooltip="https://www.amazon.com/dp/B0D6YRBPQ3"/>
    <hyperlink ref="F68" r:id="rId112" display="https://www.amazon.com/stores/Aleumdr/page/79470688-80B8-4863-82F6-18A200C81FC8?ref_=ast_bln&amp;store_ref=bl_ast_dp_brandLogo_sto" tooltip="https://www.amazon.com/stores/Aleumdr/page/79470688-80B8-4863-82F6-18A200C81FC8?ref_=ast_bln&amp;store_ref=bl_ast_dp_brandLogo_sto"/>
    <hyperlink ref="H68" r:id="rId313" display="https://www.amazon.com/dp/B0D6YRBPQ3?psc=1" tooltip="https://www.amazon.com/dp/B0D6YRBPQ3?psc=1"/>
    <hyperlink ref="I68" r:id="rId314" display="https://images-na.ssl-images-amazon.com/images/I/51kC+dIF+vL._AC_US600_.jpg" tooltip="https://images-na.ssl-images-amazon.com/images/I/51kC+dIF+vL._AC_US600_.jpg"/>
    <hyperlink ref="J68" r:id="rId312" display="B0D6YRBPQ3" tooltip="https://www.amazon.com/dp/B0D6YRBPQ3"/>
    <hyperlink ref="K68" r:id="rId6" display="Clothing, Shoes &amp; Jewelry:Women:Clothing:Active:Active Pants:Sweatpants" tooltip="https://www.amazon.com/b?node=1250423011"/>
    <hyperlink ref="L68" r:id="rId7" display="Clothing, Shoes &amp; Jewelry"/>
    <hyperlink ref="AR68" r:id="rId116" display="https://www.amazon.com/gp/help/seller/at-a-glance.html/ref=dp_merchant_link?seller=A21VT5TXUQ068P" tooltip="https://www.amazon.com/gp/help/seller/at-a-glance.html/ref=dp_merchant_link?seller=A21VT5TXUQ068P"/>
    <hyperlink ref="B91" r:id="rId315" display="B09G6VDHTZ" tooltip="https://www.amazon.com/dp/B09G6VDHTZ"/>
    <hyperlink ref="F91" r:id="rId9" display="https://www.amazon.com/stores/AUTOMET/page/FCCD3AC0-B62A-45A7-BF7C-452CD65FDF26?ref_=ast_bln&amp;store_ref=bl_ast_dp_brandLogo_sto" tooltip="https://www.amazon.com/stores/AUTOMET/page/FCCD3AC0-B62A-45A7-BF7C-452CD65FDF26?ref_=ast_bln&amp;store_ref=bl_ast_dp_brandLogo_sto"/>
    <hyperlink ref="H91" r:id="rId316" display="https://www.amazon.com/dp/B09G6VDHTZ?psc=1" tooltip="https://www.amazon.com/dp/B09G6VDHTZ?psc=1"/>
    <hyperlink ref="I91" r:id="rId317" display="https://m.media-amazon.com/images/I/31lzCwoHMbL._AC_SR600,600_.jpg" tooltip="https://m.media-amazon.com/images/I/31lzCwoHMbL._AC_SR600,600_.jpg"/>
    <hyperlink ref="J91" r:id="rId315" display="B09G6VDHTZ" tooltip="https://www.amazon.com/dp/B09G6VDHTZ"/>
    <hyperlink ref="K91" r:id="rId6" display="Clothing, Shoes &amp; Jewelry:Women:Clothing:Active:Active Pants:Sweatpants" tooltip="https://www.amazon.com/b?node=1250423011"/>
    <hyperlink ref="L91" r:id="rId7" display="Clothing, Shoes &amp; Jewelry"/>
    <hyperlink ref="AR91" r:id="rId13" display="https://www.amazon.com/gp/help/seller/at-a-glance.html/ref=dp_merchant_link?seller=AB2NECOE3B4S7" tooltip="https://www.amazon.com/gp/help/seller/at-a-glance.html/ref=dp_merchant_link?seller=AB2NECOE3B4S7"/>
    <hyperlink ref="B88" r:id="rId318" display="B083JCQXJG" tooltip="https://www.amazon.com/dp/B083JCQXJG"/>
    <hyperlink ref="F88" r:id="rId87" display="https://www.amazon.com/stores/CRZYOGA/page/F2232413-0F7D-4831-81A1-9FDFCFE5C54D?ref_=ast_bln&amp;store_ref=bl_ast_dp_brandLogo_sto" tooltip="https://www.amazon.com/stores/CRZYOGA/page/F2232413-0F7D-4831-81A1-9FDFCFE5C54D?ref_=ast_bln&amp;store_ref=bl_ast_dp_brandLogo_sto"/>
    <hyperlink ref="H88" r:id="rId319" display="https://www.amazon.com/dp/B083JCQXJG?psc=1" tooltip="https://www.amazon.com/dp/B083JCQXJG?psc=1"/>
    <hyperlink ref="I88" r:id="rId320" display="https://m.media-amazon.com/images/I/31vfH7075hL._AC_SR600,600_.jpg" tooltip="https://m.media-amazon.com/images/I/31vfH7075hL._AC_SR600,600_.jpg"/>
    <hyperlink ref="J88" r:id="rId318" display="B083JCQXJG" tooltip="https://www.amazon.com/dp/B083JCQXJG"/>
    <hyperlink ref="K88" r:id="rId6" display="Clothing, Shoes &amp; Jewelry:Women:Clothing:Active:Active Pants:Sweatpants" tooltip="https://www.amazon.com/b?node=1250423011"/>
    <hyperlink ref="L88" r:id="rId7" display="Clothing, Shoes &amp; Jewelry"/>
    <hyperlink ref="AR88" r:id="rId91" display="https://www.amazon.com/gp/help/seller/at-a-glance.html/ref=dp_merchant_link?seller=A1CX3Y6OPGB2MO" tooltip="https://www.amazon.com/gp/help/seller/at-a-glance.html/ref=dp_merchant_link?seller=A1CX3Y6OPGB2MO"/>
    <hyperlink ref="B63" r:id="rId321" display="B0CQXK3JMQ" tooltip="https://www.amazon.com/dp/B0CQXK3JMQ"/>
    <hyperlink ref="F63" r:id="rId322" display="https://www.amazon.com/stores/Rrosseyz/page/8E1288A9-8363-4585-9557-D5A5A70AF8ED?ref_=ast_bln&amp;store_ref=bl_ast_dp_brandLogo_sto" tooltip="https://www.amazon.com/stores/Rrosseyz/page/8E1288A9-8363-4585-9557-D5A5A70AF8ED?ref_=ast_bln&amp;store_ref=bl_ast_dp_brandLogo_sto"/>
    <hyperlink ref="H63" r:id="rId323" display="https://www.amazon.com/dp/B0CQXK3JMQ?psc=1" tooltip="https://www.amazon.com/dp/B0CQXK3JMQ?psc=1"/>
    <hyperlink ref="I63" r:id="rId324" display="https://m.media-amazon.com/images/I/31YrDPIw1dL._AC_SR600,600_.jpg" tooltip="https://m.media-amazon.com/images/I/31YrDPIw1dL._AC_SR600,600_.jpg"/>
    <hyperlink ref="J63" r:id="rId321" display="B0CQXK3JMQ" tooltip="https://www.amazon.com/dp/B0CQXK3JMQ"/>
    <hyperlink ref="K63" r:id="rId6" display="Clothing, Shoes &amp; Jewelry:Women:Clothing:Active:Active Pants:Sweatpants" tooltip="https://www.amazon.com/b?node=1250423011"/>
    <hyperlink ref="L63" r:id="rId7" display="Clothing, Shoes &amp; Jewelry"/>
    <hyperlink ref="AR63" r:id="rId325" display="https://www.amazon.com/gp/help/seller/at-a-glance.html/ref=dp_merchant_link?seller=A3KT667YJ28XI9" tooltip="https://www.amazon.com/gp/help/seller/at-a-glance.html/ref=dp_merchant_link?seller=A3KT667YJ28XI9"/>
    <hyperlink ref="B90" r:id="rId326" display="B0CWCWN3MW" tooltip="https://www.amazon.com/dp/B0CWCWN3MW"/>
    <hyperlink ref="F90" r:id="rId327" display="https://www.amazon.com/stores/BTFBM/page/F5DB1F57-0171-4D2E-BD4E-5C4A8D024498?ref_=ast_bln&amp;store_ref=bl_ast_dp_brandLogo_sto" tooltip="https://www.amazon.com/stores/BTFBM/page/F5DB1F57-0171-4D2E-BD4E-5C4A8D024498?ref_=ast_bln&amp;store_ref=bl_ast_dp_brandLogo_sto"/>
    <hyperlink ref="H90" r:id="rId328" display="https://www.amazon.com/dp/B0CWCWN3MW?psc=1" tooltip="https://www.amazon.com/dp/B0CWCWN3MW?psc=1"/>
    <hyperlink ref="I90" r:id="rId329" display="https://m.media-amazon.com/images/I/31CTs9EOddL._AC_SR600,600_.jpg" tooltip="https://m.media-amazon.com/images/I/31CTs9EOddL._AC_SR600,600_.jpg"/>
    <hyperlink ref="J90" r:id="rId326" display="B0CWCWN3MW" tooltip="https://www.amazon.com/dp/B0CWCWN3MW"/>
    <hyperlink ref="K90" r:id="rId6" display="Clothing, Shoes &amp; Jewelry:Women:Clothing:Active:Active Pants:Sweatpants" tooltip="https://www.amazon.com/b?node=1250423011"/>
    <hyperlink ref="L90" r:id="rId7" display="Clothing, Shoes &amp; Jewelry"/>
    <hyperlink ref="AR90" r:id="rId330" display="https://www.amazon.com/gp/help/seller/at-a-glance.html/ref=dp_merchant_link?seller=A16JH42LGBJNLY" tooltip="https://www.amazon.com/gp/help/seller/at-a-glance.html/ref=dp_merchant_link?seller=A16JH42LGBJNLY"/>
    <hyperlink ref="B71" r:id="rId331" display="B0D3KT3H64" tooltip="https://www.amazon.com/dp/B0D3KT3H64"/>
    <hyperlink ref="F71" r:id="rId188" display="https://www.amazon.com/stores/Pinspark/page/73638A0C-799E-4A9E-BD52-A76030463125?ref_=ast_bln&amp;store_ref=bl_ast_dp_brandLogo_sto" tooltip="https://www.amazon.com/stores/Pinspark/page/73638A0C-799E-4A9E-BD52-A76030463125?ref_=ast_bln&amp;store_ref=bl_ast_dp_brandLogo_sto"/>
    <hyperlink ref="H71" r:id="rId332" display="https://www.amazon.com/dp/B0D3KT3H64?psc=1" tooltip="https://www.amazon.com/dp/B0D3KT3H64?psc=1"/>
    <hyperlink ref="I71" r:id="rId333" display="https://m.media-amazon.com/images/I/41WHOXDgcaL._AC_SR600,600_.jpg" tooltip="https://m.media-amazon.com/images/I/41WHOXDgcaL._AC_SR600,600_.jpg"/>
    <hyperlink ref="J71" r:id="rId331" display="B0D3KT3H64" tooltip="https://www.amazon.com/dp/B0D3KT3H64"/>
    <hyperlink ref="K71" r:id="rId6" display="Clothing, Shoes &amp; Jewelry:Women:Clothing:Active:Active Pants:Sweatpants" tooltip="https://www.amazon.com/b?node=1250423011"/>
    <hyperlink ref="L71" r:id="rId7" display="Clothing, Shoes &amp; Jewelry"/>
    <hyperlink ref="AR71" r:id="rId192" display="https://www.amazon.com/gp/help/seller/at-a-glance.html/ref=dp_merchant_link?seller=A154O6JL5L5T2Z" tooltip="https://www.amazon.com/gp/help/seller/at-a-glance.html/ref=dp_merchant_link?seller=A154O6JL5L5T2Z"/>
    <hyperlink ref="B82" r:id="rId334" display="B0D7GK9WCL" tooltip="https://www.amazon.com/dp/B0D7GK9WCL"/>
    <hyperlink ref="F82" r:id="rId222" display="https://www.amazon.com/stores/ANRABESS/page/937C5045-E1CD-46BB-99F1-38FA5C0E3B27?ref_=ast_bln&amp;store_ref=bl_ast_dp_brandLogo_sto" tooltip="https://www.amazon.com/stores/ANRABESS/page/937C5045-E1CD-46BB-99F1-38FA5C0E3B27?ref_=ast_bln&amp;store_ref=bl_ast_dp_brandLogo_sto"/>
    <hyperlink ref="H82" r:id="rId335" display="https://www.amazon.com/dp/B0D7GK9WCL?psc=1" tooltip="https://www.amazon.com/dp/B0D7GK9WCL?psc=1"/>
    <hyperlink ref="I82" r:id="rId336" display="https://m.media-amazon.com/images/I/31TB-HdzoCL._AC_SR600,600_.jpg" tooltip="https://m.media-amazon.com/images/I/31TB-HdzoCL._AC_SR600,600_.jpg"/>
    <hyperlink ref="J82" r:id="rId334" display="B0D7GK9WCL" tooltip="https://www.amazon.com/dp/B0D7GK9WCL"/>
    <hyperlink ref="K82" r:id="rId6" display="Clothing, Shoes &amp; Jewelry:Women:Clothing:Active:Active Pants:Sweatpants" tooltip="https://www.amazon.com/b?node=1250423011"/>
    <hyperlink ref="L82" r:id="rId7" display="Clothing, Shoes &amp; Jewelry"/>
    <hyperlink ref="AR82" r:id="rId225" display="https://www.amazon.com/gp/help/seller/at-a-glance.html/ref=dp_merchant_link?seller=ADPI9LE50EUV" tooltip="https://www.amazon.com/gp/help/seller/at-a-glance.html/ref=dp_merchant_link?seller=ADPI9LE50EUV"/>
    <hyperlink ref="B70" r:id="rId337" display="B0D6VZ7F6B" tooltip="https://www.amazon.com/dp/B0D6VZ7F6B"/>
    <hyperlink ref="F70" r:id="rId338" display="https://www.amazon.com/stores/Herseas/page/9E3BC66E-260A-40AC-8CF9-070558139283?ref_=ast_bln&amp;store_ref=bl_ast_dp_brandLogo_sto" tooltip="https://www.amazon.com/stores/Herseas/page/9E3BC66E-260A-40AC-8CF9-070558139283?ref_=ast_bln&amp;store_ref=bl_ast_dp_brandLogo_sto"/>
    <hyperlink ref="H70" r:id="rId339" display="https://www.amazon.com/dp/B0D6VZ7F6B?psc=1" tooltip="https://www.amazon.com/dp/B0D6VZ7F6B?psc=1"/>
    <hyperlink ref="I70" r:id="rId340" display="https://m.media-amazon.com/images/I/31WqLK77M0L._AC_SR600,600_.jpg" tooltip="https://m.media-amazon.com/images/I/31WqLK77M0L._AC_SR600,600_.jpg"/>
    <hyperlink ref="J70" r:id="rId337" display="B0D6VZ7F6B" tooltip="https://www.amazon.com/dp/B0D6VZ7F6B"/>
    <hyperlink ref="K70" r:id="rId6" display="Clothing, Shoes &amp; Jewelry:Women:Clothing:Active:Active Pants:Sweatpants" tooltip="https://www.amazon.com/b?node=1250423011"/>
    <hyperlink ref="L70" r:id="rId7" display="Clothing, Shoes &amp; Jewelry"/>
    <hyperlink ref="AR70" r:id="rId341" display="https://www.amazon.com/gp/help/seller/at-a-glance.html/ref=dp_merchant_link?seller=A1E71VVK8KB6E0" tooltip="https://www.amazon.com/gp/help/seller/at-a-glance.html/ref=dp_merchant_link?seller=A1E71VVK8KB6E0"/>
    <hyperlink ref="B49" r:id="rId342" display="B0CW3FDZ4L" tooltip="https://www.amazon.com/dp/B0CW3FDZ4L"/>
    <hyperlink ref="F49" r:id="rId87" display="https://www.amazon.com/stores/CRZYOGA/page/F2232413-0F7D-4831-81A1-9FDFCFE5C54D?ref_=ast_bln&amp;store_ref=bl_ast_dp_brandLogo_sto" tooltip="https://www.amazon.com/stores/CRZYOGA/page/F2232413-0F7D-4831-81A1-9FDFCFE5C54D?ref_=ast_bln&amp;store_ref=bl_ast_dp_brandLogo_sto"/>
    <hyperlink ref="H49" r:id="rId343" display="https://www.amazon.com/dp/B0CW3FDZ4L?psc=1" tooltip="https://www.amazon.com/dp/B0CW3FDZ4L?psc=1"/>
    <hyperlink ref="I49" r:id="rId344" display="https://m.media-amazon.com/images/I/31JvXWCnsAL._AC_SR600,600_.jpg" tooltip="https://m.media-amazon.com/images/I/31JvXWCnsAL._AC_SR600,600_.jpg"/>
    <hyperlink ref="J49" r:id="rId342" display="B0CW3FDZ4L" tooltip="https://www.amazon.com/dp/B0CW3FDZ4L"/>
    <hyperlink ref="K49" r:id="rId6" display="Clothing, Shoes &amp; Jewelry:Women:Clothing:Active:Active Pants:Sweatpants" tooltip="https://www.amazon.com/b?node=1250423011"/>
    <hyperlink ref="L49" r:id="rId7" display="Clothing, Shoes &amp; Jewelry"/>
    <hyperlink ref="AR49" r:id="rId91" display="https://www.amazon.com/gp/help/seller/at-a-glance.html/ref=dp_merchant_link?seller=A1CX3Y6OPGB2MO" tooltip="https://www.amazon.com/gp/help/seller/at-a-glance.html/ref=dp_merchant_link?seller=A1CX3Y6OPGB2MO"/>
    <hyperlink ref="B75" r:id="rId345" display="B0BTQ3BJKH" tooltip="https://www.amazon.com/dp/B0BTQ3BJKH"/>
    <hyperlink ref="F75" r:id="rId346" display="https://www.amazon.com/stores/FruitoftheLoom/page/49CA8368-8015-4877-8B4C-BC147469F952?ref_=ast_bln&amp;store_ref=bl_ast_dp_brandLogo_sto" tooltip="https://www.amazon.com/stores/FruitoftheLoom/page/49CA8368-8015-4877-8B4C-BC147469F952?ref_=ast_bln&amp;store_ref=bl_ast_dp_brandLogo_sto"/>
    <hyperlink ref="H75" r:id="rId347" display="https://www.amazon.com/dp/B0BTQ3BJKH?psc=1" tooltip="https://www.amazon.com/dp/B0BTQ3BJKH?psc=1"/>
    <hyperlink ref="I75" r:id="rId348" display="https://m.media-amazon.com/images/I/31gVJHVDklL._AC_SR600,600_.jpg" tooltip="https://m.media-amazon.com/images/I/31gVJHVDklL._AC_SR600,600_.jpg"/>
    <hyperlink ref="J75" r:id="rId345" display="B0BTQ3BJKH" tooltip="https://www.amazon.com/dp/B0BTQ3BJKH"/>
    <hyperlink ref="K75" r:id="rId6" display="Clothing, Shoes &amp; Jewelry:Women:Clothing:Active:Active Pants:Sweatpants" tooltip="https://www.amazon.com/b?node=1250423011"/>
    <hyperlink ref="L75" r:id="rId7" display="Clothing, Shoes &amp; Jewelry"/>
    <hyperlink ref="B79" r:id="rId349" display="B0CJY1LYY5" tooltip="https://www.amazon.com/dp/B0CJY1LYY5"/>
    <hyperlink ref="F79" r:id="rId87" display="https://www.amazon.com/stores/CRZYOGA/page/F2232413-0F7D-4831-81A1-9FDFCFE5C54D?ref_=ast_bln&amp;store_ref=bl_ast_dp_brandLogo_sto" tooltip="https://www.amazon.com/stores/CRZYOGA/page/F2232413-0F7D-4831-81A1-9FDFCFE5C54D?ref_=ast_bln&amp;store_ref=bl_ast_dp_brandLogo_sto"/>
    <hyperlink ref="H79" r:id="rId350" display="https://www.amazon.com/dp/B0CJY1LYY5?psc=1" tooltip="https://www.amazon.com/dp/B0CJY1LYY5?psc=1"/>
    <hyperlink ref="I79" r:id="rId351" display="https://images-na.ssl-images-amazon.com/images/I/61HWKLOWVzL._AC_US600_.jpg" tooltip="https://images-na.ssl-images-amazon.com/images/I/61HWKLOWVzL._AC_US600_.jpg"/>
    <hyperlink ref="J79" r:id="rId349" display="B0CJY1LYY5" tooltip="https://www.amazon.com/dp/B0CJY1LYY5"/>
    <hyperlink ref="K79" r:id="rId6" display="Clothing, Shoes &amp; Jewelry:Women:Clothing:Active:Active Pants:Sweatpants" tooltip="https://www.amazon.com/b?node=1250423011"/>
    <hyperlink ref="L79" r:id="rId7" display="Clothing, Shoes &amp; Jewelry"/>
    <hyperlink ref="AR79" r:id="rId91" display="https://www.amazon.com/gp/help/seller/at-a-glance.html/ref=dp_merchant_link?seller=A1CX3Y6OPGB2MO" tooltip="https://www.amazon.com/gp/help/seller/at-a-glance.html/ref=dp_merchant_link?seller=A1CX3Y6OPGB2MO"/>
    <hyperlink ref="B78" r:id="rId352" display="B08BLJ3QF7" tooltip="https://www.amazon.com/dp/B08BLJ3QF7"/>
    <hyperlink ref="F78" r:id="rId353" display="https://www.amazon.com/stores/WEINTEE/page/BDFFEB78-558F-4838-A393-381B86E21926?ref_=ast_bln&amp;store_ref=bl_ast_dp_brandLogo_sto" tooltip="https://www.amazon.com/stores/WEINTEE/page/BDFFEB78-558F-4838-A393-381B86E21926?ref_=ast_bln&amp;store_ref=bl_ast_dp_brandLogo_sto"/>
    <hyperlink ref="H78" r:id="rId354" display="https://www.amazon.com/dp/B08BLJ3QF7?psc=1" tooltip="https://www.amazon.com/dp/B08BLJ3QF7?psc=1"/>
    <hyperlink ref="I78" r:id="rId355" display="https://images-na.ssl-images-amazon.com/images/I/81DSl9Y5IvL._AC_US600_.jpg" tooltip="https://images-na.ssl-images-amazon.com/images/I/81DSl9Y5IvL._AC_US600_.jpg"/>
    <hyperlink ref="J78" r:id="rId352" display="B08BLJ3QF7" tooltip="https://www.amazon.com/dp/B08BLJ3QF7"/>
    <hyperlink ref="K78" r:id="rId6" display="Clothing, Shoes &amp; Jewelry:Women:Clothing:Active:Active Pants:Sweatpants" tooltip="https://www.amazon.com/b?node=1250423011"/>
    <hyperlink ref="L78" r:id="rId7" display="Clothing, Shoes &amp; Jewelry"/>
    <hyperlink ref="AR78" r:id="rId356" display="https://www.amazon.com/gp/help/seller/at-a-glance.html/ref=dp_merchant_link?seller=A1ZTD38X0OJU83" tooltip="https://www.amazon.com/gp/help/seller/at-a-glance.html/ref=dp_merchant_link?seller=A1ZTD38X0OJU83"/>
    <hyperlink ref="B84" r:id="rId357" display="B0D8GT3TQV" tooltip="https://www.amazon.com/dp/B0D8GT3TQV"/>
    <hyperlink ref="F84" r:id="rId188" display="https://www.amazon.com/stores/Pinspark/page/73638A0C-799E-4A9E-BD52-A76030463125?ref_=ast_bln&amp;store_ref=bl_ast_dp_brandLogo_sto" tooltip="https://www.amazon.com/stores/Pinspark/page/73638A0C-799E-4A9E-BD52-A76030463125?ref_=ast_bln&amp;store_ref=bl_ast_dp_brandLogo_sto"/>
    <hyperlink ref="H84" r:id="rId358" display="https://www.amazon.com/dp/B0D8GT3TQV?psc=1" tooltip="https://www.amazon.com/dp/B0D8GT3TQV?psc=1"/>
    <hyperlink ref="I84" r:id="rId359" display="https://m.media-amazon.com/images/I/31G-mdzhBLL._AC_SR600,600_.jpg" tooltip="https://m.media-amazon.com/images/I/31G-mdzhBLL._AC_SR600,600_.jpg"/>
    <hyperlink ref="J84" r:id="rId357" display="B0D8GT3TQV" tooltip="https://www.amazon.com/dp/B0D8GT3TQV"/>
    <hyperlink ref="K84" r:id="rId6" display="Clothing, Shoes &amp; Jewelry:Women:Clothing:Active:Active Pants:Sweatpants" tooltip="https://www.amazon.com/b?node=1250423011"/>
    <hyperlink ref="L84" r:id="rId7" display="Clothing, Shoes &amp; Jewelry"/>
    <hyperlink ref="AR84" r:id="rId192" display="https://www.amazon.com/gp/help/seller/at-a-glance.html/ref=dp_merchant_link?seller=A154O6JL5L5T2Z" tooltip="https://www.amazon.com/gp/help/seller/at-a-glance.html/ref=dp_merchant_link?seller=A154O6JL5L5T2Z"/>
    <hyperlink ref="B86" r:id="rId360" display="B07SW3C329" tooltip="https://www.amazon.com/dp/B07SW3C329"/>
    <hyperlink ref="F86" r:id="rId361" display="https://www.amazon.com/stores/SpecialMagic/page/2E1453ED-330F-4564-A17B-F18D9FD0200D?ref_=ast_bln&amp;store_ref=bl_ast_dp_brandLogo_sto" tooltip="https://www.amazon.com/stores/SpecialMagic/page/2E1453ED-330F-4564-A17B-F18D9FD0200D?ref_=ast_bln&amp;store_ref=bl_ast_dp_brandLogo_sto"/>
    <hyperlink ref="H86" r:id="rId362" display="https://www.amazon.com/dp/B07SW3C329?psc=1" tooltip="https://www.amazon.com/dp/B07SW3C329?psc=1"/>
    <hyperlink ref="I86" r:id="rId363" display="https://images-na.ssl-images-amazon.com/images/I/71a3zy0KANS._AC_US600_.jpg" tooltip="https://images-na.ssl-images-amazon.com/images/I/71a3zy0KANS._AC_US600_.jpg"/>
    <hyperlink ref="J86" r:id="rId360" display="B07SW3C329" tooltip="https://www.amazon.com/dp/B07SW3C329"/>
    <hyperlink ref="K86" r:id="rId6" display="Clothing, Shoes &amp; Jewelry:Women:Clothing:Active:Active Pants:Sweatpants" tooltip="https://www.amazon.com/b?node=1250423011"/>
    <hyperlink ref="L86" r:id="rId7" display="Clothing, Shoes &amp; Jewelry"/>
    <hyperlink ref="AR86" r:id="rId364" display="https://www.amazon.com/gp/help/seller/at-a-glance.html/ref=dp_merchant_link?seller=A2KCA46FZJ0GQS" tooltip="https://www.amazon.com/gp/help/seller/at-a-glance.html/ref=dp_merchant_link?seller=A2KCA46FZJ0GQS"/>
    <hyperlink ref="B87" r:id="rId365" display="B0C64C6N43" tooltip="https://www.amazon.com/dp/B0C64C6N43"/>
    <hyperlink ref="F87" r:id="rId188" display="https://www.amazon.com/stores/Pinspark/page/73638A0C-799E-4A9E-BD52-A76030463125?ref_=ast_bln&amp;store_ref=bl_ast_dp_brandLogo_sto" tooltip="https://www.amazon.com/stores/Pinspark/page/73638A0C-799E-4A9E-BD52-A76030463125?ref_=ast_bln&amp;store_ref=bl_ast_dp_brandLogo_sto"/>
    <hyperlink ref="H87" r:id="rId366" display="https://www.amazon.com/dp/B0C64C6N43?psc=1" tooltip="https://www.amazon.com/dp/B0C64C6N43?psc=1"/>
    <hyperlink ref="I87" r:id="rId367" display="https://images-na.ssl-images-amazon.com/images/I/61RBRJ35-NL._AC_US600_.jpg" tooltip="https://images-na.ssl-images-amazon.com/images/I/61RBRJ35-NL._AC_US600_.jpg"/>
    <hyperlink ref="J87" r:id="rId368" display="B0D41BMTPK" tooltip="https://www.amazon.com/dp/B0D41BMTPK"/>
    <hyperlink ref="K87" r:id="rId6" display="Clothing, Shoes &amp; Jewelry:Women:Clothing:Active:Active Pants:Sweatpants" tooltip="https://www.amazon.com/b?node=1250423011"/>
    <hyperlink ref="L87" r:id="rId7" display="Clothing, Shoes &amp; Jewelry"/>
    <hyperlink ref="AR87" r:id="rId192" display="https://www.amazon.com/gp/help/seller/at-a-glance.html/ref=dp_merchant_link?seller=A154O6JL5L5T2Z" tooltip="https://www.amazon.com/gp/help/seller/at-a-glance.html/ref=dp_merchant_link?seller=A154O6JL5L5T2Z"/>
    <hyperlink ref="B81" r:id="rId369" display="B0DF58WZ72" tooltip="https://www.amazon.com/dp/B0DF58WZ72"/>
    <hyperlink ref="F81" r:id="rId370" display="https://www.amazon.com/stores/PUMIEY/page/72EBA44F-B6AB-473E-BE8E-FEAFEEBEB48E?ref_=ast_bln&amp;store_ref=bl_ast_dp_brandLogo_sto" tooltip="https://www.amazon.com/stores/PUMIEY/page/72EBA44F-B6AB-473E-BE8E-FEAFEEBEB48E?ref_=ast_bln&amp;store_ref=bl_ast_dp_brandLogo_sto"/>
    <hyperlink ref="H81" r:id="rId371" display="https://www.amazon.com/dp/B0DF58WZ72?psc=1" tooltip="https://www.amazon.com/dp/B0DF58WZ72?psc=1"/>
    <hyperlink ref="I81" r:id="rId372" display="https://m.media-amazon.com/images/I/31eYHCGa1LL._AC_SR600,600_.jpg" tooltip="https://m.media-amazon.com/images/I/31eYHCGa1LL._AC_SR600,600_.jpg"/>
    <hyperlink ref="J81" r:id="rId369" display="B0DF58WZ72" tooltip="https://www.amazon.com/dp/B0DF58WZ72"/>
    <hyperlink ref="K81" r:id="rId6" display="Clothing, Shoes &amp; Jewelry:Women:Clothing:Active:Active Pants:Sweatpants" tooltip="https://www.amazon.com/b?node=1250423011"/>
    <hyperlink ref="L81" r:id="rId7" display="Clothing, Shoes &amp; Jewelry"/>
    <hyperlink ref="AR81" r:id="rId373" display="https://www.amazon.com/gp/help/seller/at-a-glance.html/ref=dp_merchant_link?seller=A1XF03I4GYPIG1" tooltip="https://www.amazon.com/gp/help/seller/at-a-glance.html/ref=dp_merchant_link?seller=A1XF03I4GYPIG1"/>
    <hyperlink ref="B76" r:id="rId374" display="B0CQYV5KGC" tooltip="https://www.amazon.com/dp/B0CQYV5KGC"/>
    <hyperlink ref="F76" r:id="rId163" display="https://www.amazon.com/stores/HeSaYep/page/51E4D08D-FF93-4DDA-9FE5-EDBDE8093B03?ref_=ast_bln&amp;store_ref=bl_ast_dp_brandLogo_sto" tooltip="https://www.amazon.com/stores/HeSaYep/page/51E4D08D-FF93-4DDA-9FE5-EDBDE8093B03?ref_=ast_bln&amp;store_ref=bl_ast_dp_brandLogo_sto"/>
    <hyperlink ref="H76" r:id="rId375" display="https://www.amazon.com/dp/B0CQYV5KGC?psc=1" tooltip="https://www.amazon.com/dp/B0CQYV5KGC?psc=1"/>
    <hyperlink ref="I76" r:id="rId376" display="https://m.media-amazon.com/images/I/310uOCI3y+L._AC_SR600,600_.jpg" tooltip="https://m.media-amazon.com/images/I/310uOCI3y+L._AC_SR600,600_.jpg"/>
    <hyperlink ref="J76" r:id="rId374" display="B0CQYV5KGC" tooltip="https://www.amazon.com/dp/B0CQYV5KGC"/>
    <hyperlink ref="K76" r:id="rId6" display="Clothing, Shoes &amp; Jewelry:Women:Clothing:Active:Active Pants:Sweatpants" tooltip="https://www.amazon.com/b?node=1250423011"/>
    <hyperlink ref="L76" r:id="rId7" display="Clothing, Shoes &amp; Jewelry"/>
    <hyperlink ref="AR76" r:id="rId167" display="https://www.amazon.com/gp/help/seller/at-a-glance.html/ref=dp_merchant_link?seller=A2W4G9JRV8R0QX" tooltip="https://www.amazon.com/gp/help/seller/at-a-glance.html/ref=dp_merchant_link?seller=A2W4G9JRV8R0QX"/>
    <hyperlink ref="B98" r:id="rId377" display="B0D5HT16VR" tooltip="https://www.amazon.com/dp/B0D5HT16VR"/>
    <hyperlink ref="F98" r:id="rId9" display="https://www.amazon.com/stores/AUTOMET/page/FCCD3AC0-B62A-45A7-BF7C-452CD65FDF26?ref_=ast_bln&amp;store_ref=bl_ast_dp_brandLogo_sto" tooltip="https://www.amazon.com/stores/AUTOMET/page/FCCD3AC0-B62A-45A7-BF7C-452CD65FDF26?ref_=ast_bln&amp;store_ref=bl_ast_dp_brandLogo_sto"/>
    <hyperlink ref="H98" r:id="rId378" display="https://www.amazon.com/dp/B0D5HT16VR?psc=1" tooltip="https://www.amazon.com/dp/B0D5HT16VR?psc=1"/>
    <hyperlink ref="I98" r:id="rId379" display="https://m.media-amazon.com/images/I/31cXgIv4U7L._AC_SR600,600_.jpg" tooltip="https://m.media-amazon.com/images/I/31cXgIv4U7L._AC_SR600,600_.jpg"/>
    <hyperlink ref="J98" r:id="rId377" display="B0D5HT16VR" tooltip="https://www.amazon.com/dp/B0D5HT16VR"/>
    <hyperlink ref="K98" r:id="rId6" display="Clothing, Shoes &amp; Jewelry:Women:Clothing:Active:Active Pants:Sweatpants" tooltip="https://www.amazon.com/b?node=1250423011"/>
    <hyperlink ref="L98" r:id="rId7" display="Clothing, Shoes &amp; Jewelry"/>
    <hyperlink ref="AR98" r:id="rId13" display="https://www.amazon.com/gp/help/seller/at-a-glance.html/ref=dp_merchant_link?seller=AB2NECOE3B4S7" tooltip="https://www.amazon.com/gp/help/seller/at-a-glance.html/ref=dp_merchant_link?seller=AB2NECOE3B4S7"/>
    <hyperlink ref="B26" r:id="rId380" display="B0BVMW2D92" tooltip="https://www.amazon.com/dp/B0BVMW2D92"/>
    <hyperlink ref="F26" r:id="rId2" display="https://www.amazon.com/stores/Hanes/page/F83022EC-A709-4B2F-BCB7-7BBFA1896AB0?ref_=ast_bln&amp;store_ref=bl_ast_dp_brandLogo_sto" tooltip="https://www.amazon.com/stores/Hanes/page/F83022EC-A709-4B2F-BCB7-7BBFA1896AB0?ref_=ast_bln&amp;store_ref=bl_ast_dp_brandLogo_sto"/>
    <hyperlink ref="H26" r:id="rId381" display="https://www.amazon.com/dp/B0BVMW2D92?psc=1" tooltip="https://www.amazon.com/dp/B0BVMW2D92?psc=1"/>
    <hyperlink ref="I26" r:id="rId382" display="https://m.media-amazon.com/images/I/419VteyTC+L._AC_SR600,600_.jpg" tooltip="https://m.media-amazon.com/images/I/419VteyTC+L._AC_SR600,600_.jpg"/>
    <hyperlink ref="J26" r:id="rId380" display="B0BVMW2D92" tooltip="https://www.amazon.com/dp/B0BVMW2D92"/>
    <hyperlink ref="K26" r:id="rId6" display="Clothing, Shoes &amp; Jewelry:Women:Clothing:Active:Active Pants:Sweatpants" tooltip="https://www.amazon.com/b?node=1250423011"/>
    <hyperlink ref="L26" r:id="rId7" display="Clothing, Shoes &amp; Jewelry"/>
    <hyperlink ref="B97" r:id="rId383" display="B0C6TCV2T1" tooltip="https://www.amazon.com/dp/B0C6TCV2T1"/>
    <hyperlink ref="F97" r:id="rId384" display="https://www.amazon.com/stores/Stanpetix/page/4EFE32C2-1EDC-4807-A155-1E34875CDDC3?ref_=ast_bln&amp;store_ref=bl_ast_dp_brandLogo_sto" tooltip="https://www.amazon.com/stores/Stanpetix/page/4EFE32C2-1EDC-4807-A155-1E34875CDDC3?ref_=ast_bln&amp;store_ref=bl_ast_dp_brandLogo_sto"/>
    <hyperlink ref="H97" r:id="rId385" display="https://www.amazon.com/dp/B0C6TCV2T1?psc=1" tooltip="https://www.amazon.com/dp/B0C6TCV2T1?psc=1"/>
    <hyperlink ref="I97" r:id="rId386" display="https://m.media-amazon.com/images/I/31pDEDbY0wL._AC_SR600,600_.jpg" tooltip="https://m.media-amazon.com/images/I/31pDEDbY0wL._AC_SR600,600_.jpg"/>
    <hyperlink ref="J97" r:id="rId383" display="B0C6TCV2T1" tooltip="https://www.amazon.com/dp/B0C6TCV2T1"/>
    <hyperlink ref="K97" r:id="rId6" display="Clothing, Shoes &amp; Jewelry:Women:Clothing:Active:Active Pants:Sweatpants" tooltip="https://www.amazon.com/b?node=1250423011"/>
    <hyperlink ref="L97" r:id="rId7" display="Clothing, Shoes &amp; Jewelry"/>
    <hyperlink ref="AR97" r:id="rId387" display="https://www.amazon.com/gp/help/seller/at-a-glance.html/ref=dp_merchant_link?seller=A3QZXWZEQSX736" tooltip="https://www.amazon.com/gp/help/seller/at-a-glance.html/ref=dp_merchant_link?seller=A3QZXWZEQSX736"/>
    <hyperlink ref="B83" r:id="rId388" display="B07WVPGPMF" tooltip="https://www.amazon.com/dp/B07WVPGPMF"/>
    <hyperlink ref="F83" r:id="rId151" display="https://www.amazon.com/stores/baleaf/page/243A5985-DEA3-405F-83ED-364B4A3733C5?ref_=ast_bln&amp;store_ref=bl_ast_dp_brandLogo_sto" tooltip="https://www.amazon.com/stores/baleaf/page/243A5985-DEA3-405F-83ED-364B4A3733C5?ref_=ast_bln&amp;store_ref=bl_ast_dp_brandLogo_sto"/>
    <hyperlink ref="H83" r:id="rId389" display="https://www.amazon.com/dp/B07WVPGPMF?psc=1" tooltip="https://www.amazon.com/dp/B07WVPGPMF?psc=1"/>
    <hyperlink ref="I83" r:id="rId390" display="https://m.media-amazon.com/images/I/31B6GM7f2WL._AC_SR600,600_.jpg" tooltip="https://m.media-amazon.com/images/I/31B6GM7f2WL._AC_SR600,600_.jpg"/>
    <hyperlink ref="J83" r:id="rId388" display="B07WVPGPMF" tooltip="https://www.amazon.com/dp/B07WVPGPMF"/>
    <hyperlink ref="K83" r:id="rId6" display="Clothing, Shoes &amp; Jewelry:Women:Clothing:Active:Active Pants:Sweatpants" tooltip="https://www.amazon.com/b?node=1250423011"/>
    <hyperlink ref="L83" r:id="rId7" display="Clothing, Shoes &amp; Jewelry"/>
    <hyperlink ref="AR83" r:id="rId155" display="https://www.amazon.com/gp/help/seller/at-a-glance.html/ref=dp_merchant_link?seller=AUCI3SOXHH004" tooltip="https://www.amazon.com/gp/help/seller/at-a-glance.html/ref=dp_merchant_link?seller=AUCI3SOXHH004"/>
    <hyperlink ref="B80" r:id="rId391" display="B08RMR8FNX" tooltip="https://www.amazon.com/dp/B08RMR8FNX"/>
    <hyperlink ref="F80" r:id="rId392" display="https://www.amazon.com/Nike/b/ref=bl_sl_s_ap_web_119088564011?ie=UTF8&amp;node=119088564011&amp;field-lbr_brands_browse-bin=Nike" tooltip="https://www.amazon.com/Nike/b/ref=bl_sl_s_ap_web_119088564011?ie=UTF8&amp;node=119088564011&amp;field-lbr_brands_browse-bin=Nike"/>
    <hyperlink ref="H80" r:id="rId393" display="https://www.amazon.com/dp/B08RMR8FNX?psc=1" tooltip="https://www.amazon.com/dp/B08RMR8FNX?psc=1"/>
    <hyperlink ref="I80" r:id="rId394" display="https://m.media-amazon.com/images/I/31FD75FdXBL._AC_SR600,600_.jpg" tooltip="https://m.media-amazon.com/images/I/31FD75FdXBL._AC_SR600,600_.jpg"/>
    <hyperlink ref="J80" r:id="rId391" display="B08RMR8FNX" tooltip="https://www.amazon.com/dp/B08RMR8FNX"/>
    <hyperlink ref="K80" r:id="rId6" display="Clothing, Shoes &amp; Jewelry:Women:Clothing:Active:Active Pants:Sweatpants" tooltip="https://www.amazon.com/b?node=1250423011"/>
    <hyperlink ref="L80" r:id="rId7" display="Clothing, Shoes &amp; Jewelry"/>
    <hyperlink ref="AR80" r:id="rId395" display="https://www.amazon.com/gp/help/seller/at-a-glance.html/ref=dp_merchant_link?seller=A2WKLCQK84XIK6" tooltip="https://www.amazon.com/gp/help/seller/at-a-glance.html/ref=dp_merchant_link?seller=A2WKLCQK84XIK6"/>
    <hyperlink ref="B100" r:id="rId396" display="B0BN8JFRCH" tooltip="https://www.amazon.com/dp/B0BN8JFRCH"/>
    <hyperlink ref="F100" r:id="rId397" display="https://www.amazon.com/stores/URATOT/page/A864889C-E5D3-4BA5-841F-7D4A1A795E44?ref_=ast_bln&amp;store_ref=bl_ast_dp_brandLogo_sto" tooltip="https://www.amazon.com/stores/URATOT/page/A864889C-E5D3-4BA5-841F-7D4A1A795E44?ref_=ast_bln&amp;store_ref=bl_ast_dp_brandLogo_sto"/>
    <hyperlink ref="H100" r:id="rId398" display="https://www.amazon.com/dp/B0BN8JFRCH?psc=1" tooltip="https://www.amazon.com/dp/B0BN8JFRCH?psc=1"/>
    <hyperlink ref="I100" r:id="rId399" display="https://images-na.ssl-images-amazon.com/images/I/81SNpUCdLAL._AC_US600_.jpg" tooltip="https://images-na.ssl-images-amazon.com/images/I/81SNpUCdLAL._AC_US600_.jpg"/>
    <hyperlink ref="J100" r:id="rId396" display="B0BN8JFRCH" tooltip="https://www.amazon.com/dp/B0BN8JFRCH"/>
    <hyperlink ref="K100" r:id="rId6" display="Clothing, Shoes &amp; Jewelry:Women:Clothing:Active:Active Pants:Sweatpants" tooltip="https://www.amazon.com/b?node=1250423011"/>
    <hyperlink ref="L100" r:id="rId7" display="Clothing, Shoes &amp; Jewelry"/>
    <hyperlink ref="AR100" r:id="rId400" display="https://www.amazon.com/gp/help/seller/at-a-glance.html/ref=dp_merchant_link?seller=AIS7XGERQO816" tooltip="https://www.amazon.com/gp/help/seller/at-a-glance.html/ref=dp_merchant_link?seller=AIS7XGERQO816"/>
    <hyperlink ref="B56" r:id="rId401" display="B0CQZRR9J5" tooltip="https://www.amazon.com/dp/B0CQZRR9J5"/>
    <hyperlink ref="F56" r:id="rId402" display="https://www.amazon.com/stores/Neer/page/DBB3A484-372F-4F2C-98DF-B24D1BF2A648?ref_=ast_bln" tooltip="https://www.amazon.com/stores/Neer/page/DBB3A484-372F-4F2C-98DF-B24D1BF2A648?ref_=ast_bln"/>
    <hyperlink ref="H56" r:id="rId403" display="https://www.amazon.com/dp/B0CQZRR9J5?psc=1" tooltip="https://www.amazon.com/dp/B0CQZRR9J5?psc=1"/>
    <hyperlink ref="I56" r:id="rId404" display="https://images-na.ssl-images-amazon.com/images/I/8183VqnXndL._AC_US600_.jpg" tooltip="https://images-na.ssl-images-amazon.com/images/I/8183VqnXndL._AC_US600_.jpg"/>
    <hyperlink ref="J56" r:id="rId401" display="B0CQZRR9J5" tooltip="https://www.amazon.com/dp/B0CQZRR9J5"/>
    <hyperlink ref="K56" r:id="rId6" display="Clothing, Shoes &amp; Jewelry:Women:Clothing:Active:Active Pants:Sweatpants" tooltip="https://www.amazon.com/b?node=1250423011"/>
    <hyperlink ref="L56" r:id="rId7" display="Clothing, Shoes &amp; Jewelry"/>
    <hyperlink ref="AR56" r:id="rId405" display="https://www.amazon.com/gp/help/seller/at-a-glance.html/ref=dp_merchant_link?seller=A10PPOCUPJ1OGG" tooltip="https://www.amazon.com/gp/help/seller/at-a-glance.html/ref=dp_merchant_link?seller=A10PPOCUPJ1OGG"/>
    <hyperlink ref="B96" r:id="rId406" display="B075M3NVG9" tooltip="https://www.amazon.com/dp/B075M3NVG9"/>
    <hyperlink ref="F96" r:id="rId346" display="https://www.amazon.com/stores/FruitoftheLoom/page/49CA8368-8015-4877-8B4C-BC147469F952?ref_=ast_bln&amp;store_ref=bl_ast_dp_brandLogo_sto" tooltip="https://www.amazon.com/stores/FruitoftheLoom/page/49CA8368-8015-4877-8B4C-BC147469F952?ref_=ast_bln&amp;store_ref=bl_ast_dp_brandLogo_sto"/>
    <hyperlink ref="H96" r:id="rId407" display="https://www.amazon.com/dp/B075M3NVG9?psc=1" tooltip="https://www.amazon.com/dp/B075M3NVG9?psc=1"/>
    <hyperlink ref="I96" r:id="rId408" display="https://m.media-amazon.com/images/I/31vl+5gPoDL._AC_SR600,600_.jpg" tooltip="https://m.media-amazon.com/images/I/31vl+5gPoDL._AC_SR600,600_.jpg"/>
    <hyperlink ref="J96" r:id="rId406" display="B075M3NVG9" tooltip="https://www.amazon.com/dp/B075M3NVG9"/>
    <hyperlink ref="K96" r:id="rId6" display="Clothing, Shoes &amp; Jewelry:Women:Clothing:Active:Active Pants:Sweatpants" tooltip="https://www.amazon.com/b?node=1250423011"/>
    <hyperlink ref="L96" r:id="rId7" display="Clothing, Shoes &amp; Jewelry"/>
    <hyperlink ref="AR96" r:id="rId409" display="https://www.amazon.com/gp/help/seller/at-a-glance.html/ref=dp_merchant_link?seller=ALAZ3M7Q9510E" tooltip="https://www.amazon.com/gp/help/seller/at-a-glance.html/ref=dp_merchant_link?seller=ALAZ3M7Q9510E"/>
    <hyperlink ref="B93" r:id="rId410" display="B0DF2BJDN3" tooltip="https://www.amazon.com/dp/B0DF2BJDN3"/>
    <hyperlink ref="F93" r:id="rId122" display="https://www.amazon.com/stores/TrendyQueen/page/C358EA1A-E134-4D8D-90F5-BB331A2FDC37?ref_=ast_bln&amp;store_ref=bl_ast_dp_brandLogo_sto" tooltip="https://www.amazon.com/stores/TrendyQueen/page/C358EA1A-E134-4D8D-90F5-BB331A2FDC37?ref_=ast_bln&amp;store_ref=bl_ast_dp_brandLogo_sto"/>
    <hyperlink ref="H93" r:id="rId411" display="https://www.amazon.com/dp/B0DF2BJDN3?psc=1" tooltip="https://www.amazon.com/dp/B0DF2BJDN3?psc=1"/>
    <hyperlink ref="I93" r:id="rId412" display="https://m.media-amazon.com/images/I/51aga38cJWL._AC_SR600,600_.jpg" tooltip="https://m.media-amazon.com/images/I/51aga38cJWL._AC_SR600,600_.jpg"/>
    <hyperlink ref="J93" r:id="rId410" display="B0DF2BJDN3" tooltip="https://www.amazon.com/dp/B0DF2BJDN3"/>
    <hyperlink ref="K93" r:id="rId6" display="Clothing, Shoes &amp; Jewelry:Women:Clothing:Active:Active Pants:Sweatpants" tooltip="https://www.amazon.com/b?node=1250423011"/>
    <hyperlink ref="L93" r:id="rId7" display="Clothing, Shoes &amp; Jewelry"/>
    <hyperlink ref="AR93" r:id="rId126" display="https://www.amazon.com/gp/help/seller/at-a-glance.html/ref=dp_merchant_link?seller=A2R1SX4L6FB0QR" tooltip="https://www.amazon.com/gp/help/seller/at-a-glance.html/ref=dp_merchant_link?seller=A2R1SX4L6FB0QR"/>
    <hyperlink ref="B44" r:id="rId413" display="B094TRGG2C" tooltip="https://www.amazon.com/dp/B094TRGG2C"/>
    <hyperlink ref="F44" r:id="rId414" display="https://www.amazon.com/stores/USPoloAssn/page/61FE5EFD-B4EE-4411-BCE7-87C0C3AC9A1A?ref_=ast_bln" tooltip="https://www.amazon.com/stores/USPoloAssn/page/61FE5EFD-B4EE-4411-BCE7-87C0C3AC9A1A?ref_=ast_bln"/>
    <hyperlink ref="H44" r:id="rId415" display="https://www.amazon.com/dp/B094TRGG2C?psc=1" tooltip="https://www.amazon.com/dp/B094TRGG2C?psc=1"/>
    <hyperlink ref="I44" r:id="rId416" display="https://m.media-amazon.com/images/I/41EIYbg9ASL._AC_SR600,600_.jpg" tooltip="https://m.media-amazon.com/images/I/41EIYbg9ASL._AC_SR600,600_.jpg"/>
    <hyperlink ref="J44" r:id="rId413" display="B094TRGG2C" tooltip="https://www.amazon.com/dp/B094TRGG2C"/>
    <hyperlink ref="K44" r:id="rId417" display="Clothing, Shoes &amp; Jewelry:Women:Clothing:Lingerie, Sleep &amp; Lounge:Sleep &amp; Lounge:Bottoms" tooltip="https://www.amazon.com/b?node=1044896"/>
    <hyperlink ref="L44" r:id="rId7" display="Clothing, Shoes &amp; Jewelry"/>
    <hyperlink ref="AR44" r:id="rId182" display="https://www.amazon.com/gp/help/seller/at-a-glance.html/ref=dp_merchant_link?seller=A1BM62752C3YWX" tooltip="https://www.amazon.com/gp/help/seller/at-a-glance.html/ref=dp_merchant_link?seller=A1BM62752C3YWX"/>
    <hyperlink ref="B95" r:id="rId418" display="B0BCQL5TQV" tooltip="https://www.amazon.com/dp/B0BCQL5TQV"/>
    <hyperlink ref="F95" r:id="rId101" display="https://www.amazon.com/stores/SANTINY/page/C8E491B5-0FA2-4D0C-979E-F3B657EE0FA5?ref_=ast_bln&amp;store_ref=bl_ast_dp_brandLogo_sto" tooltip="https://www.amazon.com/stores/SANTINY/page/C8E491B5-0FA2-4D0C-979E-F3B657EE0FA5?ref_=ast_bln&amp;store_ref=bl_ast_dp_brandLogo_sto"/>
    <hyperlink ref="H95" r:id="rId419" display="https://www.amazon.com/dp/B0BCQL5TQV?psc=1" tooltip="https://www.amazon.com/dp/B0BCQL5TQV?psc=1"/>
    <hyperlink ref="I95" r:id="rId420" display="https://images-na.ssl-images-amazon.com/images/I/615FCb04dNL._AC_US600_.jpg" tooltip="https://images-na.ssl-images-amazon.com/images/I/615FCb04dNL._AC_US600_.jpg"/>
    <hyperlink ref="J95" r:id="rId418" display="B0BCQL5TQV" tooltip="https://www.amazon.com/dp/B0BCQL5TQV"/>
    <hyperlink ref="K95" r:id="rId6" display="Clothing, Shoes &amp; Jewelry:Women:Clothing:Active:Active Pants:Sweatpants" tooltip="https://www.amazon.com/b?node=1250423011"/>
    <hyperlink ref="L95" r:id="rId7" display="Clothing, Shoes &amp; Jewelry"/>
    <hyperlink ref="AR95" r:id="rId105" display="https://www.amazon.com/gp/help/seller/at-a-glance.html/ref=dp_merchant_link?seller=A3E1SQM5WUB3RR" tooltip="https://www.amazon.com/gp/help/seller/at-a-glance.html/ref=dp_merchant_link?seller=A3E1SQM5WUB3RR"/>
    <hyperlink ref="B85" r:id="rId421" display="B0DF5288MR" tooltip="https://www.amazon.com/dp/B0DF5288MR"/>
    <hyperlink ref="F85" r:id="rId370" display="https://www.amazon.com/stores/PUMIEY/page/72EBA44F-B6AB-473E-BE8E-FEAFEEBEB48E?ref_=ast_bln&amp;store_ref=bl_ast_dp_brandLogo_sto" tooltip="https://www.amazon.com/stores/PUMIEY/page/72EBA44F-B6AB-473E-BE8E-FEAFEEBEB48E?ref_=ast_bln&amp;store_ref=bl_ast_dp_brandLogo_sto"/>
    <hyperlink ref="H85" r:id="rId422" display="https://www.amazon.com/dp/B0DF5288MR?psc=1" tooltip="https://www.amazon.com/dp/B0DF5288MR?psc=1"/>
    <hyperlink ref="I85" r:id="rId423" display="https://m.media-amazon.com/images/I/31OT2AVysrL._AC_SR600,600_.jpg" tooltip="https://m.media-amazon.com/images/I/31OT2AVysrL._AC_SR600,600_.jpg"/>
    <hyperlink ref="J85" r:id="rId421" display="B0DF5288MR" tooltip="https://www.amazon.com/dp/B0DF5288MR"/>
    <hyperlink ref="K85" r:id="rId6" display="Clothing, Shoes &amp; Jewelry:Women:Clothing:Active:Active Pants:Sweatpants" tooltip="https://www.amazon.com/b?node=1250423011"/>
    <hyperlink ref="L85" r:id="rId7" display="Clothing, Shoes &amp; Jewelry"/>
    <hyperlink ref="AR85" r:id="rId373" display="https://www.amazon.com/gp/help/seller/at-a-glance.html/ref=dp_merchant_link?seller=A1XF03I4GYPIG1" tooltip="https://www.amazon.com/gp/help/seller/at-a-glance.html/ref=dp_merchant_link?seller=A1XF03I4GYPIG1"/>
    <hyperlink ref="B101" r:id="rId424" display="B09B2JV7L4" tooltip="https://www.amazon.com/dp/B09B2JV7L4"/>
    <hyperlink ref="F101" r:id="rId425" display="https://www.amazon.com/stores/Inno/page/C145ECB9-A096-4073-8D4E-F19E08DD0535?ref_=ast_bln&amp;store_ref=bl_ast_dp_brandLogo_sto" tooltip="https://www.amazon.com/stores/Inno/page/C145ECB9-A096-4073-8D4E-F19E08DD0535?ref_=ast_bln&amp;store_ref=bl_ast_dp_brandLogo_sto"/>
    <hyperlink ref="H101" r:id="rId426" display="https://www.amazon.com/dp/B09B2JV7L4?psc=1" tooltip="https://www.amazon.com/dp/B09B2JV7L4?psc=1"/>
    <hyperlink ref="I101" r:id="rId427" display="https://m.media-amazon.com/images/I/313VGEb2LiL._AC_SR600,600_.jpg" tooltip="https://m.media-amazon.com/images/I/313VGEb2LiL._AC_SR600,600_.jpg"/>
    <hyperlink ref="J101" r:id="rId424" display="B09B2JV7L4" tooltip="https://www.amazon.com/dp/B09B2JV7L4"/>
    <hyperlink ref="K101" r:id="rId6" display="Clothing, Shoes &amp; Jewelry:Women:Clothing:Active:Active Pants:Sweatpants" tooltip="https://www.amazon.com/b?node=1250423011"/>
    <hyperlink ref="L101" r:id="rId7" display="Clothing, Shoes &amp; Jewelry"/>
    <hyperlink ref="AR101" r:id="rId428" display="https://www.amazon.com/gp/help/seller/at-a-glance.html/ref=dp_merchant_link?seller=A2Q88JXUJAOZIT" tooltip="https://www.amazon.com/gp/help/seller/at-a-glance.html/ref=dp_merchant_link?seller=A2Q88JXUJAOZIT"/>
    <hyperlink ref="B61" r:id="rId429" display="B01L9J98X0" tooltip="https://www.amazon.com/dp/B01L9J98X0"/>
    <hyperlink ref="F61" r:id="rId2" display="https://www.amazon.com/stores/Hanes/page/F83022EC-A709-4B2F-BCB7-7BBFA1896AB0?ref_=ast_bln&amp;store_ref=bl_ast_dp_brandLogo_sto" tooltip="https://www.amazon.com/stores/Hanes/page/F83022EC-A709-4B2F-BCB7-7BBFA1896AB0?ref_=ast_bln&amp;store_ref=bl_ast_dp_brandLogo_sto"/>
    <hyperlink ref="H61" r:id="rId430" display="https://www.amazon.com/dp/B01L9J98X0?psc=1" tooltip="https://www.amazon.com/dp/B01L9J98X0?psc=1"/>
    <hyperlink ref="I61" r:id="rId431" display="https://images-na.ssl-images-amazon.com/images/I/71b+cq9QeXL._AC_US600_.jpg" tooltip="https://images-na.ssl-images-amazon.com/images/I/71b+cq9QeXL._AC_US600_.jpg"/>
    <hyperlink ref="J61" r:id="rId429" display="B01L9J98X0" tooltip="https://www.amazon.com/dp/B01L9J98X0"/>
    <hyperlink ref="K61" r:id="rId6" display="Clothing, Shoes &amp; Jewelry:Women:Clothing:Active:Active Pants:Sweatpants" tooltip="https://www.amazon.com/b?node=1250423011"/>
    <hyperlink ref="L61" r:id="rId7" display="Clothing, Shoes &amp; Jewelry"/>
    <hyperlink ref="B92" r:id="rId432" display="B0B2JJQFHV" tooltip="https://www.amazon.com/dp/B0B2JJQFHV"/>
    <hyperlink ref="F92" r:id="rId433" display="https://www.amazon.com/ZENEX/b/ref=bl_sl_s_ap_web_119664532011?ie=UTF8&amp;node=119664532011&amp;field-lbr_brands_browse-bin=ZENEX" tooltip="https://www.amazon.com/ZENEX/b/ref=bl_sl_s_ap_web_119664532011?ie=UTF8&amp;node=119664532011&amp;field-lbr_brands_browse-bin=ZENEX"/>
    <hyperlink ref="H92" r:id="rId434" display="https://www.amazon.com/dp/B0B2JJQFHV?psc=1" tooltip="https://www.amazon.com/dp/B0B2JJQFHV?psc=1"/>
    <hyperlink ref="I92" r:id="rId435" display="https://m.media-amazon.com/images/I/41E3JM9XcDL._AC_SR600,600_.jpg" tooltip="https://m.media-amazon.com/images/I/41E3JM9XcDL._AC_SR600,600_.jpg"/>
    <hyperlink ref="J92" r:id="rId432" display="B0B2JJQFHV" tooltip="https://www.amazon.com/dp/B0B2JJQFHV"/>
    <hyperlink ref="K92" r:id="rId6" display="Clothing, Shoes &amp; Jewelry:Women:Clothing:Active:Active Pants:Sweatpants" tooltip="https://www.amazon.com/b?node=1250423011"/>
    <hyperlink ref="L92" r:id="rId7" display="Clothing, Shoes &amp; Jewelry"/>
    <hyperlink ref="AR92" r:id="rId436" display="https://www.amazon.com/gp/help/seller/at-a-glance.html/ref=dp_merchant_link?seller=AX9GHO4D4XKMP" tooltip="https://www.amazon.com/gp/help/seller/at-a-glance.html/ref=dp_merchant_link?seller=AX9GHO4D4XKMP"/>
    <hyperlink ref="B99" r:id="rId437" display="B07K1R95WB" tooltip="https://www.amazon.com/dp/B07K1R95WB"/>
    <hyperlink ref="F99" r:id="rId438" display="https://www.amazon.com/stores/Flygo/page/14C668C1-7D05-4C14-AC73-A1BD46A77537?ref_=ast_bln&amp;store_ref=bl_ast_dp_brandLogo_sto" tooltip="https://www.amazon.com/stores/Flygo/page/14C668C1-7D05-4C14-AC73-A1BD46A77537?ref_=ast_bln&amp;store_ref=bl_ast_dp_brandLogo_sto"/>
    <hyperlink ref="H99" r:id="rId439" display="https://www.amazon.com/dp/B07K1R95WB?psc=1" tooltip="https://www.amazon.com/dp/B07K1R95WB?psc=1"/>
    <hyperlink ref="I99" r:id="rId440" display="https://m.media-amazon.com/images/I/31TGdmxkcqL._AC_SR600,600_.jpg" tooltip="https://m.media-amazon.com/images/I/31TGdmxkcqL._AC_SR600,600_.jpg"/>
    <hyperlink ref="J99" r:id="rId437" display="B07K1R95WB" tooltip="https://www.amazon.com/dp/B07K1R95WB"/>
    <hyperlink ref="K99" r:id="rId6" display="Clothing, Shoes &amp; Jewelry:Women:Clothing:Active:Active Pants:Sweatpants" tooltip="https://www.amazon.com/b?node=1250423011"/>
    <hyperlink ref="L99" r:id="rId7" display="Clothing, Shoes &amp; Jewelry"/>
    <hyperlink ref="AR99" r:id="rId441" display="https://www.amazon.com/gp/help/seller/at-a-glance.html/ref=dp_merchant_link?seller=A2RPNVZ64595KM" tooltip="https://www.amazon.com/gp/help/seller/at-a-glance.html/ref=dp_merchant_link?seller=A2RPNVZ64595KM"/>
    <hyperlink ref="B89" r:id="rId442" display="B0CC4Y6QRV" tooltip="https://www.amazon.com/dp/B0CC4Y6QRV"/>
    <hyperlink ref="F89" r:id="rId443" display="https://www.amazon.com/stores/SUNBS/page/DD99CA62-FDBF-4FAC-80E5-4BA198AE7121?ref_=ast_bln" tooltip="https://www.amazon.com/stores/SUNBS/page/DD99CA62-FDBF-4FAC-80E5-4BA198AE7121?ref_=ast_bln"/>
    <hyperlink ref="H89" r:id="rId444" display="https://www.amazon.com/dp/B0CC4Y6QRV?psc=1" tooltip="https://www.amazon.com/dp/B0CC4Y6QRV?psc=1"/>
    <hyperlink ref="I89" r:id="rId445" display="https://m.media-amazon.com/images/I/41qbSoi7RZL._AC_SR600,600_.jpg" tooltip="https://m.media-amazon.com/images/I/41qbSoi7RZL._AC_SR600,600_.jpg"/>
    <hyperlink ref="J89" r:id="rId442" display="B0CC4Y6QRV" tooltip="https://www.amazon.com/dp/B0CC4Y6QRV"/>
    <hyperlink ref="K89" r:id="rId6" display="Clothing, Shoes &amp; Jewelry:Women:Clothing:Active:Active Pants:Sweatpants" tooltip="https://www.amazon.com/b?node=1250423011"/>
    <hyperlink ref="L89" r:id="rId7" display="Clothing, Shoes &amp; Jewelry"/>
    <hyperlink ref="AR89" r:id="rId446" display="https://www.amazon.com/gp/help/seller/at-a-glance.html/ref=dp_merchant_link?seller=APBXA98MO0TWP" tooltip="https://www.amazon.com/gp/help/seller/at-a-glance.html/ref=dp_merchant_link?seller=APBXA98MO0TWP"/>
    <hyperlink ref="B94" r:id="rId447" display="B0CCS7MN8F" tooltip="https://www.amazon.com/dp/B0CCS7MN8F"/>
    <hyperlink ref="F94" r:id="rId448" display="https://www.amazon.com/stores/KamoFitness/page/B2A8CFF8-A118-4939-93FA-36E3EBC5EA58?ref_=ast_bln&amp;store_ref=bl_ast_dp_brandLogo_sto" tooltip="https://www.amazon.com/stores/KamoFitness/page/B2A8CFF8-A118-4939-93FA-36E3EBC5EA58?ref_=ast_bln&amp;store_ref=bl_ast_dp_brandLogo_sto"/>
    <hyperlink ref="H94" r:id="rId449" display="https://www.amazon.com/dp/B0CCS7MN8F?psc=1" tooltip="https://www.amazon.com/dp/B0CCS7MN8F?psc=1"/>
    <hyperlink ref="I94" r:id="rId450" display="https://m.media-amazon.com/images/I/31jSeXMvTOL._AC_SR600,600_.jpg" tooltip="https://m.media-amazon.com/images/I/31jSeXMvTOL._AC_SR600,600_.jpg"/>
    <hyperlink ref="J94" r:id="rId447" display="B0CCS7MN8F" tooltip="https://www.amazon.com/dp/B0CCS7MN8F"/>
    <hyperlink ref="K94" r:id="rId6" display="Clothing, Shoes &amp; Jewelry:Women:Clothing:Active:Active Pants:Sweatpants" tooltip="https://www.amazon.com/b?node=1250423011"/>
    <hyperlink ref="L94" r:id="rId7" display="Clothing, Shoes &amp; Jewelry"/>
    <hyperlink ref="AR94" r:id="rId451" display="https://www.amazon.com/gp/help/seller/at-a-glance.html/ref=dp_merchant_link?seller=A2C0HO9BOJLXPH" tooltip="https://www.amazon.com/gp/help/seller/at-a-glance.html/ref=dp_merchant_link?seller=A2C0HO9BOJLXPH"/>
  </hyperlinks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A1" sqref="A1"/>
    </sheetView>
  </sheetViews>
  <sheetFormatPr defaultColWidth="9" defaultRowHeight="14.4" outlineLevelRow="6"/>
  <cols>
    <col min="1" max="1" width="150" style="3" customWidth="1"/>
  </cols>
  <sheetData>
    <row r="1" s="1" customFormat="1" ht="45" customHeight="1" spans="1:1">
      <c r="A1" s="4" t="s">
        <v>1381</v>
      </c>
    </row>
    <row r="2" s="1" customFormat="1" ht="45" customHeight="1" spans="1:1">
      <c r="A2" s="4" t="s">
        <v>1382</v>
      </c>
    </row>
    <row r="3" s="1" customFormat="1" ht="100" customHeight="1" spans="1:1">
      <c r="A3" s="4" t="s">
        <v>1383</v>
      </c>
    </row>
    <row r="4" s="1" customFormat="1" ht="45" customHeight="1" spans="1:1">
      <c r="A4" s="4" t="s">
        <v>1384</v>
      </c>
    </row>
    <row r="5" s="1" customFormat="1" ht="45" customHeight="1" spans="1:1">
      <c r="A5" s="4" t="s">
        <v>1385</v>
      </c>
    </row>
    <row r="6" s="2" customFormat="1" ht="45" customHeight="1" spans="1:1">
      <c r="A6" s="5" t="s">
        <v>1386</v>
      </c>
    </row>
    <row r="7" ht="45" customHeight="1" spans="1:1">
      <c r="A7" s="6" t="s">
        <v>1387</v>
      </c>
    </row>
  </sheetData>
  <pageMargins left="0.7" right="0.7" top="0.75" bottom="0.75" header="0.3" footer="0.3"/>
  <pageSetup paperSize="1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US</vt:lpstr>
      <vt:lpstr>Note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8207429812</cp:lastModifiedBy>
  <dcterms:created xsi:type="dcterms:W3CDTF">2024-11-01T08:23:00Z</dcterms:created>
  <dcterms:modified xsi:type="dcterms:W3CDTF">2024-11-01T10:46:44Z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B4E271D90B704AC8AC59203D5D26467F_12</vt:lpwstr>
  </property>
  <property fmtid="{D5CDD505-2E9C-101B-9397-08002B2CF9AE}" pid="3" name="KSOProductBuildVer">
    <vt:lpwstr>2052-12.1.0.18608</vt:lpwstr>
  </property>
</Properties>
</file>