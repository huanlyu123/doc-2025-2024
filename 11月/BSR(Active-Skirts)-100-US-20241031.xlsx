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3040" windowHeight="9180" activeTab="1"/>
  </bookViews>
  <sheets>
    <sheet name="Sheet1" sheetId="3" r:id="rId1"/>
    <sheet name="US" sheetId="1" r:id="rId2"/>
    <sheet name="Note" sheetId="2" r:id="rId3"/>
    <sheet name="Sheet2" sheetId="4" r:id="rId4"/>
    <sheet name="Sheet3" sheetId="5" r:id="rId5"/>
  </sheets>
  <definedNames>
    <definedName name="_xlnm._FilterDatabase" localSheetId="1" hidden="1">US!$A$1:$BF$101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1" name="ID_6913D339371B4D68B132A76978C7711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</etc:cellImage>
  <etc:cellImage>
    <xdr:pic>
      <xdr:nvPicPr>
        <xdr:cNvPr id="100" name="ID_429DEDFBB1CE440F99464515FF494F20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</etc:cellImage>
  <etc:cellImage>
    <xdr:pic>
      <xdr:nvPicPr>
        <xdr:cNvPr id="99" name="ID_1B9B43A84A5A4D37AC65FADB8C9BDA8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</etc:cellImage>
  <etc:cellImage>
    <xdr:pic>
      <xdr:nvPicPr>
        <xdr:cNvPr id="98" name="ID_A8588980B0B341E9BD562AEE64BD1AB6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</etc:cellImage>
  <etc:cellImage>
    <xdr:pic>
      <xdr:nvPicPr>
        <xdr:cNvPr id="97" name="ID_4FC95A69337A4B5492EAE99B8B469DEA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</etc:cellImage>
  <etc:cellImage>
    <xdr:pic>
      <xdr:nvPicPr>
        <xdr:cNvPr id="96" name="ID_512355FFA4934EF2AAC13A341EF8DBF4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</etc:cellImage>
  <etc:cellImage>
    <xdr:pic>
      <xdr:nvPicPr>
        <xdr:cNvPr id="95" name="ID_F7DA50559D3C44D2A73CB4DC2849554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</etc:cellImage>
  <etc:cellImage>
    <xdr:pic>
      <xdr:nvPicPr>
        <xdr:cNvPr id="94" name="ID_C43BA87F7B234C4CAFE9ADB1FF970B16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</etc:cellImage>
  <etc:cellImage>
    <xdr:pic>
      <xdr:nvPicPr>
        <xdr:cNvPr id="93" name="ID_83A7A5F4A7AC41E7A067E0BA3AC7219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</etc:cellImage>
  <etc:cellImage>
    <xdr:pic>
      <xdr:nvPicPr>
        <xdr:cNvPr id="92" name="ID_9E9B7588A52B4EFA87F9AADCE69EE9F5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</etc:cellImage>
  <etc:cellImage>
    <xdr:pic>
      <xdr:nvPicPr>
        <xdr:cNvPr id="91" name="ID_FC4146A0FCF5456CA28BD07668AD41FE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</etc:cellImage>
  <etc:cellImage>
    <xdr:pic>
      <xdr:nvPicPr>
        <xdr:cNvPr id="90" name="ID_D0AB87EFD9D745FCBF532430ADF6C54E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</etc:cellImage>
  <etc:cellImage>
    <xdr:pic>
      <xdr:nvPicPr>
        <xdr:cNvPr id="89" name="ID_32D01DCEE5ED477F812B19BADDFDDABF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</etc:cellImage>
  <etc:cellImage>
    <xdr:pic>
      <xdr:nvPicPr>
        <xdr:cNvPr id="88" name="ID_AE576068BCE446D9929F5B08D07EA69A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</etc:cellImage>
  <etc:cellImage>
    <xdr:pic>
      <xdr:nvPicPr>
        <xdr:cNvPr id="87" name="ID_BF9109C943AC4469897CC8AEEFE3DFAF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</etc:cellImage>
  <etc:cellImage>
    <xdr:pic>
      <xdr:nvPicPr>
        <xdr:cNvPr id="86" name="ID_6433C2CF641E437A92DBABCC21DE557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</etc:cellImage>
  <etc:cellImage>
    <xdr:pic>
      <xdr:nvPicPr>
        <xdr:cNvPr id="85" name="ID_8EE24A94F42546BB81DCB1551642D518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</etc:cellImage>
  <etc:cellImage>
    <xdr:pic>
      <xdr:nvPicPr>
        <xdr:cNvPr id="84" name="ID_CB731830E0B54209830D4C9891EFCE97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</etc:cellImage>
  <etc:cellImage>
    <xdr:pic>
      <xdr:nvPicPr>
        <xdr:cNvPr id="83" name="ID_E016DC42D2E24AEF8DA960A59A794BE8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</etc:cellImage>
  <etc:cellImage>
    <xdr:pic>
      <xdr:nvPicPr>
        <xdr:cNvPr id="82" name="ID_039D349F37884787B8F5FAB566CF3452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</etc:cellImage>
  <etc:cellImage>
    <xdr:pic>
      <xdr:nvPicPr>
        <xdr:cNvPr id="81" name="ID_9F5A7409BCA7430F8B5A2A76484B902A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</etc:cellImage>
  <etc:cellImage>
    <xdr:pic>
      <xdr:nvPicPr>
        <xdr:cNvPr id="80" name="ID_20EDB8D0F11E407593C611FE6FD871C3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</etc:cellImage>
  <etc:cellImage>
    <xdr:pic>
      <xdr:nvPicPr>
        <xdr:cNvPr id="79" name="ID_D6BD642D160944D389FE35CD742BB938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</etc:cellImage>
  <etc:cellImage>
    <xdr:pic>
      <xdr:nvPicPr>
        <xdr:cNvPr id="78" name="ID_8F6C6C40AC4B4C95815B034700178B36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</etc:cellImage>
  <etc:cellImage>
    <xdr:pic>
      <xdr:nvPicPr>
        <xdr:cNvPr id="77" name="ID_E3E5ECCEC79943B5A53D5ACD7DFEF443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</etc:cellImage>
  <etc:cellImage>
    <xdr:pic>
      <xdr:nvPicPr>
        <xdr:cNvPr id="76" name="ID_B2C42D4DD1D444B5832B2B16728EF593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</etc:cellImage>
  <etc:cellImage>
    <xdr:pic>
      <xdr:nvPicPr>
        <xdr:cNvPr id="75" name="ID_B048F9129D534EAE902E5F7100957345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</etc:cellImage>
  <etc:cellImage>
    <xdr:pic>
      <xdr:nvPicPr>
        <xdr:cNvPr id="74" name="ID_7BC7586186424269BCC3107C9D20DFF0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</etc:cellImage>
  <etc:cellImage>
    <xdr:pic>
      <xdr:nvPicPr>
        <xdr:cNvPr id="72" name="ID_C7B35E3486AC40299BA95592E00D3D0C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</etc:cellImage>
  <etc:cellImage>
    <xdr:pic>
      <xdr:nvPicPr>
        <xdr:cNvPr id="71" name="ID_BD785481783D4BB98CB13937C03663B6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</etc:cellImage>
  <etc:cellImage>
    <xdr:pic>
      <xdr:nvPicPr>
        <xdr:cNvPr id="70" name="ID_FE9872C2797847F5835AA78213FC4F0A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</etc:cellImage>
  <etc:cellImage>
    <xdr:pic>
      <xdr:nvPicPr>
        <xdr:cNvPr id="69" name="ID_EC5E41A6DF0C4F1FB367D395F16335AA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</etc:cellImage>
  <etc:cellImage>
    <xdr:pic>
      <xdr:nvPicPr>
        <xdr:cNvPr id="68" name="ID_F105642A4C524658BC37C067649D7727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</etc:cellImage>
  <etc:cellImage>
    <xdr:pic>
      <xdr:nvPicPr>
        <xdr:cNvPr id="67" name="ID_79D7CF9A3B7944949ADC31B235CADFE8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</etc:cellImage>
  <etc:cellImage>
    <xdr:pic>
      <xdr:nvPicPr>
        <xdr:cNvPr id="66" name="ID_1EB93349486A4B5295454954EFB2DF34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</etc:cellImage>
  <etc:cellImage>
    <xdr:pic>
      <xdr:nvPicPr>
        <xdr:cNvPr id="65" name="ID_7A7F8752B6114BFDAE0B89C7D0F72105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</etc:cellImage>
  <etc:cellImage>
    <xdr:pic>
      <xdr:nvPicPr>
        <xdr:cNvPr id="8" name="ID_BF29F93AF4594679B94E6BD346B231FD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</etc:cellImage>
  <etc:cellImage>
    <xdr:pic>
      <xdr:nvPicPr>
        <xdr:cNvPr id="7" name="ID_3CC04262420F4E19AEE218DEFA9975EB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</etc:cellImage>
  <etc:cellImage>
    <xdr:pic>
      <xdr:nvPicPr>
        <xdr:cNvPr id="6" name="ID_9D7AF2B568F145E7BF56DF80FE5D5661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</etc:cellImage>
  <etc:cellImage>
    <xdr:pic>
      <xdr:nvPicPr>
        <xdr:cNvPr id="5" name="ID_4AE1CAECE8284813B67FD2D2AA6ECE8D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</etc:cellImage>
  <etc:cellImage>
    <xdr:pic>
      <xdr:nvPicPr>
        <xdr:cNvPr id="4" name="ID_60DC48DC999C4C32BACBE3A97323FB43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</etc:cellImage>
  <etc:cellImage>
    <xdr:pic>
      <xdr:nvPicPr>
        <xdr:cNvPr id="3" name="ID_F893B103806A4F3889F336E3CCEEF276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</etc:cellImage>
  <etc:cellImage>
    <xdr:pic>
      <xdr:nvPicPr>
        <xdr:cNvPr id="2" name="ID_93E57F281F584642865EBD96EAFA27BD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</etc:cellImage>
  <etc:cellImage>
    <xdr:pic>
      <xdr:nvPicPr>
        <xdr:cNvPr id="73" name="ID_C37F814E7FE8452688D87BD82BBC8875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</etc:cellImage>
  <etc:cellImage>
    <xdr:pic>
      <xdr:nvPicPr>
        <xdr:cNvPr id="9" name="ID_15D4DF6EE6404E87AE68BD3BD292FEBB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</etc:cellImage>
  <etc:cellImage>
    <xdr:pic>
      <xdr:nvPicPr>
        <xdr:cNvPr id="10" name="ID_CB5BCA490BF7400C98F20DDF3D7B0DC2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</etc:cellImage>
  <etc:cellImage>
    <xdr:pic>
      <xdr:nvPicPr>
        <xdr:cNvPr id="11" name="ID_464F4C9ABE1A429A8D40D5714C49A37A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</etc:cellImage>
  <etc:cellImage>
    <xdr:pic>
      <xdr:nvPicPr>
        <xdr:cNvPr id="12" name="ID_31EFF97ECEB749999D2696B609548397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</etc:cellImage>
  <etc:cellImage>
    <xdr:pic>
      <xdr:nvPicPr>
        <xdr:cNvPr id="13" name="ID_7863F37F721F4953A3EB51B1B258CACF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</etc:cellImage>
  <etc:cellImage>
    <xdr:pic>
      <xdr:nvPicPr>
        <xdr:cNvPr id="14" name="ID_C56A4A8413E147688460595125E640E5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</etc:cellImage>
  <etc:cellImage>
    <xdr:pic>
      <xdr:nvPicPr>
        <xdr:cNvPr id="15" name="ID_0879418C6B694FD4ADCF887279A062FC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</etc:cellImage>
  <etc:cellImage>
    <xdr:pic>
      <xdr:nvPicPr>
        <xdr:cNvPr id="16" name="ID_768DB78DEA6C4E9CBBCBBDA8BFEC6F8F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</etc:cellImage>
  <etc:cellImage>
    <xdr:pic>
      <xdr:nvPicPr>
        <xdr:cNvPr id="17" name="ID_1F4DE94EF6CE4F6BBFFD22154643DFEA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</etc:cellImage>
  <etc:cellImage>
    <xdr:pic>
      <xdr:nvPicPr>
        <xdr:cNvPr id="18" name="ID_6600EEAFE663487098729FD6FB917C9D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</etc:cellImage>
  <etc:cellImage>
    <xdr:pic>
      <xdr:nvPicPr>
        <xdr:cNvPr id="19" name="ID_43E6E1E3477C4B5A89D9C0ED20BA30AD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</etc:cellImage>
  <etc:cellImage>
    <xdr:pic>
      <xdr:nvPicPr>
        <xdr:cNvPr id="20" name="ID_E10306F172B44197B62ECB1F8F76EED1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</etc:cellImage>
  <etc:cellImage>
    <xdr:pic>
      <xdr:nvPicPr>
        <xdr:cNvPr id="21" name="ID_2265562696AE40F49CEC8D03D18361C0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</etc:cellImage>
  <etc:cellImage>
    <xdr:pic>
      <xdr:nvPicPr>
        <xdr:cNvPr id="22" name="ID_FBCD735EE89E4EEA8E9751F906684320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</etc:cellImage>
  <etc:cellImage>
    <xdr:pic>
      <xdr:nvPicPr>
        <xdr:cNvPr id="23" name="ID_01EAA1F0E0DB4A618A4CF76B48EC7E95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</etc:cellImage>
  <etc:cellImage>
    <xdr:pic>
      <xdr:nvPicPr>
        <xdr:cNvPr id="24" name="ID_1C16DA7C305A4E039F33E95444C25A31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</etc:cellImage>
  <etc:cellImage>
    <xdr:pic>
      <xdr:nvPicPr>
        <xdr:cNvPr id="25" name="ID_A9AA7B1047994531A8C0A628B8F76478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</etc:cellImage>
  <etc:cellImage>
    <xdr:pic>
      <xdr:nvPicPr>
        <xdr:cNvPr id="26" name="ID_8E217C2713DD4FE6A5207D7633F380CF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</etc:cellImage>
  <etc:cellImage>
    <xdr:pic>
      <xdr:nvPicPr>
        <xdr:cNvPr id="27" name="ID_4615F4D24D284FB4AF05595191C9601D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</etc:cellImage>
  <etc:cellImage>
    <xdr:pic>
      <xdr:nvPicPr>
        <xdr:cNvPr id="28" name="ID_64B86DBC7AFA42038DECB44816B558AB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</etc:cellImage>
  <etc:cellImage>
    <xdr:pic>
      <xdr:nvPicPr>
        <xdr:cNvPr id="29" name="ID_04FFE33BA5EB4026910DBF85501BCADF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</etc:cellImage>
  <etc:cellImage>
    <xdr:pic>
      <xdr:nvPicPr>
        <xdr:cNvPr id="30" name="ID_A36566CC420D406EADA141D0D6367FA1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</etc:cellImage>
  <etc:cellImage>
    <xdr:pic>
      <xdr:nvPicPr>
        <xdr:cNvPr id="31" name="ID_E6AE45DFC3964EA390C2F90723B076E8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</etc:cellImage>
  <etc:cellImage>
    <xdr:pic>
      <xdr:nvPicPr>
        <xdr:cNvPr id="32" name="ID_DBE6C953B7974F3B866E2ACEB717B31F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</etc:cellImage>
  <etc:cellImage>
    <xdr:pic>
      <xdr:nvPicPr>
        <xdr:cNvPr id="33" name="ID_FB938CE3F56A422D9411C4B261C205BB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</etc:cellImage>
  <etc:cellImage>
    <xdr:pic>
      <xdr:nvPicPr>
        <xdr:cNvPr id="34" name="ID_9F6A34AE22364691919AE580CC396CA7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</etc:cellImage>
  <etc:cellImage>
    <xdr:pic>
      <xdr:nvPicPr>
        <xdr:cNvPr id="35" name="ID_C471C8A575B644B9B006A0C3E8E5FD06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</etc:cellImage>
  <etc:cellImage>
    <xdr:pic>
      <xdr:nvPicPr>
        <xdr:cNvPr id="36" name="ID_006774B8B0524DEF8B8AE82CC44BD9C0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</etc:cellImage>
  <etc:cellImage>
    <xdr:pic>
      <xdr:nvPicPr>
        <xdr:cNvPr id="37" name="ID_5E2FD3DF481E4EB580CA99744BE7D9BB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</etc:cellImage>
  <etc:cellImage>
    <xdr:pic>
      <xdr:nvPicPr>
        <xdr:cNvPr id="38" name="ID_053D5020751140AF9B03DF0130A1462B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</etc:cellImage>
  <etc:cellImage>
    <xdr:pic>
      <xdr:nvPicPr>
        <xdr:cNvPr id="39" name="ID_27EDED7AD1A9453B93215EDE3EE61349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</etc:cellImage>
  <etc:cellImage>
    <xdr:pic>
      <xdr:nvPicPr>
        <xdr:cNvPr id="40" name="ID_435B82F994F14710A9FFC36C16D14702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</etc:cellImage>
  <etc:cellImage>
    <xdr:pic>
      <xdr:nvPicPr>
        <xdr:cNvPr id="41" name="ID_34C509C67E2D4AC3BA325EBEA8BE367C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</etc:cellImage>
  <etc:cellImage>
    <xdr:pic>
      <xdr:nvPicPr>
        <xdr:cNvPr id="42" name="ID_0220033C4C23430BA77D6AE369C48C9D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</etc:cellImage>
  <etc:cellImage>
    <xdr:pic>
      <xdr:nvPicPr>
        <xdr:cNvPr id="43" name="ID_F205F87D38994F6DA5D2AFD75A0EE2BC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</etc:cellImage>
  <etc:cellImage>
    <xdr:pic>
      <xdr:nvPicPr>
        <xdr:cNvPr id="44" name="ID_73A9EA489E794FDD860392923C6EFA53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</etc:cellImage>
  <etc:cellImage>
    <xdr:pic>
      <xdr:nvPicPr>
        <xdr:cNvPr id="45" name="ID_494652F6E15A4BF4A445B6441EE516CE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</etc:cellImage>
  <etc:cellImage>
    <xdr:pic>
      <xdr:nvPicPr>
        <xdr:cNvPr id="46" name="ID_08A0FDEFFBC14DA29D589BA1FD5622D4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</etc:cellImage>
  <etc:cellImage>
    <xdr:pic>
      <xdr:nvPicPr>
        <xdr:cNvPr id="47" name="ID_F46D50B82DBF4E4DBCEDCEB54E670F90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</etc:cellImage>
  <etc:cellImage>
    <xdr:pic>
      <xdr:nvPicPr>
        <xdr:cNvPr id="48" name="ID_EFD80A9A07A94F2C8227892790633D9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</etc:cellImage>
  <etc:cellImage>
    <xdr:pic>
      <xdr:nvPicPr>
        <xdr:cNvPr id="49" name="ID_491A2D6CDE95472A8DF582EE81FCCF02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</etc:cellImage>
  <etc:cellImage>
    <xdr:pic>
      <xdr:nvPicPr>
        <xdr:cNvPr id="50" name="ID_DF69A4389833403E87C7EB637D9152F7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</etc:cellImage>
  <etc:cellImage>
    <xdr:pic>
      <xdr:nvPicPr>
        <xdr:cNvPr id="51" name="ID_E75908695B0F41FEA0636B5516CFCCED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</etc:cellImage>
  <etc:cellImage>
    <xdr:pic>
      <xdr:nvPicPr>
        <xdr:cNvPr id="52" name="ID_E3A8C2D14B63452E976895A08F715045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</etc:cellImage>
  <etc:cellImage>
    <xdr:pic>
      <xdr:nvPicPr>
        <xdr:cNvPr id="53" name="ID_75FD6E31479B446393EDA7AC2AF0B864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</etc:cellImage>
  <etc:cellImage>
    <xdr:pic>
      <xdr:nvPicPr>
        <xdr:cNvPr id="54" name="ID_E937D74C62B74A17B0A0A537D5C5F72D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</etc:cellImage>
  <etc:cellImage>
    <xdr:pic>
      <xdr:nvPicPr>
        <xdr:cNvPr id="55" name="ID_E9E34037BAF64FDE82729A0A80AD36D3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</etc:cellImage>
  <etc:cellImage>
    <xdr:pic>
      <xdr:nvPicPr>
        <xdr:cNvPr id="56" name="ID_436BDD67F7D740CD9F316008F1D44D4C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</etc:cellImage>
  <etc:cellImage>
    <xdr:pic>
      <xdr:nvPicPr>
        <xdr:cNvPr id="57" name="ID_4D5D3BBA8AA0473CAB19FE0C97B12527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</etc:cellImage>
  <etc:cellImage>
    <xdr:pic>
      <xdr:nvPicPr>
        <xdr:cNvPr id="58" name="ID_790A37BAB54D4217A53EE8DF5D030563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</etc:cellImage>
  <etc:cellImage>
    <xdr:pic>
      <xdr:nvPicPr>
        <xdr:cNvPr id="59" name="ID_86A4F75439114FF8AB04ED8643FC2C5F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</etc:cellImage>
  <etc:cellImage>
    <xdr:pic>
      <xdr:nvPicPr>
        <xdr:cNvPr id="60" name="ID_5567162D0AE8403392E7B16C3BE9CA50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</etc:cellImage>
  <etc:cellImage>
    <xdr:pic>
      <xdr:nvPicPr>
        <xdr:cNvPr id="61" name="ID_6FE98F0D3B0D47188F0339AC5A8A5870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</etc:cellImage>
  <etc:cellImage>
    <xdr:pic>
      <xdr:nvPicPr>
        <xdr:cNvPr id="62" name="ID_B34717BA811C4D26A217BB1EC2FDAEFA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</etc:cellImage>
  <etc:cellImage>
    <xdr:pic>
      <xdr:nvPicPr>
        <xdr:cNvPr id="63" name="ID_B5EEF11B47B643F1B9A17B215E234F13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</etc:cellImage>
  <etc:cellImage>
    <xdr:pic>
      <xdr:nvPicPr>
        <xdr:cNvPr id="64" name="ID_443F8BBBE09F482C9E925996D49EBD82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<sst xmlns="http://schemas.openxmlformats.org/spreadsheetml/2006/main" count="3599" uniqueCount="1420">
  <si>
    <t>品牌</t>
  </si>
  <si>
    <t>计数项:ASIN</t>
  </si>
  <si>
    <t>CRZ YOGA</t>
  </si>
  <si>
    <t>Stelle</t>
  </si>
  <si>
    <t>PINSPARK</t>
  </si>
  <si>
    <t>OZICERD</t>
  </si>
  <si>
    <t>JoyGirl</t>
  </si>
  <si>
    <t>Ekouaer</t>
  </si>
  <si>
    <t>DLOODA</t>
  </si>
  <si>
    <t>ANIVIVO</t>
  </si>
  <si>
    <t>Tivifox</t>
  </si>
  <si>
    <t>SANTINY</t>
  </si>
  <si>
    <t>SANGTREE</t>
  </si>
  <si>
    <t>ODODOS</t>
  </si>
  <si>
    <t>Made By Johnny</t>
  </si>
  <si>
    <t>LXNMGO</t>
  </si>
  <si>
    <t>HOKOYI</t>
  </si>
  <si>
    <t>Ewedoos</t>
  </si>
  <si>
    <t>CHRLEISURE</t>
  </si>
  <si>
    <t>Century Star</t>
  </si>
  <si>
    <t>Blaosn</t>
  </si>
  <si>
    <t>Avidlove</t>
  </si>
  <si>
    <t>AUTOMET</t>
  </si>
  <si>
    <t>Aurgelmir</t>
  </si>
  <si>
    <t>ZHANCHTONG</t>
  </si>
  <si>
    <t>Yollmart</t>
  </si>
  <si>
    <t>Yknktstc</t>
  </si>
  <si>
    <t>Yewsea</t>
  </si>
  <si>
    <t>XNMAYA</t>
  </si>
  <si>
    <t>Xioker</t>
  </si>
  <si>
    <t>WOWENY</t>
  </si>
  <si>
    <t>Werena</t>
  </si>
  <si>
    <t>Viodia</t>
  </si>
  <si>
    <t>Vigorics</t>
  </si>
  <si>
    <t>TTCM</t>
  </si>
  <si>
    <t>TONCHENGSD</t>
  </si>
  <si>
    <t>THHGPO</t>
  </si>
  <si>
    <t>SCKTOO</t>
  </si>
  <si>
    <t>RBX</t>
  </si>
  <si>
    <t>Rbenxia</t>
  </si>
  <si>
    <t>Raroauf</t>
  </si>
  <si>
    <t>Oyamiki</t>
  </si>
  <si>
    <t>NORMOV</t>
  </si>
  <si>
    <t>Navneet</t>
  </si>
  <si>
    <t>MIER</t>
  </si>
  <si>
    <t>MCEDAR</t>
  </si>
  <si>
    <t>Komorebi</t>
  </si>
  <si>
    <t>Joyingtwo</t>
  </si>
  <si>
    <t>JACK SMITH</t>
  </si>
  <si>
    <t>IUGA</t>
  </si>
  <si>
    <t>Ibeauti</t>
  </si>
  <si>
    <t>Hoerev</t>
  </si>
  <si>
    <t>Hiwzffy</t>
  </si>
  <si>
    <t>Heathyoga</t>
  </si>
  <si>
    <t>GOLDSTITCH</t>
  </si>
  <si>
    <t>Ganado</t>
  </si>
  <si>
    <t>G Gradual</t>
  </si>
  <si>
    <t>FireSwan</t>
  </si>
  <si>
    <t>EARKOHA</t>
  </si>
  <si>
    <t>Dressever</t>
  </si>
  <si>
    <t>DERCA</t>
  </si>
  <si>
    <t>CZRLHYT</t>
  </si>
  <si>
    <t>Cresay</t>
  </si>
  <si>
    <t>COOTRY</t>
  </si>
  <si>
    <t>Betaven</t>
  </si>
  <si>
    <t>BALEAF</t>
  </si>
  <si>
    <t>ANRABESS</t>
  </si>
  <si>
    <t>American Trends</t>
  </si>
  <si>
    <t>Afibi</t>
  </si>
  <si>
    <t>A2Y</t>
  </si>
  <si>
    <t>(空白)</t>
  </si>
  <si>
    <t>总计</t>
  </si>
  <si>
    <t>图片</t>
  </si>
  <si>
    <t>ASIN</t>
  </si>
  <si>
    <t>SKU</t>
  </si>
  <si>
    <t>详细参数</t>
  </si>
  <si>
    <t>品牌链接</t>
  </si>
  <si>
    <t>商品标题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</si>
  <si>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</si>
  <si>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</si>
  <si>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</si>
  <si>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</si>
  <si>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</si>
  <si>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</si>
  <si>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</si>
  <si>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</si>
  <si>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</si>
  <si>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</si>
  <si>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</si>
  <si>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</si>
  <si>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</si>
  <si>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</si>
  <si>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</si>
  <si>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</si>
  <si>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</si>
  <si>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</si>
  <si>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</si>
  <si>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</si>
  <si>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</si>
  <si>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
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</si>
  <si>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</si>
  <si>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</si>
  <si>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</si>
  <si>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</si>
  <si>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</si>
  <si>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</si>
  <si>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</si>
  <si>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</si>
  <si>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</si>
  <si>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</si>
  <si>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</si>
  <si>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</si>
  <si>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</si>
  <si>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</si>
  <si>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</si>
  <si>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</si>
  <si>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</si>
  <si>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</si>
  <si>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</si>
  <si>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</si>
  <si>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</si>
  <si>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</si>
  <si>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</si>
  <si>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</si>
  <si>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</si>
  <si>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</si>
  <si>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</si>
  <si>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>B0CTT1LCHS</t>
  </si>
  <si>
    <t>Size: Medium | Color: Black</t>
  </si>
  <si>
    <t>Fabric type: 75% Nylon, 25% Spandex | Origin: Imported | Closure type: Zipper | Length: Mini</t>
  </si>
  <si>
    <t>https://www.amazon.com/stores/Pinspark/page/73638A0C-799E-4A9E-BD52-A76030463125?ref_=ast_bln&amp;store_ref=bl_ast_dp_brandLogo_sto</t>
  </si>
  <si>
    <t>PINSPARK Womens Tennis Skirt Pleated Athletic Skirts with Pockets Shorts High Waisted Golf Skort for Workout Pickleball</t>
  </si>
  <si>
    <t>https://www.amazon.com/dp/B0CTT1LCHS?psc=1</t>
  </si>
  <si>
    <t>https://m.media-amazon.com/images/I/41PQXMaTMiL._AC_SR600,600_.jpg</t>
  </si>
  <si>
    <t>B0D31QPQK8</t>
  </si>
  <si>
    <t>Clothing, Shoes &amp; Jewelry:Women:Clothing:Active:Skirts &amp; Skorts:Active Skirts</t>
  </si>
  <si>
    <t>Clothing, Shoes &amp; Jewelry</t>
  </si>
  <si>
    <t>Women's Athletic Skorts
Women's Tennis Skorts
Women's Athletic Skirts</t>
  </si>
  <si>
    <t>2
2
3</t>
  </si>
  <si>
    <t>1,000</t>
  </si>
  <si>
    <t>2024-04-29</t>
  </si>
  <si>
    <t>FBA</t>
  </si>
  <si>
    <t>CN</t>
  </si>
  <si>
    <t xml:space="preserve">公司名称：dongguanshiqiufengshangmaoyouxiangongsi
办公地址：
蚬涌苏屋路三街1号105室
东莞市
万江街道
广东省
523000
CN
</t>
  </si>
  <si>
    <t>https://www.amazon.com/gp/help/seller/at-a-glance.html/ref=dp_merchant_link?seller=A154O6JL5L5T2Z</t>
  </si>
  <si>
    <t>Y</t>
  </si>
  <si>
    <t/>
  </si>
  <si>
    <t>6.74 ounces</t>
  </si>
  <si>
    <t>191.08 g</t>
  </si>
  <si>
    <t>11.73 x 10.24 x 1.3 inches</t>
  </si>
  <si>
    <t>29.79 x 26.01 x 3.30 cm</t>
  </si>
  <si>
    <t>B0DFGTWJYL</t>
  </si>
  <si>
    <t>Size: Medium | Color: Lemon Butter</t>
  </si>
  <si>
    <t>Fabric type: Body:75%Nylon,25%Spandex;Liner:80%Nylon,20%Spandex | Origin: Imported | Length: Above the Knee | Rise style: High Rise | Country of Origin: China</t>
  </si>
  <si>
    <t>https://www.amazon.com/stores/StelleAthletica/page/92A01961-B5D1-4EA4-A438-84B406B2808B?ref_=ast_bln&amp;store_ref=bl_ast_dp_brandLogo_sto</t>
  </si>
  <si>
    <t>Stelle Women's Tennis Golf Skirts High Waisted with Pockets Inner Shorts for Athletic Skorts Sports Running Pickleball</t>
  </si>
  <si>
    <t>https://www.amazon.com/dp/B0DFGTWJYL?psc=1</t>
  </si>
  <si>
    <t>https://m.media-amazon.com/images/I/31ode6tTOcL._AC_SR600,600_.jpg</t>
  </si>
  <si>
    <t>B0BWK6TP4D</t>
  </si>
  <si>
    <t>Women's Tennis Skorts
Women's Athletic Skorts
Women's Athletic Skirts</t>
  </si>
  <si>
    <t>21
39
42</t>
  </si>
  <si>
    <t>100</t>
  </si>
  <si>
    <t>2023-02-21</t>
  </si>
  <si>
    <t>Stelle Athletica</t>
  </si>
  <si>
    <t>US</t>
  </si>
  <si>
    <t xml:space="preserve">公司名称：CA
电话号码：510-397-1725
办公地址：
21068 Cabot Blvd
HAYWARD
CA
94545
US
</t>
  </si>
  <si>
    <t>https://www.amazon.com/gp/help/seller/at-a-glance.html/ref=dp_merchant_link?seller=A1ACJK2TICWQAI</t>
  </si>
  <si>
    <t>7.52 ounces</t>
  </si>
  <si>
    <t>213.19 g</t>
  </si>
  <si>
    <t>7 x 4 x 0.8 inches</t>
  </si>
  <si>
    <t>17.78 x 10.16 x 2.03 cm</t>
  </si>
  <si>
    <t>B07F428M5Y</t>
  </si>
  <si>
    <t>Size: Medium | Color: A-black</t>
  </si>
  <si>
    <t>Fabric type: 95% Polyester, 5% Spandex | Care instructions: Machine Wash (Max 40°C) | Origin: Imported | Closure type: Elastic | Country of Origin: China</t>
  </si>
  <si>
    <t>https://www.amazon.com/stores/Ekouaer/page/9A1AB698-AD0F-4C23-AEED-46CAC35A1B77?ref_=ast_bln&amp;store_ref=bl_ast_dp_brandLogo_sto</t>
  </si>
  <si>
    <t>Ekouaer Women's Active Performance Skort Lightweight Skirt for Running Tennis Golf Workout Sports</t>
  </si>
  <si>
    <t>https://www.amazon.com/dp/B07F428M5Y?psc=1</t>
  </si>
  <si>
    <t>https://images-na.ssl-images-amazon.com/images/I/61wTjwsKjPL._AC_US600_.jpg</t>
  </si>
  <si>
    <t>B07F3RFJ76</t>
  </si>
  <si>
    <t>Women's Athletic Skirts
Women's Tennis Skirts</t>
  </si>
  <si>
    <t>4
12</t>
  </si>
  <si>
    <t>600</t>
  </si>
  <si>
    <t>26%</t>
  </si>
  <si>
    <t>2018-06-28</t>
  </si>
  <si>
    <t>Ekouaer loungewear</t>
  </si>
  <si>
    <t xml:space="preserve">公司名称：shenzhenshi fuyuchuangyue maoyi youxiangongsi
办公地址：
金湖社区翠荫路488号
</t>
  </si>
  <si>
    <t>https://www.amazon.com/gp/help/seller/at-a-glance.html/ref=dp_merchant_link?seller=A2PG48TKFAAGHH</t>
  </si>
  <si>
    <t>Overall Pick</t>
  </si>
  <si>
    <t>0.44 pounds</t>
  </si>
  <si>
    <t>199.58 g</t>
  </si>
  <si>
    <t>1 x 1 x 1 inches</t>
  </si>
  <si>
    <t>2.54 x 2.54 x 2.54 cm</t>
  </si>
  <si>
    <t>B09VGN36V7</t>
  </si>
  <si>
    <t>Size: Medium | Color: 05 Green Plaid</t>
  </si>
  <si>
    <t>Fabric type: 100% Polyester | Care instructions: Machine Wash | Origin: Imported | Closure type: Zipper | Country of Origin: China</t>
  </si>
  <si>
    <t>https://www.amazon.com/stores/ZHANCHTONG/page/BC0CEDF1-FFFB-4495-BCFE-75079D04CE71?ref_=ast_bln</t>
  </si>
  <si>
    <t>Women's High Waist A-Line Pleated Mini Skirt Short Tennis Skirt</t>
  </si>
  <si>
    <t>https://www.amazon.com/dp/B09VGN36V7?psc=1</t>
  </si>
  <si>
    <t>https://m.media-amazon.com/images/I/418F5ZF9JJL._AC_SR600,600_.jpg</t>
  </si>
  <si>
    <t>B08D6GFJNL</t>
  </si>
  <si>
    <t>Women's Athletic Skirts</t>
  </si>
  <si>
    <t>11</t>
  </si>
  <si>
    <t>200</t>
  </si>
  <si>
    <t>2020-07-16</t>
  </si>
  <si>
    <t>Qingcheng Store</t>
  </si>
  <si>
    <t xml:space="preserve">公司名称：Anhui Qingcheng Trading Co., Ltd.
办公地址：
223-224, Commercial KK Building, District I, Jingshang Trade
Hefei City
Xinzhan District
Anhui Province
230000
CN
</t>
  </si>
  <si>
    <t>https://www.amazon.com/gp/help/seller/at-a-glance.html/ref=dp_merchant_link?seller=A2YY24OTPMCH3O</t>
  </si>
  <si>
    <t>green plaid skirt</t>
  </si>
  <si>
    <t>1.6 ounces</t>
  </si>
  <si>
    <t>45.36 g</t>
  </si>
  <si>
    <t>4 x 4 x 0.1 inches</t>
  </si>
  <si>
    <t>10.16 x 10.16 x 0.25 cm</t>
  </si>
  <si>
    <t>B08KWCB219</t>
  </si>
  <si>
    <t>Fabric type: 95% Polyester, 5% Spandex | Care instructions: Machine Wash | Origin: Imported | Closure type: Zipper</t>
  </si>
  <si>
    <t>https://www.amazon.com/stores/SCKTOO/page/1974721A-A938-42CB-A356-7FC7A39649EC?ref_=ast_bln</t>
  </si>
  <si>
    <t>SCKTOO Womens Girl High Waisted Pleated Tennis Skirt School A-Line Skater Skirts with Lining Shorts</t>
  </si>
  <si>
    <t>https://www.amazon.com/dp/B08KWCB219?psc=1</t>
  </si>
  <si>
    <t>https://images-na.ssl-images-amazon.com/images/I/61q3vTubnaL._AC_US600_.jpg</t>
  </si>
  <si>
    <t>B09MBNYQKS</t>
  </si>
  <si>
    <t>2</t>
  </si>
  <si>
    <t>2,000</t>
  </si>
  <si>
    <t>2020-09-25</t>
  </si>
  <si>
    <t>SCKTOO DIRECT</t>
  </si>
  <si>
    <t xml:space="preserve">公司名称：shenzhenshimeitemengkejiyouxiangongsi
办公地址：
坂田街道马安堂社区中兴路10号顺兴工业区D栋厂房505
深圳市
龙岗区
广东省
518100
CN
</t>
  </si>
  <si>
    <t>https://www.amazon.com/gp/help/seller/at-a-glance.html/ref=dp_merchant_link?seller=AAZE6Z1V3K39G</t>
  </si>
  <si>
    <t>scktoo womens girl high waisted pleated tennis ski</t>
  </si>
  <si>
    <t>8.82 ounces</t>
  </si>
  <si>
    <t>250.04 g</t>
  </si>
  <si>
    <t>13.8 x 10 x 0.8 inches</t>
  </si>
  <si>
    <t>35.05 x 25.40 x 2.03 cm</t>
  </si>
  <si>
    <t>B09WMXRBNV</t>
  </si>
  <si>
    <t>Size: Small | Color: Red</t>
  </si>
  <si>
    <t>Fabric type: 100% Polyester | Care instructions: Machine Wash | Origin: Imported | Closure type: Zipper</t>
  </si>
  <si>
    <t>https://www.amazon.com/stores/Weaimtoprovidecustomerbothgoodserviceandbestproductingoodvalue/page/904819AB-6B6A-44FB-8F6E-100C7249A34A?ref_=ast_bln&amp;store_ref=bl_ast_dp_brandLogo_sto</t>
  </si>
  <si>
    <t>SANGTREE Women Girls Pleated Skirts with Shorts, Elastic Waist Uniform Plus Size Tennis Casual Skirt, 2 Years - US 4XL</t>
  </si>
  <si>
    <t>https://www.amazon.com/dp/B09WMXRBNV?psc=1</t>
  </si>
  <si>
    <t>https://m.media-amazon.com/images/I/31jG7SKpoIL._AC_SR600,600_.jpg</t>
  </si>
  <si>
    <t>B0DHFM2CWZ</t>
  </si>
  <si>
    <t>9</t>
  </si>
  <si>
    <t>2024-09-18</t>
  </si>
  <si>
    <t>Shop for Good Company</t>
  </si>
  <si>
    <t xml:space="preserve">公司名称：Zhengqiang Zhao
办公地址：
公园东南小汪楼13#-5-301
信都区
邢台市
河北
054000
CN
</t>
  </si>
  <si>
    <t>https://www.amazon.com/gp/help/seller/at-a-glance.html/ref=dp_merchant_link?seller=A1I3Z4ZI1HXHLL</t>
  </si>
  <si>
    <t>red pleated skirt girls</t>
  </si>
  <si>
    <t>11.36 ounces</t>
  </si>
  <si>
    <t>322.05 g</t>
  </si>
  <si>
    <t>10.43 x 10.04 x 2.6 inches</t>
  </si>
  <si>
    <t>26.49 x 25.50 x 6.60 cm</t>
  </si>
  <si>
    <t>B08F76JT89</t>
  </si>
  <si>
    <t>Size: Large | Color: Red</t>
  </si>
  <si>
    <t>https://www.amazon.com/stores/TONCHENGSD/page/D1F889B5-B22C-46BE-AC2E-7AD8FD5B9FC0?ref_=ast_bln</t>
  </si>
  <si>
    <t>TONCHENGSD Women's High Waist Pleated Mini Skirt Skater Tennis Skirt</t>
  </si>
  <si>
    <t>https://www.amazon.com/dp/B08F76JT89?psc=1</t>
  </si>
  <si>
    <t>https://m.media-amazon.com/images/I/4163dP1CSCL._AC_SR600,600_.jpg</t>
  </si>
  <si>
    <t>B089SS8KQQ</t>
  </si>
  <si>
    <t>1
2</t>
  </si>
  <si>
    <t>300</t>
  </si>
  <si>
    <t>2020-06-07</t>
  </si>
  <si>
    <t>TONCHENGSD LTD</t>
  </si>
  <si>
    <t xml:space="preserve">公司名称：Sportdo
办公地址：
淮海大道1188号京商商贸城G区GH栋401室
合肥
新站区
安徽
230000
CN
</t>
  </si>
  <si>
    <t>https://www.amazon.com/gp/help/seller/at-a-glance.html/ref=dp_merchant_link?seller=A1ZXMCRCDZE0B3</t>
  </si>
  <si>
    <t>red plus size tennis skirt</t>
  </si>
  <si>
    <t>B0C48V33QT</t>
  </si>
  <si>
    <t>Size: Medium | Color: Red</t>
  </si>
  <si>
    <t>Fabric type: 95% Polyester, 5% Spandex | Care instructions: Machine wash in cold water, tumble dry low | Origin: Imported | Closure type: Drawstring | Country of Origin: China</t>
  </si>
  <si>
    <t>https://www.amazon.com/stores/JoyGirl/page/244B0403-A359-40F4-9EBC-58F880F1B1C0?ref_=ast_bln</t>
  </si>
  <si>
    <t>JoyGirl Womens Pleated Tennis Skirt with Shorts High Waisted Golf Skort Mini Skirt Workout Skirt Athletic Skorts with Pockets</t>
  </si>
  <si>
    <t>https://www.amazon.com/dp/B0C48V33QT?psc=1</t>
  </si>
  <si>
    <t>https://m.media-amazon.com/images/I/41QLBt200kL._AC_SR600,600_.jpg</t>
  </si>
  <si>
    <t>B0C48XKJK2</t>
  </si>
  <si>
    <t>6</t>
  </si>
  <si>
    <t>5%</t>
  </si>
  <si>
    <t>2023-05-03</t>
  </si>
  <si>
    <t xml:space="preserve">公司名称：guangzhouyingfeifuzhuangyouxiangongsi
办公地址：
大龙街长沙路6号202
广州市
番禺区
广东省
510000
CN
</t>
  </si>
  <si>
    <t>https://www.amazon.com/gp/help/seller/at-a-glance.html/ref=dp_merchant_link?seller=AYO07RIYQGDLC</t>
  </si>
  <si>
    <t>14.6 x 13 x 0.38 inches</t>
  </si>
  <si>
    <t>37.08 x 33.02 x 0.97 cm</t>
  </si>
  <si>
    <t>B0771GMVRT</t>
  </si>
  <si>
    <t>Size: Small | Color: Black (Adjustable Tie) | Team Name: Women</t>
  </si>
  <si>
    <t>Fabric type: 100% Polyester | Care instructions: Gentle machine wash or hand wash | Origin: Imported | Closure type: Drawstring | Country of Origin: China</t>
  </si>
  <si>
    <t>Stelle Girls Women Ballet Skirt Dance Wrap Skirt Chiffon Toddler Ballet Skirts</t>
  </si>
  <si>
    <t>https://www.amazon.com/dp/B0771GMVRT?psc=1</t>
  </si>
  <si>
    <t>https://images-na.ssl-images-amazon.com/images/I/61vDzM3w97L._AC_US600_.jpg</t>
  </si>
  <si>
    <t>B0DF67TLZ6</t>
  </si>
  <si>
    <t>Women's Dance Skirts
Women's Athletic Skirts</t>
  </si>
  <si>
    <t>13
17</t>
  </si>
  <si>
    <t>2018-05-09</t>
  </si>
  <si>
    <t>0.81 ounces</t>
  </si>
  <si>
    <t>22.96 g</t>
  </si>
  <si>
    <t>11.5 x 8 x 0.1 inches</t>
  </si>
  <si>
    <t>29.21 x 20.32 x 0.25 cm</t>
  </si>
  <si>
    <t>B0CR9XYTGS</t>
  </si>
  <si>
    <t>Size: Small | Color: Black</t>
  </si>
  <si>
    <t>Fabric type: 87% Polyester, 13% Spandex | Care instructions: Hand Wash Only | Origin: Imported | Closure type: Zipper | Country of Origin: China</t>
  </si>
  <si>
    <t>PINSPARK Tennis Skirts for Women Pleated Athletic Skort Lightweight Golf Skirts with Shorts Pocket Workout Pickleball</t>
  </si>
  <si>
    <t>https://www.amazon.com/dp/B0CR9XYTGS?psc=1</t>
  </si>
  <si>
    <t>https://m.media-amazon.com/images/I/41ol4DcCmSL._AC_SR600,600_.jpg</t>
  </si>
  <si>
    <t>B0D31R2HRF</t>
  </si>
  <si>
    <t>8
9
15</t>
  </si>
  <si>
    <t>5.29 ounces</t>
  </si>
  <si>
    <t>149.97 g</t>
  </si>
  <si>
    <t>9.8 x 7.68 x 0.79 inches</t>
  </si>
  <si>
    <t>24.89 x 19.51 x 2.01 cm</t>
  </si>
  <si>
    <t>B09Y425F5C</t>
  </si>
  <si>
    <t>https://www.amazon.com/stores/Blaosn/page/B0F6364E-0AC6-4DE3-9E97-1E4EC22AC043?ref_=ast_bln&amp;store_ref=bl_ast_dp_brandLogo_sto</t>
  </si>
  <si>
    <t>Blaosn Flowy Athletic Shorts for Women Gym Yoga Workout Running Tennis Skirt Comfy Skort Lounge Cute Clothes Casual Summer</t>
  </si>
  <si>
    <t>https://www.amazon.com/dp/B09Y425F5C?psc=1</t>
  </si>
  <si>
    <t>https://images-na.ssl-images-amazon.com/images/I/61aQM47pBWL._AC_US600_.jpg</t>
  </si>
  <si>
    <t>80</t>
  </si>
  <si>
    <t>400</t>
  </si>
  <si>
    <t>2022-05-04</t>
  </si>
  <si>
    <t xml:space="preserve">公司名称：Longyan Xinluo Wenlian e-commerce Co., Ltd
办公地址：
北城北星工业西路115号816室
龙岩市
新罗区
福建
364030
CN
</t>
  </si>
  <si>
    <t>https://www.amazon.com/gp/help/seller/at-a-glance.html/ref=dp_merchant_link?seller=A2KB57SF0224RC</t>
  </si>
  <si>
    <t>flowy high waisted shorts</t>
  </si>
  <si>
    <t>5.9 x 3.9 x 2 inches</t>
  </si>
  <si>
    <t>14.99 x 9.91 x 5.08 cm</t>
  </si>
  <si>
    <t>B0CRLC1Z89</t>
  </si>
  <si>
    <t>Size: Medium | Color: White</t>
  </si>
  <si>
    <t>Fabric type: Body: 80% Polyester,20% Spandex; Liner: 87% Nylon, 13% Spandex | Origin: Imported | Closure type: Elastic | Length: Above the Knee</t>
  </si>
  <si>
    <t>https://www.amazon.com/stores/Hiwzffy/page/0E999CED-1253-446A-99A2-E1F89E8109CB?ref_=ast_bln</t>
  </si>
  <si>
    <t>Pleated Tennis Skirts for Women High Waisted Golf Skorts Tummy Control Skirts with Shorts Pockets Lightweight</t>
  </si>
  <si>
    <t>https://www.amazon.com/dp/B0CRLC1Z89?psc=1</t>
  </si>
  <si>
    <t>https://m.media-amazon.com/images/I/31j9weR+XDL._AC_SR600,600_.jpg</t>
  </si>
  <si>
    <t>B0CRL6JB9G</t>
  </si>
  <si>
    <t>Women's Tennis Skirts
Women's Athletic Skirts</t>
  </si>
  <si>
    <t>6
7</t>
  </si>
  <si>
    <t>2024-01-04</t>
  </si>
  <si>
    <t xml:space="preserve">公司名称：xiamenlemengdigongyinglianyouxiangongsi
办公地址：
集美区
滨水中二里20号2604室
厦门市
福建
361000
CN
</t>
  </si>
  <si>
    <t>https://www.amazon.com/gp/help/seller/at-a-glance.html/ref=dp_merchant_link?seller=A1CUN78WUCCP7Z</t>
  </si>
  <si>
    <t>7.83 ounces</t>
  </si>
  <si>
    <t>221.98 g</t>
  </si>
  <si>
    <t>13.74 x 10.83 x 0.87 inches</t>
  </si>
  <si>
    <t>34.90 x 27.51 x 2.21 cm</t>
  </si>
  <si>
    <t>B07MHH52QB</t>
  </si>
  <si>
    <t>Size: 12 | Color: A_white</t>
  </si>
  <si>
    <t>Fabric type: 100% Nylon | Care instructions: Machine Wash | Origin: Imported | Closure type: Zipper | Country of Origin: China</t>
  </si>
  <si>
    <t>https://www.amazon.com/stores/HOEREV/page/44798B94-2444-45B3-9FE1-E800FC511526?ref_=ast_bln&amp;store_ref=bl_ast_dp_brandLogo_sto</t>
  </si>
  <si>
    <t>Hoerev Women Girls Short High Waist Pleated Skater Tennis Skirt</t>
  </si>
  <si>
    <t>https://www.amazon.com/dp/B07MHH52QB?psc=1</t>
  </si>
  <si>
    <t>https://m.media-amazon.com/images/I/31PRuU6Fv7L._AC_SR600,600_.jpg</t>
  </si>
  <si>
    <t>B0731FQXTD</t>
  </si>
  <si>
    <t>20</t>
  </si>
  <si>
    <t>2017-06-20</t>
  </si>
  <si>
    <t>HOEREV®</t>
  </si>
  <si>
    <t xml:space="preserve">公司名称：tian shi li feng shi ye shenzhen you xian gong si
办公地址：
39-49 COMMERCIAL ROAD
FIRST FLOOR, OCEANA HOUSE
SOUTHAMPTON
ENGLAND
SO15 1GA
GB
</t>
  </si>
  <si>
    <t>https://www.amazon.com/gp/help/seller/at-a-glance.html/ref=dp_merchant_link?seller=A3QPSK42OYQ7OF</t>
  </si>
  <si>
    <t>white uniform skirt</t>
  </si>
  <si>
    <t>8.11 ounces</t>
  </si>
  <si>
    <t>229.91 g</t>
  </si>
  <si>
    <t>9.72 x 7.64 x 1.85 inches</t>
  </si>
  <si>
    <t>24.69 x 19.41 x 4.70 cm</t>
  </si>
  <si>
    <t>B0CRK7HBBN</t>
  </si>
  <si>
    <t>Fabric type: Body:92% Polyester, 8% Spandex; Liner: 80% Polyester, 20% Spandex | Origin: Imported | Closure type: Zipper | Length: Mini</t>
  </si>
  <si>
    <t>PINSPARK Womens Pleated Tennis Skirt Double Ruffle Golf Skort Tummy Control Athletic Skirts with 3 Pockets Workout Pickleball</t>
  </si>
  <si>
    <t>https://www.amazon.com/dp/B0CRK7HBBN?psc=1</t>
  </si>
  <si>
    <t>https://m.media-amazon.com/images/I/417ZLmmM7DL._AC_SR600,600_.jpg</t>
  </si>
  <si>
    <t>B0D31QY2B8</t>
  </si>
  <si>
    <t>13
24</t>
  </si>
  <si>
    <t>6.7 ounces</t>
  </si>
  <si>
    <t>189.94 g</t>
  </si>
  <si>
    <t>12.4 x 10.35 x 0.63 inches</t>
  </si>
  <si>
    <t>31.50 x 26.29 x 1.60 cm</t>
  </si>
  <si>
    <t>B0CBR858BS</t>
  </si>
  <si>
    <t>Fabric type: 79% Nylon, 21% Spandex | Care instructions: Hand Wash Only | Origin: Imported | Closure type: Pull On</t>
  </si>
  <si>
    <t>https://www.amazon.com/stores/DLOODA/page/C3B44253-824D-4459-81D5-ACB2BAF52CCA?ref_=ast_bln&amp;store_ref=bl_ast_dp_brandLogo_sto</t>
  </si>
  <si>
    <t>Womens Tennis Skirt with Pockets Shorts Crossover High Waisted Athletic Skorts Skirts for Golf Running Workout</t>
  </si>
  <si>
    <t>https://www.amazon.com/dp/B0CBR858BS?psc=1</t>
  </si>
  <si>
    <t>https://images-na.ssl-images-amazon.com/images/I/617oSwSdTNL._AC_US600_.jpg</t>
  </si>
  <si>
    <t>B0CBR82YM5</t>
  </si>
  <si>
    <t>9
12</t>
  </si>
  <si>
    <t>2023-07-11</t>
  </si>
  <si>
    <t>PinhuiHome</t>
  </si>
  <si>
    <t xml:space="preserve">公司名称：huzhoushipinhuifangzhipinyouxiangongsi
办公地址：
振兴路66号202室
湖州市
德清县雷甸镇
浙江省
313219
CN
</t>
  </si>
  <si>
    <t>https://www.amazon.com/gp/help/seller/at-a-glance.html/ref=dp_merchant_link?seller=A1GY02MYETD4XU</t>
  </si>
  <si>
    <t>7.72 x 6.77 x 1.3 inches</t>
  </si>
  <si>
    <t>19.61 x 17.20 x 3.30 cm</t>
  </si>
  <si>
    <t>B0CDXDPBY7</t>
  </si>
  <si>
    <t>https://www.amazon.com/stores/Avidlove/page/6E5DD973-1818-42AC-965A-E648630A6ACA?ref_=ast_bln&amp;store_ref=bl_ast_dp_brandLogo_sto</t>
  </si>
  <si>
    <t>Avidlove Womens Pleated Skirt School Uniform Skirt Mini Skirt Pleated Cheer Skirt</t>
  </si>
  <si>
    <t>https://www.amazon.com/dp/B0CDXDPBY7?psc=1</t>
  </si>
  <si>
    <t>https://images-na.ssl-images-amazon.com/images/I/810csjn8hBL._AC_US600_.jpg</t>
  </si>
  <si>
    <t>Clothing, Shoes &amp; Jewelry:Novelty &amp; More:Clothing:Novelty:Women:Skirts</t>
  </si>
  <si>
    <t>Women's Novelty Skirts
Women's Fashion</t>
  </si>
  <si>
    <t>57
2997</t>
  </si>
  <si>
    <t>50</t>
  </si>
  <si>
    <t>2021-07-26</t>
  </si>
  <si>
    <t xml:space="preserve">公司名称：shenzhenshi yadilafu youxiangongsi
办公地址：
马五路1号2号653
</t>
  </si>
  <si>
    <t>https://www.amazon.com/gp/help/seller/at-a-glance.html/ref=dp_merchant_link?seller=ADQRWGK1A469B</t>
  </si>
  <si>
    <t>7.37 ounces</t>
  </si>
  <si>
    <t>208.94 g</t>
  </si>
  <si>
    <t>9.61 x 8.86 x 1.3 inches</t>
  </si>
  <si>
    <t>24.41 x 22.50 x 3.30 cm</t>
  </si>
  <si>
    <t>B0CPSSXKY2</t>
  </si>
  <si>
    <t>Size: Small | Color: A White</t>
  </si>
  <si>
    <t>Fabric type: BODY:92%POLYESTER,8%ELASTANE; LINING:80%POLYAMIDE,20%ELASTANE | Origin: Imported | Fur description: SANTINY High-rise tennis skirt is designed with sharp pleats and a short, mini-length hem. The cute, flattering fit, with pleats giving it some extra style. So comfortable, flattering, stylish. This tennis skirt's weightless pleats and built-in shorts deliver distraction-free coverage, which make it great for active endeavors Soft fabric liner is sweat-wicking and four-way stretch with a cool, smooth feel. Drop-in hidden pockets on the liner are a brilliant practical addition. | Closure type: Pull On | Country of Origin: China</t>
  </si>
  <si>
    <t>https://www.amazon.com/stores/SANTINY/page/C8E491B5-0FA2-4D0C-979E-F3B657EE0FA5?ref_=ast_bln&amp;store_ref=bl_ast_dp_brandLogo_sto</t>
  </si>
  <si>
    <t>SANTINY Pleated Tennis Skirt for Women with Pockets Shorts Women's High Waisted Lightweight Athletic Golf Skorts Skirts</t>
  </si>
  <si>
    <t>https://www.amazon.com/dp/B0CPSSXKY2?psc=1</t>
  </si>
  <si>
    <t>https://m.media-amazon.com/images/I/51JRi174VpL._AC_SR600,600_.jpg</t>
  </si>
  <si>
    <t>B0CPSTVPDS</t>
  </si>
  <si>
    <t>4
5</t>
  </si>
  <si>
    <t>2023-12-07</t>
  </si>
  <si>
    <t>Santiny</t>
  </si>
  <si>
    <t xml:space="preserve">公司名称：Jin Hua Shi Li Pu Import and Export Co., Ltd.
办公地址：
东上小区10幢17号1-2楼
金华
婺城区
浙江
321000
CN
</t>
  </si>
  <si>
    <t>https://www.amazon.com/gp/help/seller/at-a-glance.html/ref=dp_merchant_link?seller=A3E1SQM5WUB3RR</t>
  </si>
  <si>
    <t>7.05 ounces</t>
  </si>
  <si>
    <t>199.86 g</t>
  </si>
  <si>
    <t>7.56 x 7.4 x 2.36 inches</t>
  </si>
  <si>
    <t>19.20 x 18.80 x 5.99 cm</t>
  </si>
  <si>
    <t>B09F6MPHJB</t>
  </si>
  <si>
    <t>Size: Small | Color: White</t>
  </si>
  <si>
    <t>Fabric type: 80% Polyester, 20% Spandex | Care instructions: Machine Wash | Origin: Imported | Closure type: Pull On | Country of Origin: China</t>
  </si>
  <si>
    <t>https://www.amazon.com/stores/Yknktstc/page/C6C27C07-3AC9-479F-BE59-C3BAEEF29A0D?ref_=ast_bln&amp;store_ref=bl_ast_dp_brandLogo_sto</t>
  </si>
  <si>
    <t>Yknktstc Women Tennis Skirt with Pocket Pleated Golf Skirt Workout Running Athletic Skort</t>
  </si>
  <si>
    <t>https://www.amazon.com/dp/B09F6MPHJB?psc=1</t>
  </si>
  <si>
    <t>https://m.media-amazon.com/images/I/415eHQhw2AL._AC_SR600,600_.jpg</t>
  </si>
  <si>
    <t>B09PH4N2ZF</t>
  </si>
  <si>
    <t>26
46</t>
  </si>
  <si>
    <t>2021-12-30</t>
  </si>
  <si>
    <t>Buasuces</t>
  </si>
  <si>
    <t xml:space="preserve">公司名称：Yu xiaoxi
办公地址：
车陂街道车陂联合社区西区4栋402室
广州市
天河区
广东省
510660
CN
</t>
  </si>
  <si>
    <t>https://www.amazon.com/gp/help/seller/at-a-glance.html/ref=dp_merchant_link?seller=A3TYFLD94WLE02</t>
  </si>
  <si>
    <t>golf skorts women</t>
  </si>
  <si>
    <t>6.35 Ounces</t>
  </si>
  <si>
    <t>180.02 g</t>
  </si>
  <si>
    <t>7.87 x 3.94 x 1.97 inches</t>
  </si>
  <si>
    <t>19.99 x 10.01 x 5.00 cm</t>
  </si>
  <si>
    <t>B09VL9JM7B</t>
  </si>
  <si>
    <t>Size: Small | Color: #1 Black（side Pockets）</t>
  </si>
  <si>
    <t>Fabric type: 74% polyamid,26% spandex | Care instructions: Machine Wash, better with laundry bag | Origin: Imported | Closure type: Pull On | Country of Origin: China</t>
  </si>
  <si>
    <t>https://www.amazon.com/stores/Navneet/page/BB8E09CF-FBE8-49DC-A070-676B5E9179E6?ref_=ast_bln&amp;store_ref=bl_ast_dp_brandLogo_sto</t>
  </si>
  <si>
    <t>Navneet Women Tennis Skirts with Pockets High Waisted Golf Skirts Athletic Skorts Pleated Mini Skirt Workout Sport Pickleball</t>
  </si>
  <si>
    <t>https://www.amazon.com/dp/B09VL9JM7B?psc=1</t>
  </si>
  <si>
    <t>https://m.media-amazon.com/images/I/41V7fn15teL._AC_SR600,600_.jpg</t>
  </si>
  <si>
    <t>B0D461G79C</t>
  </si>
  <si>
    <t>10
14</t>
  </si>
  <si>
    <t>10%</t>
  </si>
  <si>
    <t>2018-03-27</t>
  </si>
  <si>
    <t>Navneet US</t>
  </si>
  <si>
    <t xml:space="preserve">公司名称：GUANGZHOU JUN RUN TECHNOLOGY
办公地址：
永平街永泰磨刀南街80号1002之4191房
广州
白云
广东
510000
CN
</t>
  </si>
  <si>
    <t>https://www.amazon.com/gp/help/seller/at-a-glance.html/ref=dp_merchant_link?seller=A23H347ORJGANQ</t>
  </si>
  <si>
    <t>5.61 ounces</t>
  </si>
  <si>
    <t>159.04 g</t>
  </si>
  <si>
    <t>11.89 x 9.09 x 1.26 inches</t>
  </si>
  <si>
    <t>30.20 x 23.09 x 3.20 cm</t>
  </si>
  <si>
    <t>B099PPF92T</t>
  </si>
  <si>
    <t>Size: Medium | Color: Green Lagoon</t>
  </si>
  <si>
    <t>Fabric type: 85% Polyester, 15% Spandex | Care instructions: Machine Wash | Origin: Imported | Closure type: Elastic | Country of Origin: China</t>
  </si>
  <si>
    <t>https://www.amazon.com/stores/MCEDAR/page/225ADAA0-EEC7-42A2-9054-3F6BD95CBE76?ref_=ast_bln&amp;store_ref=bl_ast_dp_brandLogo_sto</t>
  </si>
  <si>
    <t>MCEDAR Athletic Tennis Golf Skorts Skirts for Women with Pocket Workout Running Sports Pleated Skirts Casual</t>
  </si>
  <si>
    <t>https://www.amazon.com/dp/B099PPF92T?psc=1</t>
  </si>
  <si>
    <t>https://images-na.ssl-images-amazon.com/images/I/61S6phic62L._AC_US600_.jpg</t>
  </si>
  <si>
    <t>B098DGLK8Y</t>
  </si>
  <si>
    <t>11
17</t>
  </si>
  <si>
    <t>500</t>
  </si>
  <si>
    <t>2021-06-30</t>
  </si>
  <si>
    <t>BYWLKJLAOSHI</t>
  </si>
  <si>
    <t xml:space="preserve">公司名称：Yiwushibenchendianzishangwuyouxiangongsi
办公地址：
义乌市江东街道
龚大塘1区63号楼2单元301室
金华市
浙江
322000
CN
</t>
  </si>
  <si>
    <t>https://www.amazon.com/gp/help/seller/at-a-glance.html/ref=dp_merchant_link?seller=A1FKJ6TBSHW1EW</t>
  </si>
  <si>
    <t>13.39 x 9.49 x 1.1 inches</t>
  </si>
  <si>
    <t>34.01 x 24.10 x 2.79 cm</t>
  </si>
  <si>
    <t>B0CSWGZ721</t>
  </si>
  <si>
    <t>Fabric type: 100% Polyester | Origin: Imported | Closure type: Zipper | Length: Above the Knee | Country of Origin: China</t>
  </si>
  <si>
    <t>https://www.amazon.com/stores/CHRLEISURE/page/D82C11C2-31CD-4138-864C-027A126EF08E?ref_=ast_bln&amp;store_ref=bl_ast_dp_brandLogo_sto</t>
  </si>
  <si>
    <t>CHRLEISURE Women Tennis Golf Skirt with Pockets - High Waisted Golf Pleated Athletic Workout Dress Running Skort</t>
  </si>
  <si>
    <t>https://www.amazon.com/dp/B0CSWGZ721?psc=1</t>
  </si>
  <si>
    <t>https://m.media-amazon.com/images/I/31p25O3DlZL._AC_SR600,600_.jpg</t>
  </si>
  <si>
    <t>B0CSWLD1CV</t>
  </si>
  <si>
    <t>8
10</t>
  </si>
  <si>
    <t>2024-01-19</t>
  </si>
  <si>
    <t xml:space="preserve">公司名称：yiwuouyejinchukouyouxiangongsi
办公地址：
义乌市北苑街道宗泽北路511号2楼201
金华市
金华
浙江
322000
CN
</t>
  </si>
  <si>
    <t>https://www.amazon.com/gp/help/seller/at-a-glance.html/ref=dp_merchant_link?seller=A26D3SMGY2WM2I</t>
  </si>
  <si>
    <t>11.99 ounces</t>
  </si>
  <si>
    <t>339.91 g</t>
  </si>
  <si>
    <t>8.27 x 10.24 x 0.39 inches</t>
  </si>
  <si>
    <t>21.01 x 26.01 x 0.99 cm</t>
  </si>
  <si>
    <t>B0D3HJ9VYD</t>
  </si>
  <si>
    <t>Fabric type: 80% Nylon, 20% Spandex | Care instructions: Machine wash in cold water, tumble dry low | Origin: Imported | Closure type: Pull On | Country of Origin: China</t>
  </si>
  <si>
    <t>https://www.amazon.com/stores/ODODOS/page/4EE07D3A-483C-4E62-A43F-1E8D9A75F92A?ref_=ast_bln&amp;store_ref=bl_ast_dp_brandLogo_sto</t>
  </si>
  <si>
    <t>ODODOS Women's Athletic Tennis Skorts with Pockets Built-in Shorts Golf Active Skirts for Sports Running Gym Training</t>
  </si>
  <si>
    <t>https://www.amazon.com/dp/B0D3HJ9VYD?psc=1</t>
  </si>
  <si>
    <t>https://images-na.ssl-images-amazon.com/images/I/61K-g8n-4rL._AC_US600_.jpg</t>
  </si>
  <si>
    <t>B0D5XMP1P7</t>
  </si>
  <si>
    <t>14
21</t>
  </si>
  <si>
    <t>2024-06-02</t>
  </si>
  <si>
    <t>CN(HK)</t>
  </si>
  <si>
    <t xml:space="preserve">公司名称：HK FOUR IN ONE CO., LIMITED
办公地址：
Unit 201, 2/F, Two Harbourfront, 22 Tak Fung Street
</t>
  </si>
  <si>
    <t>https://www.amazon.com/gp/help/seller/at-a-glance.html/ref=dp_merchant_link?seller=A1HPK4MEBNYOYY</t>
  </si>
  <si>
    <t>6.38 ounces</t>
  </si>
  <si>
    <t>180.87 g</t>
  </si>
  <si>
    <t>9.69 x 6.89 x 1.18 inches</t>
  </si>
  <si>
    <t>24.61 x 17.50 x 3.00 cm</t>
  </si>
  <si>
    <t>B0CTBBGFM5</t>
  </si>
  <si>
    <t>Fabric type: 79% Nylon,21% Spandex | Care instructions: Machine Wash | Origin: Imported | Closure type: Elastic | Country of Origin: China</t>
  </si>
  <si>
    <t>Tennis Skirt for Women with Pockets Shorts Crossover High Waisted Athletic Golf Skorts Running Workout Skirts 2 in 1</t>
  </si>
  <si>
    <t>https://www.amazon.com/dp/B0CTBBGFM5?psc=1</t>
  </si>
  <si>
    <t>https://images-na.ssl-images-amazon.com/images/I/51+64ytsRSL._AC_US600_.jpg</t>
  </si>
  <si>
    <t>B0CTCBTWNW</t>
  </si>
  <si>
    <t>7
8</t>
  </si>
  <si>
    <t>2024-03-14</t>
  </si>
  <si>
    <t>Feimai</t>
  </si>
  <si>
    <t xml:space="preserve">公司名称：Hangzhou Feimai Textile Co., Ltd
办公地址：
东湖街道达与路6号
3幢107室
杭州市
临平区
浙江省
311199
CN
</t>
  </si>
  <si>
    <t>https://www.amazon.com/gp/help/seller/at-a-glance.html/ref=dp_merchant_link?seller=A2DC1A8ZMZHZKL</t>
  </si>
  <si>
    <t>4.66 ounces</t>
  </si>
  <si>
    <t>132.11 g</t>
  </si>
  <si>
    <t>16 x 17 x 0.5 inches</t>
  </si>
  <si>
    <t>40.64 x 43.18 x 1.27 cm</t>
  </si>
  <si>
    <t>B0CNSX743S</t>
  </si>
  <si>
    <t>Avidlove Pleated Mini Skirt Plaid Skirts High Waist A Line Skater Skirt for Lingerie Schoolgirl</t>
  </si>
  <si>
    <t>https://www.amazon.com/dp/B0CNSX743S?psc=1</t>
  </si>
  <si>
    <t>https://m.media-amazon.com/images/I/31vDCqnuAxL._AC_SR600,600_.jpg</t>
  </si>
  <si>
    <t>Women's Exotic Costumes</t>
  </si>
  <si>
    <t>49</t>
  </si>
  <si>
    <t>2021-09-21</t>
  </si>
  <si>
    <t>2.82 ounces</t>
  </si>
  <si>
    <t>79.95 g</t>
  </si>
  <si>
    <t>7.87 x 7.09 x 0.39 inches</t>
  </si>
  <si>
    <t>19.99 x 18.01 x 0.99 cm</t>
  </si>
  <si>
    <t>B0C9GTRNBT</t>
  </si>
  <si>
    <t>https://www.amazon.com/stores/VIGORICS/page/FEC2A707-E5BF-40D3-94B7-CB2E20B911AC?ref_=ast_bln&amp;store_ref=bl_ast_dp_brandLogo_sto</t>
  </si>
  <si>
    <t>Vigorics Women's High Waist Ruffle Mini Skirt Cute Tiered Short Skirt with Shorts Underneath</t>
  </si>
  <si>
    <t>https://www.amazon.com/dp/B0C9GTRNBT?psc=1</t>
  </si>
  <si>
    <t>https://m.media-amazon.com/images/I/41PyIjbn9gL._AC_SR600,600_.jpg</t>
  </si>
  <si>
    <t>Clothing, Shoes &amp; Jewelry:Women:Clothing:Skirts</t>
  </si>
  <si>
    <t>Women's Skirts</t>
  </si>
  <si>
    <t>109</t>
  </si>
  <si>
    <t>2023-06-26</t>
  </si>
  <si>
    <t>Vigorics Fashion</t>
  </si>
  <si>
    <t xml:space="preserve">公司名称：XU CHENG
办公地址：
南村镇员岗村白庙坊右大街三巷1号
广州市
番禺区
广东省
510000
CN
</t>
  </si>
  <si>
    <t>https://www.amazon.com/gp/help/seller/at-a-glance.html/ref=dp_merchant_link?seller=AFA7SX9CHJSXJ</t>
  </si>
  <si>
    <t>10.31 x 8.86 x 1.46 inches</t>
  </si>
  <si>
    <t>26.19 x 22.50 x 3.71 cm</t>
  </si>
  <si>
    <t>B0B1H4YWW2</t>
  </si>
  <si>
    <t>Size: Medium | Color: Sky Blue</t>
  </si>
  <si>
    <t>Fabric type: 88% Polyester, 12% Spandex | Care instructions: Machine Wash | Origin: Imported | Closure type: Pull On | Country of Origin: China</t>
  </si>
  <si>
    <t>https://www.amazon.com/stores/ANiceShinyNewTomorrow/page/3FE714BA-38BE-45D6-9058-4861F987D97B?ref_=ast_bln&amp;store_ref=bl_ast_dp_brandLogo_sto</t>
  </si>
  <si>
    <t>IUGA Tennis Skirts for Women with Pockets Shorts Athletic Golf Skorts Skirts for Women High Waisted Running Workout Skorts</t>
  </si>
  <si>
    <t>https://www.amazon.com/dp/B0B1H4YWW2?psc=1</t>
  </si>
  <si>
    <t>https://m.media-amazon.com/images/I/31obBmkVv2L._AC_SR600,600_.jpg</t>
  </si>
  <si>
    <t>B0B1HJQ3TH</t>
  </si>
  <si>
    <t>10
11
19</t>
  </si>
  <si>
    <t>2022-06-14</t>
  </si>
  <si>
    <t>iuga</t>
  </si>
  <si>
    <t xml:space="preserve">公司名称：REN AOXIANG
办公地址：
龙洲南路新世界梓山湖44栋04房
益阳市
赫山区
湖南
413000
CN
</t>
  </si>
  <si>
    <t>https://www.amazon.com/gp/help/seller/at-a-glance.html/ref=dp_merchant_link?seller=AUNL1S7DQKJAW</t>
  </si>
  <si>
    <t>9.14 ounces</t>
  </si>
  <si>
    <t>259.11 g</t>
  </si>
  <si>
    <t>8.86 x 5.2 x 2.28 inches</t>
  </si>
  <si>
    <t>22.50 x 13.21 x 5.79 cm</t>
  </si>
  <si>
    <t>B0CSYVXRSZ</t>
  </si>
  <si>
    <t>Size: Large | Color: Black</t>
  </si>
  <si>
    <t>Fabric type: 100% Polyester | Care instructions: Machine Wash and Iron as Needed | Origin: Imported | Closure type: Zipper | Country of Origin: China</t>
  </si>
  <si>
    <t>CHRLEISURE Women Tennis Skirts Crossover High Waisted Pleated Workout Athletic Golf Skort Skirts with Pockets</t>
  </si>
  <si>
    <t>https://www.amazon.com/dp/B0CSYVXRSZ?psc=1</t>
  </si>
  <si>
    <t>https://m.media-amazon.com/images/I/416H76bIRSL._AC_SR600,600_.jpg</t>
  </si>
  <si>
    <t>B0CSYNKD7Z</t>
  </si>
  <si>
    <t>21
32</t>
  </si>
  <si>
    <t>2024-01-21</t>
  </si>
  <si>
    <t>0.71 ounces</t>
  </si>
  <si>
    <t>20.13 g</t>
  </si>
  <si>
    <t>8.27 x 6.3 x 0.39 inches</t>
  </si>
  <si>
    <t>21.01 x 16.00 x 0.99 cm</t>
  </si>
  <si>
    <t>B0CPSP57J1</t>
  </si>
  <si>
    <t>https://www.amazon.com/stores/GGradual/page/83E26C48-D353-4DB2-BBB1-1B1E939F003F?ref_=ast_bln&amp;store_ref=bl_ast_dp_brandLogo_sto</t>
  </si>
  <si>
    <t>Women's Golf Skirts Skort 4 Side Pockets High Waisted Stretchy Tennis Skirt with Short Athletic Casual</t>
  </si>
  <si>
    <t>https://www.amazon.com/dp/B0CPSP57J1?psc=1</t>
  </si>
  <si>
    <t>https://m.media-amazon.com/images/I/51NQ-X4qLyL._AC_SR600,600_.jpg</t>
  </si>
  <si>
    <t>Clothing, Shoes &amp; Jewelry:Women:Clothing:Active:Skirts &amp; Skorts:Active Skorts</t>
  </si>
  <si>
    <t>Women's Athletic Skorts</t>
  </si>
  <si>
    <t>15</t>
  </si>
  <si>
    <t>G-GRADUAL</t>
  </si>
  <si>
    <t xml:space="preserve">公司名称：Xia Men Wei Er Jia E-Business Co.,Ltd
办公地址：
火炬高新区软件园三期诚毅北大街8号1901室-1
厦门市
集美
福建
361021
CN
</t>
  </si>
  <si>
    <t>https://www.amazon.com/gp/help/seller/at-a-glance.html/ref=dp_merchant_link?seller=A3J1UQ06EUSAGL</t>
  </si>
  <si>
    <t>7.56 x 6.65 x 2.6 inches</t>
  </si>
  <si>
    <t>19.20 x 16.89 x 6.60 cm</t>
  </si>
  <si>
    <t>B0D12CLF5N</t>
  </si>
  <si>
    <t>Fabric type: 95% Polyester, 5% Spandex | Care instructions: Machine washable, tumble dry low | Origin: Imported | Closure type: Pull On | Country of Origin: China</t>
  </si>
  <si>
    <t>JoyGirl Pleated Tennis Skirt for Women with Shorts Athletic Golf Skort Workout Running Sports Skirts Skorts with Pockets</t>
  </si>
  <si>
    <t>https://www.amazon.com/dp/B0D12CLF5N?psc=1</t>
  </si>
  <si>
    <t>https://images-na.ssl-images-amazon.com/images/I/61PxFmYWsQL._AC_US600_.jpg</t>
  </si>
  <si>
    <t>B0D12M2J9C</t>
  </si>
  <si>
    <t>11
12
21</t>
  </si>
  <si>
    <t>2024-04-06</t>
  </si>
  <si>
    <t>7.58 ounces</t>
  </si>
  <si>
    <t>214.89 g</t>
  </si>
  <si>
    <t>14.6 x 13 x 0.4 inches</t>
  </si>
  <si>
    <t>37.08 x 33.02 x 1.02 cm</t>
  </si>
  <si>
    <t>B09YLDG9P1</t>
  </si>
  <si>
    <t>Fabric type: 95% Polyester, 5% Spandex | Origin: Imported | Closure type: Pull On | Length: Above the Knee,Mini | Country of Origin: China</t>
  </si>
  <si>
    <t>https://www.amazon.com/stores/Afibi/page/123E833C-1C70-48FA-BE10-8762BA16F8F2?ref_=ast_bln</t>
  </si>
  <si>
    <t>Afibi Women's Casual Basic Versatile Flared Pleated Mini Skater Skirt with Shorts</t>
  </si>
  <si>
    <t>https://www.amazon.com/dp/B09YLDG9P1?psc=1</t>
  </si>
  <si>
    <t>https://m.media-amazon.com/images/I/41+drPnv+iL._AC_SR600,600_.jpg</t>
  </si>
  <si>
    <t>B09YL57LKP</t>
  </si>
  <si>
    <t>26</t>
  </si>
  <si>
    <t>2022-04-21</t>
  </si>
  <si>
    <t>AFIBI</t>
  </si>
  <si>
    <t xml:space="preserve">公司名称：hang zhou mi yue xin xi ke ji you xian gong si
办公地址：
拱墅区祥兴路100号
1幢701室
杭州市
浙江
310011
CN
</t>
  </si>
  <si>
    <t>https://www.amazon.com/gp/help/seller/at-a-glance.html/ref=dp_merchant_link?seller=A3F5ULXL47X57I</t>
  </si>
  <si>
    <t>10.67 x 8.54 x 2.28 inches</t>
  </si>
  <si>
    <t>27.10 x 21.69 x 5.79 cm</t>
  </si>
  <si>
    <t>B0CXHZ9NVB</t>
  </si>
  <si>
    <t>Fabric type: 75% Nylon, 25% Spandex | Care instructions: Machine Wash | Origin: Imported | Closure type: Pull On</t>
  </si>
  <si>
    <t>https://www.amazon.com/stores/AUTOMET/page/FCCD3AC0-B62A-45A7-BF7C-452CD65FDF26?ref_=ast_bln&amp;store_ref=bl_ast_dp_brandLogo_sto</t>
  </si>
  <si>
    <t>AUTOMET Women's Mini Tennis Skirt 2024 Athletic Cute Golf Skorts with Pockets Y2K Summer Gym Workout Outfits</t>
  </si>
  <si>
    <t>https://www.amazon.com/dp/B0CXHZ9NVB?psc=1</t>
  </si>
  <si>
    <t>https://images-na.ssl-images-amazon.com/images/I/6123nNA+mIL._AC_US600_.jpg</t>
  </si>
  <si>
    <t>B0CXHW8XCB</t>
  </si>
  <si>
    <t>13
15
28</t>
  </si>
  <si>
    <t>2024-03-07</t>
  </si>
  <si>
    <t>Automet-US</t>
  </si>
  <si>
    <t xml:space="preserve">公司名称：Guangzhou Yili Network Technology Co., Ltd.
办公地址：
嘉禾街道鹤龙二路259号
</t>
  </si>
  <si>
    <t>https://www.amazon.com/gp/help/seller/at-a-glance.html/ref=dp_merchant_link?seller=AB2NECOE3B4S7</t>
  </si>
  <si>
    <t>8.54 x 7.87 x 1.26 inches</t>
  </si>
  <si>
    <t>21.69 x 19.99 x 3.20 cm</t>
  </si>
  <si>
    <t>B0C4Y5RDB1</t>
  </si>
  <si>
    <t>https://www.amazon.com/stores/Oyamiki/page/EC1A3AB1-AA68-417F-9465-00ECF1BC7EEB?ref_=ast_bln&amp;store_ref=bl_ast_dp_brandLogo_sto</t>
  </si>
  <si>
    <t>Oyamiki Women's Active Athletic Skort Lightweight Tennis Skirt Perfect for Running Training Sports Golf</t>
  </si>
  <si>
    <t>https://www.amazon.com/dp/B0C4Y5RDB1?psc=1</t>
  </si>
  <si>
    <t>https://images-na.ssl-images-amazon.com/images/I/91k6N8+p2ZL._AC_US600_.jpg</t>
  </si>
  <si>
    <t>29</t>
  </si>
  <si>
    <t>2020-08-03</t>
  </si>
  <si>
    <t xml:space="preserve">公司名称：Shenzhen Yise Technology Co., Ltd.
办公地址：
怡心社区怡园小区2栋五单元3D
深圳市
龙岗区坪地街道
广东省
518116
CN
</t>
  </si>
  <si>
    <t>https://www.amazon.com/gp/help/seller/at-a-glance.html/ref=dp_merchant_link?seller=A39FUMDCUVK0H6</t>
  </si>
  <si>
    <t>tennis skirt with shorts and pockets</t>
  </si>
  <si>
    <t>10.16 x 10.04 x 2.24 inches</t>
  </si>
  <si>
    <t>25.81 x 25.50 x 5.69 cm</t>
  </si>
  <si>
    <t>B0CQ77C9F5</t>
  </si>
  <si>
    <t>Fabric type: 90% Polyester, 10% Spandex | Care instructions: Machine Wash | Origin: Imported | Closure type: Elastic</t>
  </si>
  <si>
    <t>https://www.amazon.com/stores/LXNMGO/page/490B654F-B61F-4078-9B68-86BD1ED0E6C8?ref_=ast_bln</t>
  </si>
  <si>
    <t>LXNMGO Women's High Waist Pleated Tennis Skirt with 4 Pockets Lightweight Athletic Golf Skorts Skirts for Running Workout</t>
  </si>
  <si>
    <t>https://www.amazon.com/dp/B0CQ77C9F5?psc=1</t>
  </si>
  <si>
    <t>https://images-na.ssl-images-amazon.com/images/I/61IJzzP28wL._AC_US600_.jpg</t>
  </si>
  <si>
    <t>B0CQ5FMY2H</t>
  </si>
  <si>
    <t>15
23</t>
  </si>
  <si>
    <t>2023-12-12</t>
  </si>
  <si>
    <t xml:space="preserve">公司名称：fuzhoushixingningmengmaoyiyouxiangongsi
办公地址：
万科广场1号楼幸福驿站
福州市
台江区
福建省
350001
CN
</t>
  </si>
  <si>
    <t>https://www.amazon.com/gp/help/seller/at-a-glance.html/ref=dp_merchant_link?seller=A1PIYJCG80M7TJ</t>
  </si>
  <si>
    <t>0.4 pounds</t>
  </si>
  <si>
    <t>181.44 g</t>
  </si>
  <si>
    <t>7.76 x 7.09 x 1.97 inches</t>
  </si>
  <si>
    <t>19.71 x 18.01 x 5.00 cm</t>
  </si>
  <si>
    <t>B0BBQWY2JY</t>
  </si>
  <si>
    <t>Size: Medium | Color: Green</t>
  </si>
  <si>
    <t>Fabric type: 90% Polyester, 10% Spandex | Care instructions: Do Not Iron, Hand Wash Only | Closure type: Pull On | Length: Mini</t>
  </si>
  <si>
    <t>https://www.amazon.com/stores/AmericanTrends/page/5FE0A5C4-F49A-4586-8027-DAA2F91CD62E?ref_=ast_bln&amp;store_ref=bl_ast_dp_brandLogo_sto</t>
  </si>
  <si>
    <t>American Trends High Waist Pleated Tennis Skirt with Pockets Skorts Skirts for Women</t>
  </si>
  <si>
    <t>https://www.amazon.com/dp/B0BBQWY2JY?psc=1</t>
  </si>
  <si>
    <t>https://m.media-amazon.com/images/I/41VJ3OcPFnL._AC_SR600,600_.jpg</t>
  </si>
  <si>
    <t>B0C242V2NH</t>
  </si>
  <si>
    <t>2023-04-10</t>
  </si>
  <si>
    <t>Passionate Adventure(American Trends Sole Agency)</t>
  </si>
  <si>
    <t xml:space="preserve">公司名称：Hang Zhou Zifeiyu Information Technology Company
办公地址：
长河街道滨文路95号
1幢4层401室
杭州市
滨江区
浙江省
310051
CN
</t>
  </si>
  <si>
    <t>https://www.amazon.com/gp/help/seller/at-a-glance.html/ref=dp_merchant_link?seller=A3N58XTYSS95</t>
  </si>
  <si>
    <t>green skorts</t>
  </si>
  <si>
    <t>8.15 ounces</t>
  </si>
  <si>
    <t>231.05 g</t>
  </si>
  <si>
    <t>9.72 x 8.58 x 1.18 inches</t>
  </si>
  <si>
    <t>24.69 x 21.79 x 3.00 cm</t>
  </si>
  <si>
    <t>B08Q37Z53T</t>
  </si>
  <si>
    <t>Ekouaer Golf Skirts for Woman with Pockets Silicone Grippers Tennis Skirt Inner Shorts Athletic Pickleball Running Skort</t>
  </si>
  <si>
    <t>https://www.amazon.com/dp/B08Q37Z53T?psc=1</t>
  </si>
  <si>
    <t>https://m.media-amazon.com/images/I/41hzEpmRDcL._AC_SR600,600_.jpg</t>
  </si>
  <si>
    <t>Women's Tennis Skorts
Women's Athletic Skorts</t>
  </si>
  <si>
    <t>3
5</t>
  </si>
  <si>
    <t>2024-06-05</t>
  </si>
  <si>
    <t>8.47 Ounces</t>
  </si>
  <si>
    <t>240.12 g</t>
  </si>
  <si>
    <t>B0CQ7939R4</t>
  </si>
  <si>
    <t>Size: Small | Color: True Navy</t>
  </si>
  <si>
    <t>Fabric type: 86% Polyester, 14% Elastane | Care instructions: Machine Wash | Origin: Imported | Length: Above the Knee | Country of Origin: China</t>
  </si>
  <si>
    <t>https://www.amazon.com/stores/CRZYOGA/page/F2232413-0F7D-4831-81A1-9FDFCFE5C54D?ref_=ast_bln&amp;store_ref=bl_ast_dp_brandLogo_sto</t>
  </si>
  <si>
    <t>CRZ YOGA High Waisted Golf Skirts for Women A Line Tennis Athletic Casual Skort Skirt with Shorts Pockets</t>
  </si>
  <si>
    <t>https://www.amazon.com/dp/B0CQ7939R4?psc=1</t>
  </si>
  <si>
    <t>https://m.media-amazon.com/images/I/41BRbIS9jkL._AC_SR600,600_.jpg</t>
  </si>
  <si>
    <t>B0CPXQMM5Z</t>
  </si>
  <si>
    <t>40</t>
  </si>
  <si>
    <t>2024-02-24</t>
  </si>
  <si>
    <t xml:space="preserve">公司名称：GUANGZHOU CITY QIANLUO TRADING CO., LTD
办公地址：
南村镇汉溪大道东386号2401房
</t>
  </si>
  <si>
    <t>https://www.amazon.com/gp/help/seller/at-a-glance.html/ref=dp_merchant_link?seller=A1CX3Y6OPGB2MO</t>
  </si>
  <si>
    <t>0.38 pounds</t>
  </si>
  <si>
    <t>172.36 g</t>
  </si>
  <si>
    <t>B0D66D7D4H</t>
  </si>
  <si>
    <t>https://www.amazon.com/stores/OZICERD/page/B0AE5652-9345-4919-9CB2-17A9B59CF66C?ref_=ast_bln</t>
  </si>
  <si>
    <t>OZICERD High Waisted Golf Skort Tennis Skirt for Women Bodycon Mini Skirt Short Pickleball Athletic Skirt with Shorts</t>
  </si>
  <si>
    <t>https://www.amazon.com/dp/B0D66D7D4H?psc=1</t>
  </si>
  <si>
    <t>https://images-na.ssl-images-amazon.com/images/I/71NMpBHxBQL._AC_US600_.jpg</t>
  </si>
  <si>
    <t>38
63</t>
  </si>
  <si>
    <t>2024-06-21</t>
  </si>
  <si>
    <t>Ozicerd</t>
  </si>
  <si>
    <t xml:space="preserve">公司名称：Guangzhou Fuli Trading Co.Ltd
办公地址：
大源街大源中路1号之一A221
广州
白云区
广东
510000
CN
</t>
  </si>
  <si>
    <t>https://www.amazon.com/gp/help/seller/at-a-glance.html/ref=dp_merchant_link?seller=A1BKZZRRS0CM3R</t>
  </si>
  <si>
    <t>5.47 ounces</t>
  </si>
  <si>
    <t>155.07 g</t>
  </si>
  <si>
    <t>11.65 x 2.95 x 1.14 inches</t>
  </si>
  <si>
    <t>29.59 x 7.49 x 2.90 cm</t>
  </si>
  <si>
    <t>B0CW189C9F</t>
  </si>
  <si>
    <t>Fabric type: 79% Nylon, 21% Spandex | Care instructions: Machine Wash | Origin: Imported | Closure type: Elastic | Country of Origin: China</t>
  </si>
  <si>
    <t>https://www.amazon.com/stores/Fireswan/page/88109ED5-4DC3-4AEA-83E4-37E4B3E0603C?ref_=ast_bln&amp;store_ref=bl_ast_dp_brandLogo_sto</t>
  </si>
  <si>
    <t>FireSwan Tennis Skirt for Women with Pockets Shorts Crossover High Waisted Pleated Golf Skorts Athletic Workout Skirts</t>
  </si>
  <si>
    <t>https://www.amazon.com/dp/B0CW189C9F?psc=1</t>
  </si>
  <si>
    <t>https://images-na.ssl-images-amazon.com/images/I/614I5KiX6AL._AC_US600_.jpg</t>
  </si>
  <si>
    <t>B0CW1385VL</t>
  </si>
  <si>
    <t>14
22
31</t>
  </si>
  <si>
    <t>2024-03-30</t>
  </si>
  <si>
    <t>FireSwan-US</t>
  </si>
  <si>
    <t xml:space="preserve">公司名称：HUZHOUDEQINGYIYANGDIANZISHANGWU CO.,LTD
办公地址：
振兴路66号105室
湖州市
德清县雷甸镇
浙江省
313219
CN
</t>
  </si>
  <si>
    <t>https://www.amazon.com/gp/help/seller/at-a-glance.html/ref=dp_merchant_link?seller=AHMQD4SBB77PD</t>
  </si>
  <si>
    <t>7.36 x 6.73 x 1.22 inches</t>
  </si>
  <si>
    <t>18.69 x 17.09 x 3.10 cm</t>
  </si>
  <si>
    <t>B0CDLPFH3V</t>
  </si>
  <si>
    <t>Fabric type: 90% Polyester,10% Rayon | Care instructions: Hand Wash Only | Origin: Imported | Closure type: Elastic | Country of Origin: China</t>
  </si>
  <si>
    <t>https://www.amazon.com/stores/Tivifox/page/E2A59205-E472-4802-9961-6090A18C0A6F?ref_=ast_bln</t>
  </si>
  <si>
    <t>Womens Girls Pleated Tennis Skirts High Waisted A-line Skirt School Uniform Athletic Golf Skorts with Shorts,2T-4XL</t>
  </si>
  <si>
    <t>https://www.amazon.com/dp/B0CDLPFH3V?psc=1</t>
  </si>
  <si>
    <t>https://m.media-amazon.com/images/I/31FkWGkfqFL._AC_SR600,600_.jpg</t>
  </si>
  <si>
    <t>B0DDX4YCHP</t>
  </si>
  <si>
    <t>30</t>
  </si>
  <si>
    <t>2024-08-21</t>
  </si>
  <si>
    <t xml:space="preserve">公司名称：LiuAnZhuoJunDianZiShangWuYouXianGongSi
办公地址：
领春路恒大御景湾四期20号楼 二单元605室
六安市
裕安区
安徽
237000
CN
</t>
  </si>
  <si>
    <t>https://www.amazon.com/gp/help/seller/at-a-glance.html/ref=dp_merchant_link?seller=A20EOU5S7BFWN4</t>
  </si>
  <si>
    <t>5.93 Ounces</t>
  </si>
  <si>
    <t>168.11 g</t>
  </si>
  <si>
    <t>9.53 x 6.61 x 1.73 inches</t>
  </si>
  <si>
    <t>24.21 x 16.79 x 4.39 cm</t>
  </si>
  <si>
    <t>B08NFG6Z3G</t>
  </si>
  <si>
    <t>Size: Large | Color: Wb2344_black</t>
  </si>
  <si>
    <t>Fabric type: 100% Polyester | Origin: Imported | Closure type: Zipper | Length: Mini | Country of Origin: China</t>
  </si>
  <si>
    <t>https://www.amazon.com/stores/MadebyJohnny/page/B3F609C9-3484-4E73-BE61-CD9CDE7CAAC3?ref_=ast_bln&amp;store_ref=bl_ast_dp_brandLogo_sto</t>
  </si>
  <si>
    <t>Made By Johnny Womens' Girls' High Waist Mini Plaid School Uniform Pleated Skater Tennis Skirt with Lining Shorts</t>
  </si>
  <si>
    <t>https://www.amazon.com/dp/B08NFG6Z3G?psc=1</t>
  </si>
  <si>
    <t>https://m.media-amazon.com/images/I/41VVOxFMHVL._AC_SR600,600_.jpg</t>
  </si>
  <si>
    <t>B08NFDXR9Y</t>
  </si>
  <si>
    <t>29
49</t>
  </si>
  <si>
    <t>2020-11-12</t>
  </si>
  <si>
    <t>MADE BY JOHNNY</t>
  </si>
  <si>
    <t xml:space="preserve">公司名称：Made by Johnny Group Inc
办公地址：
1490 W Walnut Parkway
COMPTON
CA
90220
US
</t>
  </si>
  <si>
    <t>https://www.amazon.com/gp/help/seller/at-a-glance.html/ref=dp_merchant_link?seller=A37XK733SMU7C1</t>
  </si>
  <si>
    <t>10.67 x 9.53 x 2.09 inches</t>
  </si>
  <si>
    <t>27.10 x 24.21 x 5.31 cm</t>
  </si>
  <si>
    <t>B0BK16SM9P</t>
  </si>
  <si>
    <t>Size: Small | Color: The Breeze Blue</t>
  </si>
  <si>
    <t>Fabric type: 86% Polyester, 14% Elastane | Care instructions: Machine wash cold, Do not bleach, Tumble dry low, Do not iron, Do not dry clean | Origin: Imported | Length: Above the Knee | Country of Origin: China</t>
  </si>
  <si>
    <t>CRZ YOGA Tennis Skirts for Women Crossover High Waisted Ruffle Layered Workout Athletic Golf Skort Skirts with Pockets</t>
  </si>
  <si>
    <t>https://www.amazon.com/dp/B0BK16SM9P?psc=1</t>
  </si>
  <si>
    <t>https://m.media-amazon.com/images/I/41HpYmeKthL._AC_SR600,600_.jpg</t>
  </si>
  <si>
    <t>B0BSF327RW</t>
  </si>
  <si>
    <t>20
34</t>
  </si>
  <si>
    <t>2022-10-20</t>
  </si>
  <si>
    <t>7.23 ounces</t>
  </si>
  <si>
    <t>204.97 g</t>
  </si>
  <si>
    <t>9.53 x 8.46 x 1.69 inches</t>
  </si>
  <si>
    <t>24.21 x 21.49 x 4.29 cm</t>
  </si>
  <si>
    <t>B0D471V13M</t>
  </si>
  <si>
    <t>Size: Medium | Color: Burgundy</t>
  </si>
  <si>
    <t>Fabric type: 97% Polyester, 3% Spandex | Care instructions: Machine Wash | Origin: Imported | Closure type: Zipper</t>
  </si>
  <si>
    <t>https://www.amazon.com/stores/Dressever/page/3B6FA449-DE73-4C02-9370-57141DA6FDA0?ref_=ast_bln&amp;store_ref=bl_ast_dp_brandLogo_sto</t>
  </si>
  <si>
    <t>Dressever Women's Pleated Skirts Mini Skater Basic Skirt High Waist Tennis Skirt School Uniform Cheerleader Skirts</t>
  </si>
  <si>
    <t>https://www.amazon.com/dp/B0D471V13M?psc=1</t>
  </si>
  <si>
    <t>https://m.media-amazon.com/images/I/31a-Aqn9UJL._AC_SR600,600_.jpg</t>
  </si>
  <si>
    <t>B0D47FWVYV</t>
  </si>
  <si>
    <t>16
18</t>
  </si>
  <si>
    <t>2024-05-14</t>
  </si>
  <si>
    <t>dressever</t>
  </si>
  <si>
    <t xml:space="preserve">公司名称：Suzhou FangRuo HuiZhi Garment Co., Ltd.
办公地址：
九华路18号华景花园46幢605室
苏州市
工业园区
江苏省
215000
CN
</t>
  </si>
  <si>
    <t>https://www.amazon.com/gp/help/seller/at-a-glance.html/ref=dp_merchant_link?seller=A1NT454SPUD5OC</t>
  </si>
  <si>
    <t>B0CTWZZGY9</t>
  </si>
  <si>
    <t>https://www.amazon.com/stores/THHGPO/page/DBE87FC1-D6CB-4A5D-A8ED-A0FA0A581CFF?ref_=ast_bln</t>
  </si>
  <si>
    <t>THHGPO Women's Casual Basic Skirts Mini Flared Skater Stretchy A-Line Party Skirts with Shorts</t>
  </si>
  <si>
    <t>https://www.amazon.com/dp/B0CTWZZGY9?psc=1</t>
  </si>
  <si>
    <t>https://m.media-amazon.com/images/I/41PGbJnkl2L._AC_SR600,600_.jpg</t>
  </si>
  <si>
    <t>Clothing, Shoes &amp; Jewelry:Sport Specific Clothing:Dance:Women:Skirts</t>
  </si>
  <si>
    <t>Women's Dance Skirts</t>
  </si>
  <si>
    <t>107</t>
  </si>
  <si>
    <t>2024-02-02</t>
  </si>
  <si>
    <t>topdress</t>
  </si>
  <si>
    <t xml:space="preserve">公司名称：Suzhou Ageruien Clothing Co., Ltd
办公地址：
胥江路426号六号楼二楼、八号楼二楼
苏州市
姑苏区
江苏
215000
CN
</t>
  </si>
  <si>
    <t>https://www.amazon.com/gp/help/seller/at-a-glance.html/ref=dp_merchant_link?seller=A72WZD9I50LKA</t>
  </si>
  <si>
    <t>B07LD75CKQ</t>
  </si>
  <si>
    <t>Fabric type: 95% Polyester, 5% Spandex | Care instructions: Machine Wash on Gentle Cycle | Origin: Imported | Closure type: Zipper | Country of Origin: China</t>
  </si>
  <si>
    <t>https://www.amazon.com/stores/Yollmart/page/834C04E1-1445-41DC-B0F9-DE1C08E8E1E8?ref_=ast_bln&amp;store_ref=bl_ast_dp_brandLogo_sto</t>
  </si>
  <si>
    <t>Yollmart Women's Sequins Tassel Skirts Shorts Booty Dance Festival Bottoms</t>
  </si>
  <si>
    <t>https://www.amazon.com/dp/B07LD75CKQ?psc=1</t>
  </si>
  <si>
    <t>https://m.media-amazon.com/images/I/51QUygWA-+L._AC_SR600,600_.jpg</t>
  </si>
  <si>
    <t>B07LD8K89D</t>
  </si>
  <si>
    <t>44
50</t>
  </si>
  <si>
    <t>2018-12-14</t>
  </si>
  <si>
    <t xml:space="preserve">公司名称：fu zhou shi ma wei qu yue ma mao yi shang hang
办公地址：
儒江东路阳光城世纪广场办公楼
福州市
马尾区
福建省
350000
CN
</t>
  </si>
  <si>
    <t>https://www.amazon.com/gp/help/seller/at-a-glance.html/ref=dp_merchant_link?seller=A2ZTKLGW111KU5</t>
  </si>
  <si>
    <t>sequin high waisted shorts</t>
  </si>
  <si>
    <t>11.29 ounces</t>
  </si>
  <si>
    <t>320.07 g</t>
  </si>
  <si>
    <t>9.84 x 9.84 x 0.79 inches</t>
  </si>
  <si>
    <t>24.99 x 24.99 x 2.01 cm</t>
  </si>
  <si>
    <t>B0BRN4HXMT</t>
  </si>
  <si>
    <t>Fabric type: 92% Polyester, 8% Spandex | Care instructions: Machine Wash | Origin: Imported | Closure type: Pull On</t>
  </si>
  <si>
    <t>https://www.amazon.com/stores/Ewedoos/page/EC71E27C-F065-4B1A-BC11-6864EA5D8E2D?ref_=ast_bln&amp;store_ref=bl_ast_dp_brandLogo_sto</t>
  </si>
  <si>
    <t>Ewedoos Womens Tennis Skirt with Shorts Pleated Tennis Skirts for Women Skorts Skirts for Women Athletic Skirt for Golf</t>
  </si>
  <si>
    <t>https://www.amazon.com/dp/B0BRN4HXMT?psc=1</t>
  </si>
  <si>
    <t>https://m.media-amazon.com/images/I/313s-5xO9-L._AC_SR600,600_.jpg</t>
  </si>
  <si>
    <t>B0BRN671LM</t>
  </si>
  <si>
    <t>25</t>
  </si>
  <si>
    <t>2023-05-19</t>
  </si>
  <si>
    <t xml:space="preserve">公司名称：CAI YI
办公地址：
北滘碧桂园碧湖东路33号
佛山
顺德区
广东
528000
CN
</t>
  </si>
  <si>
    <t>https://www.amazon.com/gp/help/seller/at-a-glance.html/ref=dp_merchant_link?seller=A2HNL56YD62DB3</t>
  </si>
  <si>
    <t>5.93 ounces</t>
  </si>
  <si>
    <t>16.34 x 6.77 x 1.34 inches</t>
  </si>
  <si>
    <t>41.50 x 17.20 x 3.40 cm</t>
  </si>
  <si>
    <t>B07QYQN2VR</t>
  </si>
  <si>
    <t>Size: Medium | Color: Black Full Length Skirts</t>
  </si>
  <si>
    <t>Care instructions: Hand Wash Only | Closure type: Pull-On | Length: Knee-Length | Rise style: Ankle</t>
  </si>
  <si>
    <t>https://www.amazon.com/stores/ANIVIVO/page/48D0AAB9-C21A-4991-9D28-EA0B9E5AC52E?ref_=ast_bln&amp;store_ref=bl_ast_dp_brandLogo_sto</t>
  </si>
  <si>
    <t>ANIVIVO Skirted Legging for Women, Yoga Legging with Skirts &amp;Women Tennis Leggings Clothes Pockets</t>
  </si>
  <si>
    <t>https://www.amazon.com/dp/B07QYQN2VR?psc=1</t>
  </si>
  <si>
    <t>https://m.media-amazon.com/images/I/31Y77V7SykL._AC_SR600,600_.jpg</t>
  </si>
  <si>
    <t>B07QDFFMD9</t>
  </si>
  <si>
    <t>30
46</t>
  </si>
  <si>
    <t>2019-11-24</t>
  </si>
  <si>
    <t>Anivivo</t>
  </si>
  <si>
    <t xml:space="preserve">公司名称：BELE ROY INC.
办公地址：
聚龙小镇陶然新村B5栋305室
泉州市
惠安县
福建省
362101
CN
</t>
  </si>
  <si>
    <t>https://www.amazon.com/gp/help/seller/at-a-glance.html/ref=dp_merchant_link?seller=A1NWEKIL8JK1I9</t>
  </si>
  <si>
    <t>8.01 ounces</t>
  </si>
  <si>
    <t>227.08 g</t>
  </si>
  <si>
    <t>7.7 x 5.9 x 1.7 inches</t>
  </si>
  <si>
    <t>19.56 x 14.99 x 4.32 cm</t>
  </si>
  <si>
    <t>B0CJ2LZ8SK</t>
  </si>
  <si>
    <t>Size: 12-14 | Color: A-white</t>
  </si>
  <si>
    <t>Fabric type: 100% Polyester | Care instructions: Machine Wash | Closure type: Zipper | Length: Above the Knee</t>
  </si>
  <si>
    <t>https://www.amazon.com/stores/GOLDSTITCH/page/F93A5BFD-FD04-4BE3-8140-2DA485376613?ref_=ast_bln&amp;store_ref=bl_ast_dp_brandLogo_sto</t>
  </si>
  <si>
    <t>Women Girls high Waisted Pleated Skater Tennis School Skirt Uniform Skirts</t>
  </si>
  <si>
    <t>https://www.amazon.com/dp/B0CJ2LZ8SK?psc=1</t>
  </si>
  <si>
    <t>https://m.media-amazon.com/images/I/31hNUhzYHlL._AC_SR600,600_.jpg</t>
  </si>
  <si>
    <t>B01EUJKQO6</t>
  </si>
  <si>
    <t>33</t>
  </si>
  <si>
    <t>2016-04-26</t>
  </si>
  <si>
    <t>amayar</t>
  </si>
  <si>
    <t xml:space="preserve">公司名称：AMAYAR INTERNATIONAL CO., LIMITED
电话号码：861-326-896-3628
办公地址：
富民中路222号7栋304号房
东莞市
大朗镇
广东省
523700
CN
</t>
  </si>
  <si>
    <t>https://www.amazon.com/gp/help/seller/at-a-glance.html/ref=dp_merchant_link?seller=A39JCPE1RWJFZE</t>
  </si>
  <si>
    <t>B0CBJK85SS</t>
  </si>
  <si>
    <t>Fabric type: 95% Polyester, 5% Spandex | Care instructions: Hand Wash Only | Origin: Imported | Closure type: Zipper | Country of Origin: China</t>
  </si>
  <si>
    <t>https://www.amazon.com/Rbenxia/b/ref=bl_sl_s_ap_web_19831078011?ie=UTF8&amp;node=19831078011&amp;field-lbr_brands_browse-bin=Rbenxia</t>
  </si>
  <si>
    <t>Rbenxia Womens Girl High Waisted Pleated Skirt A-Line Mini Skirt School Uniform Skater Tennis Skirts with Lining Shorts</t>
  </si>
  <si>
    <t>https://www.amazon.com/dp/B0CBJK85SS?psc=1</t>
  </si>
  <si>
    <t>https://images-na.ssl-images-amazon.com/images/I/515l0Lo3gXL._AC_US600_.jpg</t>
  </si>
  <si>
    <t>B0C8H4MHSQ</t>
  </si>
  <si>
    <t>13</t>
  </si>
  <si>
    <t>2023-06-15</t>
  </si>
  <si>
    <t xml:space="preserve">公司名称：Shenzhen xiou keji youxian gongsi
办公地址：
龙岗区布吉街道荔山公馆8号楼景和园B座1107
深圳市
广东
518000
CN
</t>
  </si>
  <si>
    <t>https://www.amazon.com/gp/help/seller/at-a-glance.html/ref=dp_merchant_link?seller=A3IXKK4HU2971B</t>
  </si>
  <si>
    <t>8.07 x 4.96 x 1.97 inches</t>
  </si>
  <si>
    <t>20.50 x 12.60 x 5.00 cm</t>
  </si>
  <si>
    <t>B07QGLSMQK</t>
  </si>
  <si>
    <t>Size: Medium | Color: Black Capris</t>
  </si>
  <si>
    <t>Fabric type: 90% Polyester, 10% Spandex | Origin: Imported | Closure type: Pull On | Rise style: High Rise | Country of Origin: China</t>
  </si>
  <si>
    <t>ANIVIVO Women Tennis Skirted Leggings with Pockets, Capris Yoga Leggings with Skirts&amp;Tennis Pickleball Clothing</t>
  </si>
  <si>
    <t>https://www.amazon.com/dp/B07QGLSMQK?psc=1</t>
  </si>
  <si>
    <t>https://m.media-amazon.com/images/I/31AVtTelqlL._AC_SR600,600_.jpg</t>
  </si>
  <si>
    <t>B08T6CKY14</t>
  </si>
  <si>
    <t>36</t>
  </si>
  <si>
    <t>2021-01-14</t>
  </si>
  <si>
    <t>Women's Athletic Skirts by ANIVIVO</t>
  </si>
  <si>
    <t>8.78 ounces</t>
  </si>
  <si>
    <t>248.91 g</t>
  </si>
  <si>
    <t>7.4 x 6.6 x 1.2 inches</t>
  </si>
  <si>
    <t>18.80 x 16.76 x 3.05 cm</t>
  </si>
  <si>
    <t>B0CRZ4GZH7</t>
  </si>
  <si>
    <t>Size: Small | Color: #01a1- 2 Piece Mini Skirt Sets- Black</t>
  </si>
  <si>
    <t>Fabric type: 75% Nylon, 25% Spandex | Care instructions: Machine Wash | Origin: Imported | Closure type: Pull On | Country of Origin: China</t>
  </si>
  <si>
    <t>Two Piece Tennis Skirt Sets for Women 2 Piece Mini Skirt Set Going Out Golf Skort Athletic Skirt Pickleball Outfit</t>
  </si>
  <si>
    <t>https://www.amazon.com/dp/B0CRZ4GZH7?psc=1</t>
  </si>
  <si>
    <t>https://m.media-amazon.com/images/I/31TsLVz5IHL._AC_SR600,600_.jpg</t>
  </si>
  <si>
    <t>B0D7SSPTMS</t>
  </si>
  <si>
    <t>22
38</t>
  </si>
  <si>
    <t>6%</t>
  </si>
  <si>
    <t>12.52 x 9.65 x 2.01 inches</t>
  </si>
  <si>
    <t>31.80 x 24.51 x 5.11 cm</t>
  </si>
  <si>
    <t>B09QS33TKG</t>
  </si>
  <si>
    <t>Size: Medium | Color: 03 Red</t>
  </si>
  <si>
    <t>Fabric type: 90% Polyester, 10% Spandex | Care instructions: Do Not Bleach, Hand Wash Only | Origin: Imported | Closure type: Pull On</t>
  </si>
  <si>
    <t>https://www.amazon.com/stores/CenturyStar/page/46C2A9C3-3690-4A12-87BB-FF1FF798D2C1?ref_=ast_bln&amp;store_ref=bl_ast_dp_brandLogo_sto</t>
  </si>
  <si>
    <t>Century Star High Waisted Tennis Skirts for Women with Pockets and Shorts Womens Mini Athletic Golf Sports Running Skort</t>
  </si>
  <si>
    <t>https://www.amazon.com/dp/B09QS33TKG?psc=1</t>
  </si>
  <si>
    <t>https://m.media-amazon.com/images/I/41S+KK9cEwL._AC_SR600,600_.jpg</t>
  </si>
  <si>
    <t>B0B2J83HCV</t>
  </si>
  <si>
    <t>39</t>
  </si>
  <si>
    <t>2022-05-26</t>
  </si>
  <si>
    <t>Century Star US</t>
  </si>
  <si>
    <t xml:space="preserve">公司名称：Hangzhou Maozhu Electronic Commerce Co.,Ltd.
办公地址：
西兴街道滨康路188号
8幢10楼1006室
杭州市
滨江区
浙江省
310000
CN
</t>
  </si>
  <si>
    <t>https://www.amazon.com/gp/help/seller/at-a-glance.html/ref=dp_merchant_link?seller=A1E7ZG1UOPRDZA</t>
  </si>
  <si>
    <t>red skirt with shorts</t>
  </si>
  <si>
    <t>7.2 Ounces</t>
  </si>
  <si>
    <t>204.12 g</t>
  </si>
  <si>
    <t>50 x 40 x 40 inches</t>
  </si>
  <si>
    <t>127.00 x 101.60 x 101.60 cm</t>
  </si>
  <si>
    <t>B08DNKYD86</t>
  </si>
  <si>
    <t>Size: Medium | Color: Purple</t>
  </si>
  <si>
    <t>Fabric type: 77% Polyester, 23% Spandex | Care instructions: Machine Wash | Origin: Imported | Closure type: Elastic | Country of Origin: China</t>
  </si>
  <si>
    <t>https://www.amazon.com/stores/RAROAUF/page/3FF313FD-9BFF-4DC1-AF49-0DA2BB8CCD7F?ref_=ast_bln&amp;store_ref=bl_ast_dp_brandLogo_sto</t>
  </si>
  <si>
    <t>Raroauf Womens Pleated Tennis Skirts with Shorts High Waisted Mini Skirt Golf Skort Athletic Skirts Workout Pickball</t>
  </si>
  <si>
    <t>https://www.amazon.com/dp/B08DNKYD86?psc=1</t>
  </si>
  <si>
    <t>https://m.media-amazon.com/images/I/415rgvPMsrL._AC_SR600,600_.jpg</t>
  </si>
  <si>
    <t>B08KRKY41K</t>
  </si>
  <si>
    <t>35</t>
  </si>
  <si>
    <t>12%</t>
  </si>
  <si>
    <t>2020-07-26</t>
  </si>
  <si>
    <t>qiaoruo</t>
  </si>
  <si>
    <t xml:space="preserve">公司名称：guangzhouqiaoruomaoyiyouxiangongsi
办公地址：
燕岭路89号499室B06号
广州市
天河区
广东省
510440
CN
</t>
  </si>
  <si>
    <t>https://www.amazon.com/gp/help/seller/at-a-glance.html/ref=dp_merchant_link?seller=A3LKVUSEROVJPA</t>
  </si>
  <si>
    <t>7.17 x 4.06 x 2.83 inches</t>
  </si>
  <si>
    <t>18.21 x 10.31 x 7.19 cm</t>
  </si>
  <si>
    <t>B0CRDJP1NM</t>
  </si>
  <si>
    <t>Size: Small | Color: A Style# Red | Team Name: A#Style</t>
  </si>
  <si>
    <t>Fabric type: 95% Polyester, 5% Spandex | Origin: Imported | Closure type: Pull On | Length: Above the Knee | Country of Origin: China</t>
  </si>
  <si>
    <t>JoyGirl Womens Tennis Skirt with Shorts Crossover Golf Skort Mini High Waisted Workout Athletic Skorts Skirts with Pockets</t>
  </si>
  <si>
    <t>https://www.amazon.com/dp/B0CRDJP1NM?psc=1</t>
  </si>
  <si>
    <t>https://m.media-amazon.com/images/I/41I1ydyZ-jL._AC_SR600,600_.jpg</t>
  </si>
  <si>
    <t>B0CR9T17H6</t>
  </si>
  <si>
    <t>17
32
44</t>
  </si>
  <si>
    <t>2024-01-01</t>
  </si>
  <si>
    <t>B0995TGV4V</t>
  </si>
  <si>
    <t>Fabric type: 100% Polyester | Care instructions: Do Not Bleach, Hand Wash Only | Closure type: Pull On | Length: Mini</t>
  </si>
  <si>
    <t>Century Star Women's Stretchy Flared Pleated Skater Skirt Tennis School Uniforms A Line Mini Short Skirt</t>
  </si>
  <si>
    <t>https://www.amazon.com/dp/B0995TGV4V?psc=1</t>
  </si>
  <si>
    <t>https://images-na.ssl-images-amazon.com/images/I/61h1OqanqZL._AC_US600_.jpg</t>
  </si>
  <si>
    <t>B09MVGWZMQ</t>
  </si>
  <si>
    <t>19
27</t>
  </si>
  <si>
    <t>2021-07-11</t>
  </si>
  <si>
    <t>2 x 1 x 0.1 inches</t>
  </si>
  <si>
    <t>5.08 x 2.54 x 0.25 cm</t>
  </si>
  <si>
    <t>B0D8J5PX5G</t>
  </si>
  <si>
    <t>Women's High-Waisted Pleated Skirt with Shorts Mini Tennis Athletic Golf Skirts Girls Skater Skorts Cheer Uniform</t>
  </si>
  <si>
    <t>https://www.amazon.com/dp/B0D8J5PX5G?psc=1</t>
  </si>
  <si>
    <t>https://m.media-amazon.com/images/I/412Rqfytk3L._AC_SR600,600_.jpg</t>
  </si>
  <si>
    <t>55</t>
  </si>
  <si>
    <t>2024-06-30</t>
  </si>
  <si>
    <t>B0CSFLR9JC</t>
  </si>
  <si>
    <t>Fabric type: 80% Polyamide, 20% Spandex | Origin: Imported | Closure type: Elastic | Length: Above the Knee | Country of Origin: China</t>
  </si>
  <si>
    <t>LXNMGO Women's Active Athletic Skort Lightweight Tennis Skirt for Women Summer Golf Workout Running Sports Skorts with Pocket</t>
  </si>
  <si>
    <t>https://www.amazon.com/dp/B0CSFLR9JC?psc=1</t>
  </si>
  <si>
    <t>https://m.media-amazon.com/images/I/31kYFXk1poL._AC_SR600,600_.jpg</t>
  </si>
  <si>
    <t>B0CSFMBN8Q</t>
  </si>
  <si>
    <t>23
41</t>
  </si>
  <si>
    <t>2024-01-15</t>
  </si>
  <si>
    <t>6.4 ounces</t>
  </si>
  <si>
    <t>8.43 x 7.91 x 1.54 inches</t>
  </si>
  <si>
    <t>21.41 x 20.09 x 3.91 cm</t>
  </si>
  <si>
    <t>B0CXD5PYTR</t>
  </si>
  <si>
    <t>https://www.amazon.com/stores/ANRABESS/page/937C5045-E1CD-46BB-99F1-38FA5C0E3B27?ref_=ast_bln&amp;store_ref=bl_ast_dp_brandLogo_sto</t>
  </si>
  <si>
    <t>ANRABESS Women's 2024 Summer Mini Skirt Tennis Athletic Inner Shorts Side Slit Workout Golf Bodycon Casual Skorts Clothes</t>
  </si>
  <si>
    <t>https://www.amazon.com/dp/B0CXD5PYTR?psc=1</t>
  </si>
  <si>
    <t>https://m.media-amazon.com/images/I/318GPvAU69L._AC_SR600,600_.jpg</t>
  </si>
  <si>
    <t>30
53</t>
  </si>
  <si>
    <t>2023-11-12</t>
  </si>
  <si>
    <t xml:space="preserve">公司名称：Yiwu Ceteng e-commerce firm
办公地址：
稠江街道楼下村四区22幢3单元205室
</t>
  </si>
  <si>
    <t>https://www.amazon.com/gp/help/seller/at-a-glance.html/ref=dp_merchant_link?seller=ADPI9LE50EUV</t>
  </si>
  <si>
    <t>4.97 ounces</t>
  </si>
  <si>
    <t>140.90 g</t>
  </si>
  <si>
    <t>12.09 x 6.77 x 2.17 inches</t>
  </si>
  <si>
    <t>30.71 x 17.20 x 5.51 cm</t>
  </si>
  <si>
    <t>B09Q53W5ND</t>
  </si>
  <si>
    <t>Made By Johnny Women's Casual Stretchy Flared Pleated Mini Skater Skirt with Shorts</t>
  </si>
  <si>
    <t>https://www.amazon.com/dp/B09Q53W5ND?psc=1</t>
  </si>
  <si>
    <t>https://m.media-amazon.com/images/I/41YDMA-023L._AC_SR600,600_.jpg</t>
  </si>
  <si>
    <t>37</t>
  </si>
  <si>
    <t>2022-01-10</t>
  </si>
  <si>
    <t>red skirt</t>
  </si>
  <si>
    <t>B0C918W433</t>
  </si>
  <si>
    <t>https://www.amazon.com/stores/CZRLHYT/page/B636243B-7C04-440A-9955-D1E6A65AC46B?ref_=ast_bln&amp;store_ref=bl_ast_dp_brandLogo_sto</t>
  </si>
  <si>
    <t>Womens Skorts Modest Knee Length Skirts Athletic Midi Active Running Skirt</t>
  </si>
  <si>
    <t>https://www.amazon.com/dp/B0C918W433?psc=1</t>
  </si>
  <si>
    <t>https://m.media-amazon.com/images/I/51C+KH+kAuL._AIweblab959719,T4_AC_SR38,50_.jpg?aicid=AUI-3.1</t>
  </si>
  <si>
    <t>105</t>
  </si>
  <si>
    <t>2022-08-20</t>
  </si>
  <si>
    <t>CZRLHYT Store</t>
  </si>
  <si>
    <t xml:space="preserve">公司名称：Chen Shumian
办公地址：
安泰路嘉琳广场11幢705室
泉州
洛江
福建
362000
CN
</t>
  </si>
  <si>
    <t>https://www.amazon.com/gp/help/seller/at-a-glance.html/ref=dp_merchant_link?seller=A34W0637HUY9YO</t>
  </si>
  <si>
    <t>9.91 ounces</t>
  </si>
  <si>
    <t>280.94 g</t>
  </si>
  <si>
    <t>13.86 x 10.47 x 1.34 inches</t>
  </si>
  <si>
    <t>35.20 x 26.59 x 3.40 cm</t>
  </si>
  <si>
    <t>B0BHNTCSX9</t>
  </si>
  <si>
    <t>Size: Large | Color: Black Full Length Leggings-b | Team Name: Full Length</t>
  </si>
  <si>
    <t>Fabric type: 85% Polyester, 15% Spandex | Origin: Imported | Closure type: Zipper | Length: Below the Knee | Country of Origin: China</t>
  </si>
  <si>
    <t>ANIVIVO Women Long Knee Length Skirt with Capris Leggings,Skirted Leggings with High Waisted Zipper Pockets</t>
  </si>
  <si>
    <t>https://www.amazon.com/dp/B0BHNTCSX9?psc=1</t>
  </si>
  <si>
    <t>https://m.media-amazon.com/images/I/31EVh2TCLpL._AC_SR600,600_.jpg</t>
  </si>
  <si>
    <t>B0D9CM6644</t>
  </si>
  <si>
    <t>47</t>
  </si>
  <si>
    <t>2021-07-14</t>
  </si>
  <si>
    <t>14.89 ounces</t>
  </si>
  <si>
    <t>422.12 g</t>
  </si>
  <si>
    <t>10.67 x 10.35 x 1.85 inches</t>
  </si>
  <si>
    <t>27.10 x 26.29 x 4.70 cm</t>
  </si>
  <si>
    <t>B0D5HGZG2F</t>
  </si>
  <si>
    <t>ODODOS Wrap Skorts for Women Built-in Shorts High Waist Tennis Skirts with Pockets for Casual Athletic Golf</t>
  </si>
  <si>
    <t>https://www.amazon.com/dp/B0D5HGZG2F?psc=1</t>
  </si>
  <si>
    <t>https://m.media-amazon.com/images/I/31e827D+pjL._AC_SR600,600_.jpg</t>
  </si>
  <si>
    <t>2024-05-28</t>
  </si>
  <si>
    <t>10.55 ounces</t>
  </si>
  <si>
    <t>299.09 g</t>
  </si>
  <si>
    <t>8.43 x 5.55 x 1.69 inches</t>
  </si>
  <si>
    <t>21.41 x 14.10 x 4.29 cm</t>
  </si>
  <si>
    <t>B0BZH8PP33</t>
  </si>
  <si>
    <t>https://www.amazon.com/stores/CAZUOYI/page/3D3DB17B-FF03-4615-A0AC-2AB14A906E0A?ref_=ast_bln</t>
  </si>
  <si>
    <t>Pleated Mini Skirt High Waisted Tennis Skirts Skorts for Women Girls School Uniform Dress Cheer Skirt with Shorts,2T-4XL</t>
  </si>
  <si>
    <t>https://www.amazon.com/dp/B0BZH8PP33?psc=1</t>
  </si>
  <si>
    <t>https://m.media-amazon.com/images/I/41dvkWhCTpL._AC_SR600,600_.jpg</t>
  </si>
  <si>
    <t>36
64</t>
  </si>
  <si>
    <t>2024-07-10</t>
  </si>
  <si>
    <t xml:space="preserve">公司名称：Yansi Tang
办公地址：
好百年商业广场5号楼1369室
苏州市
姑苏区
江苏省
215000
CN
</t>
  </si>
  <si>
    <t>https://www.amazon.com/gp/help/seller/at-a-glance.html/ref=dp_merchant_link?seller=A18ONQ5JPHCYH1</t>
  </si>
  <si>
    <t>kids pleated skirt</t>
  </si>
  <si>
    <t>12.05 x 6.26 x 1.5 inches</t>
  </si>
  <si>
    <t>30.61 x 15.90 x 3.81 cm</t>
  </si>
  <si>
    <t>B0BWDMFJ87</t>
  </si>
  <si>
    <t>SANGTREE Women Pleated Tennis Skirt with Pockets Girls High Waisted Athletic Golf Skorts, 2 Years - US 4XL</t>
  </si>
  <si>
    <t>https://www.amazon.com/dp/B0BWDMFJ87?psc=1</t>
  </si>
  <si>
    <t>https://m.media-amazon.com/images/I/51IiH55cqsL._AC_SR600,600_.jpg</t>
  </si>
  <si>
    <t>73</t>
  </si>
  <si>
    <t>2022-07-06</t>
  </si>
  <si>
    <t>plaid tennis skirt</t>
  </si>
  <si>
    <t>B0D8PVS658</t>
  </si>
  <si>
    <t>Womens Tennis Skirt Skort with Shorts Pockets Golf Athletic Workout Side Slit Dressy Casual Summer Mini Skirts</t>
  </si>
  <si>
    <t>https://www.amazon.com/dp/B0D8PVS658?psc=1</t>
  </si>
  <si>
    <t>https://images-na.ssl-images-amazon.com/images/I/71SkFoDAZpL._AC_US600_.jpg</t>
  </si>
  <si>
    <t>B0D8Q9GCQW</t>
  </si>
  <si>
    <t>2024-07-02</t>
  </si>
  <si>
    <t>7.48 x 6.77 x 1.3 inches</t>
  </si>
  <si>
    <t>19.00 x 17.20 x 3.30 cm</t>
  </si>
  <si>
    <t>B0BHHZYSSB</t>
  </si>
  <si>
    <t>https://www.amazon.com/stores/XNMAYA/page/36CB5E40-34D0-4AFC-A3E8-4C1297D8D0A5?ref_=ast_bln</t>
  </si>
  <si>
    <t>XNMAYA Women Pleated Tennis Skirt High Waisted Golf Athletic Skort Mini Skirts with Shorts Pockets Workout Running Apparel</t>
  </si>
  <si>
    <t>https://www.amazon.com/dp/B0BHHZYSSB?psc=1</t>
  </si>
  <si>
    <t>2022-10-05</t>
  </si>
  <si>
    <t>taoxi-store</t>
  </si>
  <si>
    <t xml:space="preserve">公司名称：guangzhoutaoximaoyiyouxiangongsi
办公地址：
yuexiuqunonglinxialu40hao
balouzibian801-C135
guangzhoushi
guangdongsheng
510000
CN
</t>
  </si>
  <si>
    <t>https://www.amazon.com/gp/help/seller/at-a-glance.html/ref=dp_merchant_link?seller=AGI8S9YM8S32</t>
  </si>
  <si>
    <t>purple gold hinge skirt</t>
  </si>
  <si>
    <t>7.09 x 3.74 x 2.76 inches</t>
  </si>
  <si>
    <t>18.01 x 9.50 x 7.01 cm</t>
  </si>
  <si>
    <t>B0BVVQWQJQ</t>
  </si>
  <si>
    <t>Ekouaer Golf Skorts for Woman Active Performance Skort Lightweight Tennis Skirt with Shorts Pockets Running Workout Sports</t>
  </si>
  <si>
    <t>https://www.amazon.com/dp/B0BVVQWQJQ?psc=1</t>
  </si>
  <si>
    <t>https://m.media-amazon.com/images/I/31-vKe36HzL._AC_SR600,600_.jpg</t>
  </si>
  <si>
    <t>2023-02-14</t>
  </si>
  <si>
    <t>4.23 ounces</t>
  </si>
  <si>
    <t>119.92 g</t>
  </si>
  <si>
    <t>11.3 x 9.69 x 0.71 inches</t>
  </si>
  <si>
    <t>28.70 x 24.61 x 1.80 cm</t>
  </si>
  <si>
    <t>B0BBMF142Z</t>
  </si>
  <si>
    <t>https://www.amazon.com/stores/XiokerSports/page/5C17F7F6-E1B6-44CC-9855-669CCCFB9840?ref_=ast_bln&amp;store_ref=bl_ast_dp_brandLogo_sto</t>
  </si>
  <si>
    <t>Xioker Women Athletic Knee Length Skirts with Leggings,Skorts Leggings&amp;Skirted Capris Skorts for Women Yoga Pockets</t>
  </si>
  <si>
    <t>https://www.amazon.com/dp/B0BBMF142Z?psc=1</t>
  </si>
  <si>
    <t>https://m.media-amazon.com/images/I/31XbB5VBUVL._AC_SR600,600_.jpg</t>
  </si>
  <si>
    <t>65</t>
  </si>
  <si>
    <t>2024-09-26</t>
  </si>
  <si>
    <t xml:space="preserve">公司名称：ShanghaixiongkeTradeCO.,Ltd.
办公地址：
185号1层J1183室
嘉定区
上海市嘉定区安亭镇墨玉路
上海市
2000000
CN
</t>
  </si>
  <si>
    <t>https://www.amazon.com/gp/help/seller/at-a-glance.html/ref=dp_merchant_link?seller=A24775X1KAIBQI</t>
  </si>
  <si>
    <t>11.68 ounces</t>
  </si>
  <si>
    <t>331.12 g</t>
  </si>
  <si>
    <t>9.57 x 8.23 x 2.32 inches</t>
  </si>
  <si>
    <t>24.31 x 20.90 x 5.89 cm</t>
  </si>
  <si>
    <t>B0D7MLB4G9</t>
  </si>
  <si>
    <t>https://www.amazon.com/Komorebi/b/ref=bl_sl_s_ap_web_18916816011?ie=UTF8&amp;node=18916816011&amp;field-lbr_brands_browse-bin=Komorebi</t>
  </si>
  <si>
    <t>Komorebi Womens Tennis Skirt Pleated Skirts High Waisted Golf Skirts Skorts Skirts with Pockets Athletic Workout Skirts</t>
  </si>
  <si>
    <t>https://www.amazon.com/dp/B0D7MLB4G9?psc=1</t>
  </si>
  <si>
    <t>https://m.media-amazon.com/images/I/31Cz1dtzZYL._AC_SR600,600_.jpg</t>
  </si>
  <si>
    <t>42
72</t>
  </si>
  <si>
    <t>2022-01-20</t>
  </si>
  <si>
    <t>Azue</t>
  </si>
  <si>
    <t xml:space="preserve">公司名称：Hangzhou Yuanxin Information Technology Co.,Ltd.
办公地址：
西兴街道滨康路188号
8幢1008室
杭州市
浙江
310000
CN
</t>
  </si>
  <si>
    <t>https://www.amazon.com/gp/help/seller/at-a-glance.html/ref=dp_merchant_link?seller=AMWQF3212ETWM</t>
  </si>
  <si>
    <t>B09HTLMGR3</t>
  </si>
  <si>
    <t>https://www.amazon.com/stores/WowenyFashionSports/page/3D2B143F-34DE-485E-BFE3-BDB0B8FA5ED3?ref_=ast_bln&amp;store_ref=bl_ast_dp_brandLogo_sto</t>
  </si>
  <si>
    <t>WOWENY Tennis Skirted Leggings with Pockets for Women Active Skort Athletic Ruffle Pleated Golf Skapri with Skirt</t>
  </si>
  <si>
    <t>https://www.amazon.com/dp/B09HTLMGR3?psc=1</t>
  </si>
  <si>
    <t>https://images-na.ssl-images-amazon.com/images/I/61lUFO4TnlL._AC_US600_.jpg</t>
  </si>
  <si>
    <t>51</t>
  </si>
  <si>
    <t>2021-10-14</t>
  </si>
  <si>
    <t>US Enjoy Fashion Store</t>
  </si>
  <si>
    <t xml:space="preserve">公司名称：guangzhou huangteng maoyi youxian gongsi
办公地址：
丰泽东路106号（自编1号楼）X1301-A7482
广州市
南沙区
广东
510000
CN
</t>
  </si>
  <si>
    <t>https://www.amazon.com/gp/help/seller/at-a-glance.html/ref=dp_merchant_link?seller=A3OGLFRJIKZSEY</t>
  </si>
  <si>
    <t>womens fall golf clothes</t>
  </si>
  <si>
    <t>10.59 x 5.79 x 2.91 inches</t>
  </si>
  <si>
    <t>26.90 x 14.71 x 7.39 cm</t>
  </si>
  <si>
    <t>B0D53GV4H8</t>
  </si>
  <si>
    <t>https://www.amazon.com/stores/CRESAY/page/1A434FE1-0B49-4696-9048-3999EE19BC64?ref_=ast_bln&amp;store_ref=bl_ast_dp_brandLogo_sto</t>
  </si>
  <si>
    <t>Cresay Women's Pleated Skirt High Waisted Ruffle Tennis Skirts Sports Skater Running Skorts with Shorts Pockets</t>
  </si>
  <si>
    <t>https://www.amazon.com/dp/B0D53GV4H8?psc=1</t>
  </si>
  <si>
    <t>https://m.media-amazon.com/images/I/41kPdH8q-qL._AC_SR600,600_.jpg</t>
  </si>
  <si>
    <t>Women's Athletic Skirts
Women's Dance Skirts
Women's Yoga Clothing</t>
  </si>
  <si>
    <t>74
131
1235</t>
  </si>
  <si>
    <t>2024-05-23</t>
  </si>
  <si>
    <t xml:space="preserve">公司名称：jian ou shi ku lei xi mao yi you xian gong si
办公地址：
建瓯市芝山磨房前82号
南平市
建瓯
福建省
353100
CN
</t>
  </si>
  <si>
    <t>https://www.amazon.com/gp/help/seller/at-a-glance.html/ref=dp_merchant_link?seller=A35KZH1XOKRBK</t>
  </si>
  <si>
    <t>5.9 x 5.9 x 0.8 inches</t>
  </si>
  <si>
    <t>14.99 x 14.99 x 2.03 cm</t>
  </si>
  <si>
    <t>B0B4SCTNDH</t>
  </si>
  <si>
    <t>https://www.amazon.com/stores/Aurgelmir/page/04964F01-4C86-4940-8DF1-9FE259AA09A8?ref_=ast_bln&amp;store_ref=bl_ast_dp_brandLogo_sto</t>
  </si>
  <si>
    <t>Aurgelmir Womens Tennis Skirt with Capris Leggings Golf Knee Length Skorts Athletic Long Skirts for Women with Pockets</t>
  </si>
  <si>
    <t>https://www.amazon.com/dp/B0B4SCTNDH?psc=1</t>
  </si>
  <si>
    <t>https://images-na.ssl-images-amazon.com/images/I/41bs8h3nUAL._AC_US600_.jpg</t>
  </si>
  <si>
    <t>B0BDF6N9G3</t>
  </si>
  <si>
    <t>43</t>
  </si>
  <si>
    <t>2022-06-21</t>
  </si>
  <si>
    <t xml:space="preserve">公司名称：Hangzhou Pibilu Clothing Co., Ltd.
办公地址：
南苑街道南大街263-9号-1丛域商务秘书企业托管235
杭州市
余杭区
浙江省
311100
CN
</t>
  </si>
  <si>
    <t>https://www.amazon.com/gp/help/seller/at-a-glance.html/ref=dp_merchant_link?seller=A39S8SRL7UWE0L</t>
  </si>
  <si>
    <t>12.71 x 10.16 x 0.79 inches</t>
  </si>
  <si>
    <t>32.28 x 25.81 x 2.01 cm</t>
  </si>
  <si>
    <t>B0BZY6JPVB</t>
  </si>
  <si>
    <t>https://www.amazon.com/TTCM/b/ref=bl_sl_s_ap_web_101475501011?ie=UTF8&amp;node=101475501011&amp;field-lbr_brands_browse-bin=TTCM</t>
  </si>
  <si>
    <t>Tennis Skirts for Women with Shorts Pockets, High Waist Pleated Golf Skirts for Running Workout Sports</t>
  </si>
  <si>
    <t>https://www.amazon.com/dp/B0BZY6JPVB?psc=1</t>
  </si>
  <si>
    <t>https://m.media-amazon.com/images/I/41Vt3zapR3L._AC_SR600,600_.jpg</t>
  </si>
  <si>
    <t>2023-05-08</t>
  </si>
  <si>
    <t xml:space="preserve">公司名称：Zhangzhou Longhaiqu Haimai Shangmao Youxiangongsi
办公地址：
榜山镇紫崴路39-6号201室
漳州市
龙海区
福建省
363100
CN
</t>
  </si>
  <si>
    <t>https://www.amazon.com/gp/help/seller/at-a-glance.html/ref=dp_merchant_link?seller=AJ2IE5554PWR2</t>
  </si>
  <si>
    <t>6.21 ounces</t>
  </si>
  <si>
    <t>176.05 g</t>
  </si>
  <si>
    <t>10.63 x 9.45 x 0.6 inches</t>
  </si>
  <si>
    <t>27.00 x 24.00 x 1.52 cm</t>
  </si>
  <si>
    <t>B07Z3DYGPC</t>
  </si>
  <si>
    <t>https://www.amazon.com/stores/Ibeauti/page/DA7CF522-D8C1-47C3-BC4D-635BA568C712?ref_=ast_bln&amp;store_ref=bl_ast_dp_brandLogo_sto</t>
  </si>
  <si>
    <t>Ibeauti Womens Back Pleated Athletic Tennis Skorts Golf Skirts with 3 Pockets Mesh Shorts for Running Active Workout</t>
  </si>
  <si>
    <t>https://www.amazon.com/dp/B07Z3DYGPC?psc=1</t>
  </si>
  <si>
    <t>https://images-na.ssl-images-amazon.com/images/I/71SSv5qFA7L._AC_US600_.jpg</t>
  </si>
  <si>
    <t>Women's Athletic Skorts
Women's Athletic Skirts</t>
  </si>
  <si>
    <t>68
111</t>
  </si>
  <si>
    <t>2019-07-09</t>
  </si>
  <si>
    <t xml:space="preserve">公司名称：Shaohua Li
办公地址：
皖河路华地金融中心D座2501
合肥
蜀山区
安徽
230000
CN
</t>
  </si>
  <si>
    <t>https://www.amazon.com/gp/help/seller/at-a-glance.html/ref=dp_merchant_link?seller=A2MH65MY8DV99Y</t>
  </si>
  <si>
    <t>patriotic golf skirt</t>
  </si>
  <si>
    <t>7.87 x 7.09 x 1.18 inches</t>
  </si>
  <si>
    <t>19.99 x 18.01 x 3.00 cm</t>
  </si>
  <si>
    <t>B0BK8ZQBLS</t>
  </si>
  <si>
    <t>https://www.amazon.com/stores/GANADO/page/E5F73BC9-B93D-4218-8FE9-C18807977314?ref_=ast_bln&amp;store_ref=bl_ast_dp_brandLogo_sto</t>
  </si>
  <si>
    <t>Ganado Tennis Skorts Skirts for Women with 4 Pockets Pleated Golf Skirt High Waisted Athletic Skort Workout Sports Skirt</t>
  </si>
  <si>
    <t>https://www.amazon.com/dp/B0BK8ZQBLS?psc=1</t>
  </si>
  <si>
    <t>https://m.media-amazon.com/images/I/31Q+qxBiP5L._AC_SR600,600_.jpg</t>
  </si>
  <si>
    <t>61</t>
  </si>
  <si>
    <t>2022-03-24</t>
  </si>
  <si>
    <t xml:space="preserve">公司名称：guangzhoushiliangliangyundongyongpinyouxiangongsi
办公地址：
石井街聚源街50号C栋418室
广州市
白云区
广东省
510000
CN
</t>
  </si>
  <si>
    <t>https://www.amazon.com/gp/help/seller/at-a-glance.html/ref=dp_merchant_link?seller=A1MQI7SMZZ7C1W</t>
  </si>
  <si>
    <t>ganado tennis skorts skirts for women</t>
  </si>
  <si>
    <t>B0CT89R1L4</t>
  </si>
  <si>
    <t>https://www.amazon.com/stores/Heathyoga/page/ADF7612E-0194-4BBE-B9AA-8E2C72DF616C?ref_=ast_bln&amp;store_ref=bl_ast_dp_brandLogo_sto</t>
  </si>
  <si>
    <t>Heathyoga Pleated Tennis Skirt with Pockets for Women Tennis Skort for Woman High Waisted Golf Skirts Athletic Skirt</t>
  </si>
  <si>
    <t>https://www.amazon.com/dp/B0CT89R1L4?psc=1</t>
  </si>
  <si>
    <t>https://images-na.ssl-images-amazon.com/images/I/71iNwyoB6+L._AC_US600_.jpg</t>
  </si>
  <si>
    <t>39
81
104</t>
  </si>
  <si>
    <t xml:space="preserve">公司名称：REN JIE
办公地址：
君澜一街天幕2栋502
番禺区剑桥郡
广州
番禺
广东
510000
CN
</t>
  </si>
  <si>
    <t>https://www.amazon.com/gp/help/seller/at-a-glance.html/ref=dp_merchant_link?seller=A2V0UAASMLW3VH</t>
  </si>
  <si>
    <t>8.47 ounces</t>
  </si>
  <si>
    <t>10.87 x 6.85 x 1.69 inches</t>
  </si>
  <si>
    <t>27.61 x 17.40 x 4.29 cm</t>
  </si>
  <si>
    <t>B0CSYD4QMR</t>
  </si>
  <si>
    <t>SANTINY Women's Pleated Tennis Skirt High Waited Athletic Skirts with Pockets Tummy Control Golf Skorts for Woman</t>
  </si>
  <si>
    <t>https://www.amazon.com/dp/B0CSYD4QMR?psc=1</t>
  </si>
  <si>
    <t>https://m.media-amazon.com/images/I/41AjvNZtUCL._AC_SR600,600_.jpg</t>
  </si>
  <si>
    <t>50
77</t>
  </si>
  <si>
    <t>6 ounces</t>
  </si>
  <si>
    <t>170.10 g</t>
  </si>
  <si>
    <t>11.81 x 7.87 x 0.47 inches</t>
  </si>
  <si>
    <t>30.00 x 19.99 x 1.19 cm</t>
  </si>
  <si>
    <t>B07YRW6BBZ</t>
  </si>
  <si>
    <t>https://www.amazon.com/stores/A2Y/page/599F0E35-293A-408D-8F5B-D183ECDC8EC2?ref_=ast_bln&amp;store_ref=bl_ast_dp_brandLogo_sto</t>
  </si>
  <si>
    <t>A2Y Women's Basic Foldable High Waist Floor Length Maxi Skirts</t>
  </si>
  <si>
    <t>https://www.amazon.com/dp/B07YRW6BBZ?psc=1</t>
  </si>
  <si>
    <t>https://m.media-amazon.com/images/I/21wgZEXuJpL._AC_SR600,600_.jpg</t>
  </si>
  <si>
    <t>Women's Athletic Skirts
Women's Shops</t>
  </si>
  <si>
    <t>76
743</t>
  </si>
  <si>
    <t>2019-06-17</t>
  </si>
  <si>
    <t>Amazing2You</t>
  </si>
  <si>
    <t xml:space="preserve">公司名称：YAYA APPAREL, INC.
办公地址：
41610 Date St
STE 105
MURRIETA
CA
92562
US
</t>
  </si>
  <si>
    <t>https://www.amazon.com/gp/help/seller/at-a-glance.html/ref=dp_merchant_link?seller=ARYR5KB7WDODT</t>
  </si>
  <si>
    <t>8.8 ounces</t>
  </si>
  <si>
    <t>249.48 g</t>
  </si>
  <si>
    <t>7 x 8 x 0.4 inches</t>
  </si>
  <si>
    <t>17.78 x 20.32 x 1.02 cm</t>
  </si>
  <si>
    <t>B0C9QNFW18</t>
  </si>
  <si>
    <t>https://www.amazon.com/stores/Joyingtwo/page/AA994E35-091F-495D-8B4E-77FE38D76020?ref_=ast_bln</t>
  </si>
  <si>
    <t>Joyingtwo Pleated Skirt for Women Skater Skirt with Shorts Elastic Waist Plus Size Tennis Skirts</t>
  </si>
  <si>
    <t>https://www.amazon.com/dp/B0C9QNFW18?psc=1</t>
  </si>
  <si>
    <t>https://images-na.ssl-images-amazon.com/images/I/619mEGg9BlL._AC_US600_.jpg</t>
  </si>
  <si>
    <t>53
79</t>
  </si>
  <si>
    <t>2023-06-28</t>
  </si>
  <si>
    <t>joyingtwo</t>
  </si>
  <si>
    <t xml:space="preserve">公司名称：Nanchang JiuTu Information Technology Co., Ltd
办公地址：
紫金园二区
南昌
红谷滩新区
江西
330038
CN
</t>
  </si>
  <si>
    <t>https://www.amazon.com/gp/help/seller/at-a-glance.html/ref=dp_merchant_link?seller=A3268KKK8QF5FK</t>
  </si>
  <si>
    <t>12.13 x 9.33 x 1.22 inches</t>
  </si>
  <si>
    <t>30.81 x 23.70 x 3.10 cm</t>
  </si>
  <si>
    <t>B0CNCBQBWW</t>
  </si>
  <si>
    <t>Size: Small | Color: #01b1- 2 Piece Skirt Set- White</t>
  </si>
  <si>
    <t>https://www.amazon.com/dp/B0CNCBQBWW?psc=1</t>
  </si>
  <si>
    <t>https://images-na.ssl-images-amazon.com/images/I/71GK9daXJFL._AC_US600_.jpg</t>
  </si>
  <si>
    <t>B0D7SSDNMY</t>
  </si>
  <si>
    <t>27
48</t>
  </si>
  <si>
    <t>2024-01-24</t>
  </si>
  <si>
    <t>12.32 x 8.9 x 1.77 inches</t>
  </si>
  <si>
    <t>31.29 x 22.61 x 4.50 cm</t>
  </si>
  <si>
    <t>B0CNVT851G</t>
  </si>
  <si>
    <t>https://www.amazon.com/stores/Viodia/page/2DE13E0B-A7B3-4F9B-9846-53EBE7FDA4F5?ref_=ast_bln&amp;store_ref=bl_ast_dp_brandLogo_sto</t>
  </si>
  <si>
    <t>Viodia 16" Golf Skorts for Women High Waisted Tennis Skirt Athletic Skorts Skirts for Women Built-in Shorts with 5 Pockets</t>
  </si>
  <si>
    <t>https://www.amazon.com/dp/B0CNVT851G?psc=1</t>
  </si>
  <si>
    <t>https://m.media-amazon.com/images/I/312T+8HISFL._AC_SR600,600_.jpg</t>
  </si>
  <si>
    <t>101</t>
  </si>
  <si>
    <t>2023-11-22</t>
  </si>
  <si>
    <t xml:space="preserve">公司名称：Xia Men Jun Tuo Network Technology Co.,Ltd.
办公地址：
吕岭路1581号910单元之二十
厦门市
思明区
福建
361008
CN
</t>
  </si>
  <si>
    <t>https://www.amazon.com/gp/help/seller/at-a-glance.html/ref=dp_merchant_link?seller=A3ARCQ9ILY075Q</t>
  </si>
  <si>
    <t>10.72 ounces</t>
  </si>
  <si>
    <t>303.91 g</t>
  </si>
  <si>
    <t>7.68 x 5.99 x 1.93 inches</t>
  </si>
  <si>
    <t>19.51 x 15.21 x 4.90 cm</t>
  </si>
  <si>
    <t>B0CQX17W1G</t>
  </si>
  <si>
    <t>https://www.amazon.com/stores/NORMOV/page/B3E19D4A-0DED-4089-BEC3-DF1BA344462A?ref_=ast_bln</t>
  </si>
  <si>
    <t>NORMOV Tennis Skirt for Women with Pockets,High Waisted Athletic Golf Skirts Casual Summer Skorts</t>
  </si>
  <si>
    <t>https://www.amazon.com/dp/B0CQX17W1G?psc=1</t>
  </si>
  <si>
    <t>https://images-na.ssl-images-amazon.com/images/I/71fEBPiwuqL._AC_US600_.jpg</t>
  </si>
  <si>
    <t>29
50</t>
  </si>
  <si>
    <t>2023-12-24</t>
  </si>
  <si>
    <t xml:space="preserve">公司名称：YIWUOUYONGMAOYIYOUXIANGONGSI
办公地址：
北苑街道莲塘四区19栋2单元305
金华市
义乌市
浙江省
322000
CN
</t>
  </si>
  <si>
    <t>https://www.amazon.com/gp/help/seller/at-a-glance.html/ref=dp_merchant_link?seller=A3MMXFW2QAF7BE</t>
  </si>
  <si>
    <t>9.45 x 6.46 x 1.69 inches</t>
  </si>
  <si>
    <t>24.00 x 16.41 x 4.29 cm</t>
  </si>
  <si>
    <t>B0BJKP58Q8</t>
  </si>
  <si>
    <t>https://www.amazon.com/stores/HOKOYI/page/07637E19-C5CA-4012-B20B-9AE8FBEC1FED?ref_=ast_bln&amp;store_ref=bl_ast_dp_brandLogo_sto</t>
  </si>
  <si>
    <t>HOKOYI Women's Modest Long Skirt with Attached Leggings Pockets Midi Cover Up Workout Skirted Capris</t>
  </si>
  <si>
    <t>https://www.amazon.com/dp/B0BJKP58Q8?psc=1</t>
  </si>
  <si>
    <t>https://m.media-amazon.com/images/I/31R5aRELi-L._AC_SR600,600_.jpg</t>
  </si>
  <si>
    <t>71</t>
  </si>
  <si>
    <t>2022-10-17</t>
  </si>
  <si>
    <t xml:space="preserve">公司名称：Yilin Dianzishangwuyouxiangongsi
办公地址：
五常街道宏旺西溪阳光中心2幢705室
杭州市
余杭区
浙江省
311000
CN
</t>
  </si>
  <si>
    <t>https://www.amazon.com/gp/help/seller/at-a-glance.html/ref=dp_merchant_link?seller=A2U6Y6GUDRM6PV</t>
  </si>
  <si>
    <t>skirt with long leggings</t>
  </si>
  <si>
    <t>10.28 x 7.91 x 1.46 inches</t>
  </si>
  <si>
    <t>26.11 x 20.09 x 3.71 cm</t>
  </si>
  <si>
    <t>B093XS7LP2</t>
  </si>
  <si>
    <t>https://www.amazon.com/stores/Betaven/page/720E6134-0D08-42D8-9556-267F9A867429?ref_=ast_bln&amp;store_ref=bl_ast_dp_brandLogo_sto</t>
  </si>
  <si>
    <t>Betaven Pleated Tennis Skirts for Women with Pockets Build in Shorts Golf Skort High Waisted Athletic Running Activewear</t>
  </si>
  <si>
    <t>https://www.amazon.com/dp/B093XS7LP2?psc=1</t>
  </si>
  <si>
    <t>https://m.media-amazon.com/images/I/41ncfwj4XsL._AC_SR600,600_.jpg</t>
  </si>
  <si>
    <t>41
58</t>
  </si>
  <si>
    <t>2021-04-30</t>
  </si>
  <si>
    <t xml:space="preserve">公司名称：guangzhouwoluoermaoyiyouxiangongsi
办公地址：
新华街莲塘村新华莲塘新西二十六巷12号101铺
广州
花都区
广东
510800
CN
</t>
  </si>
  <si>
    <t>https://www.amazon.com/gp/help/seller/at-a-glance.html/ref=dp_merchant_link?seller=A167MWRKMDKHIP</t>
  </si>
  <si>
    <t>red clothing</t>
  </si>
  <si>
    <t>13.66 x 11.22 x 1.26 inches</t>
  </si>
  <si>
    <t>34.70 x 28.50 x 3.20 cm</t>
  </si>
  <si>
    <t>B084KX4SX6</t>
  </si>
  <si>
    <t>https://www.amazon.com/stores/RBX/page/78897117-36E3-4177-9399-6280AE9D7D85?ref_=ast_bln&amp;store_ref=bl_ast_dp_brandLogo_sto</t>
  </si>
  <si>
    <t>RBX Active Women's Golf/Tennis Everyday Casual Athletic Skort with Bike Shorts</t>
  </si>
  <si>
    <t>https://www.amazon.com/dp/B084KX4SX6?psc=1</t>
  </si>
  <si>
    <t>https://images-na.ssl-images-amazon.com/images/I/71SjAUBobQL._AC_US600_.jpg</t>
  </si>
  <si>
    <t>95</t>
  </si>
  <si>
    <t>2017-02-22</t>
  </si>
  <si>
    <t xml:space="preserve">公司名称：NY
电话号码：888-588-2892
办公地址：
1400 Broadway
Suite 2830
NY
New York
10018
US
</t>
  </si>
  <si>
    <t>https://www.amazon.com/gp/help/seller/at-a-glance.html/ref=dp_merchant_link?seller=A34BGYZVA31Z8W</t>
  </si>
  <si>
    <t>0.43 pounds</t>
  </si>
  <si>
    <t>195.04 g</t>
  </si>
  <si>
    <t>7 x 2 x 9 inches</t>
  </si>
  <si>
    <t>17.78 x 5.08 x 22.86 cm</t>
  </si>
  <si>
    <t>B0CQCLL1LG</t>
  </si>
  <si>
    <t>https://www.amazon.com/stores/EARKOHA/page/BEA02167-BB2F-4C6B-8C46-D62FFEB866C2?ref_=ast_bln&amp;store_ref=bl_ast_dp_brandLogo_sto</t>
  </si>
  <si>
    <t>EARKOHA Women Tennis Skort Athletic Golf Skirt High Waisted Layered Running Skirt Built-in Shorts with 2 Pockets</t>
  </si>
  <si>
    <t>https://www.amazon.com/dp/B0CQCLL1LG?psc=1</t>
  </si>
  <si>
    <t>https://m.media-amazon.com/images/I/416Laj178vL._AIweblab959719,T4_AC_SR38,50_.jpg?aicid=AUI-3.1</t>
  </si>
  <si>
    <t>25
45
62</t>
  </si>
  <si>
    <t>EARKOHAI</t>
  </si>
  <si>
    <t xml:space="preserve">公司名称：Xiamenshengchengandianzishangwuyouxiangongsi
办公地址：
安岭路988号A栋503-7室
厦门市
湖里区
361000
CN
</t>
  </si>
  <si>
    <t>https://www.amazon.com/gp/help/seller/at-a-glance.html/ref=dp_merchant_link?seller=AWC7NUCRC3BCP</t>
  </si>
  <si>
    <t>B0D1C1LW64</t>
  </si>
  <si>
    <t>Stelle Women Tennis Skirt Athletic Skort High Waisted Golf Inner Shorts with Pockets Running Sports Pickleball</t>
  </si>
  <si>
    <t>https://www.amazon.com/dp/B0D1C1LW64?psc=1</t>
  </si>
  <si>
    <t>https://m.media-amazon.com/images/I/318j3COTLnL._AC_SR600,600_.jpg</t>
  </si>
  <si>
    <t>54
87</t>
  </si>
  <si>
    <t>2024-04-09</t>
  </si>
  <si>
    <t>B0C23QYD92</t>
  </si>
  <si>
    <t>CRZ YOGA Womens Pleated Tennis Skirts with Pockets High Waisted Athletic Golf Skorts Skirts for Women Soft Breathable Cute</t>
  </si>
  <si>
    <t>https://www.amazon.com/dp/B0C23QYD92?psc=1</t>
  </si>
  <si>
    <t>https://m.media-amazon.com/images/I/419kHLN+NqL._AC_SR600,600_.jpg</t>
  </si>
  <si>
    <t>69
70</t>
  </si>
  <si>
    <t>6.35 ounces</t>
  </si>
  <si>
    <t>8.78 x 7.8 x 1.65 inches</t>
  </si>
  <si>
    <t>22.30 x 19.81 x 4.19 cm</t>
  </si>
  <si>
    <t>B09YCB59RW</t>
  </si>
  <si>
    <t>HOKOYI Modest Skirt with Leggings Attached for Women Workout Knee Length Swim Capri Pants with 2 Pockets</t>
  </si>
  <si>
    <t>https://www.amazon.com/dp/B09YCB59RW?psc=1</t>
  </si>
  <si>
    <t>https://m.media-amazon.com/images/I/31edvud3stL._AC_SR600,600_.jpg</t>
  </si>
  <si>
    <t>113</t>
  </si>
  <si>
    <t>2022-05-28</t>
  </si>
  <si>
    <t>modest workout clothes for women</t>
  </si>
  <si>
    <t>9.59 ounces</t>
  </si>
  <si>
    <t>271.87 g</t>
  </si>
  <si>
    <t>8.39 x 8.35 x 1.65 inches</t>
  </si>
  <si>
    <t>21.31 x 21.21 x 4.19 cm</t>
  </si>
  <si>
    <t>B0CYBSMXH6</t>
  </si>
  <si>
    <t>Ewedoos Tennis Skirt Womens Skorts with Pockets Shorts Tennis Skirts for Women Athletic Golf Running Pickleball</t>
  </si>
  <si>
    <t>https://www.amazon.com/dp/B0CYBSMXH6?psc=1</t>
  </si>
  <si>
    <t>https://images-na.ssl-images-amazon.com/images/I/715l2cCRN9L._AC_US600_.jpg</t>
  </si>
  <si>
    <t>84</t>
  </si>
  <si>
    <t>2021-09-08</t>
  </si>
  <si>
    <t>4.8 ounces</t>
  </si>
  <si>
    <t>136.08 g</t>
  </si>
  <si>
    <t>0.5 x 0.4 x 0.3 inches</t>
  </si>
  <si>
    <t>1.27 x 1.02 x 0.76 cm</t>
  </si>
  <si>
    <t>B0CSYM9Q7T</t>
  </si>
  <si>
    <t>https://www.amazon.com/stores/COOTRY/page/565D8BF1-4C17-4F9B-A3A2-58AC71AE9048?ref_=ast_bln&amp;store_ref=bl_ast_dp_brandLogo_sto</t>
  </si>
  <si>
    <t>COOTRY Women's Plus Size Pleated Tennis Skirt with Shorts Athletic Golf Skorts with Pockets High Waisted Workout Skirts</t>
  </si>
  <si>
    <t>https://www.amazon.com/dp/B0CSYM9Q7T?psc=1</t>
  </si>
  <si>
    <t>https://images-na.ssl-images-amazon.com/images/I/617UqpBnogL._AC_US600_.jpg</t>
  </si>
  <si>
    <t>37
73
91</t>
  </si>
  <si>
    <t>Lady Outlet Store</t>
  </si>
  <si>
    <t xml:space="preserve">公司名称：Guangzhou Daijun Dianzi Shangwu Youxian Gongsi
办公地址：
白云区白云大道南295号3楼318/319/320室K004房
广州市
广东
510000
CN
</t>
  </si>
  <si>
    <t>https://www.amazon.com/gp/help/seller/at-a-glance.html/ref=dp_merchant_link?seller=ANLCQE6VHYYWG</t>
  </si>
  <si>
    <t>11.3 x 8.86 x 1.14 inches</t>
  </si>
  <si>
    <t>28.70 x 22.50 x 2.90 cm</t>
  </si>
  <si>
    <t>B0D9RSJ2F2</t>
  </si>
  <si>
    <t>AUTOMET Women's Mini Tennis Skirt High Waisted Athletic Golf Skorts Inner Shorts with Pockets 2024</t>
  </si>
  <si>
    <t>https://www.amazon.com/dp/B0D9RSJ2F2?psc=1</t>
  </si>
  <si>
    <t>https://m.media-amazon.com/images/I/310z6SNCURL._AC_SR600,600_.jpg</t>
  </si>
  <si>
    <t>32
54</t>
  </si>
  <si>
    <t>2024-07-19</t>
  </si>
  <si>
    <t>B0CG2Y9B6T</t>
  </si>
  <si>
    <t>https://www.amazon.com/stores/JACKSMITH/page/51E52A6E-5130-4D79-B070-6442E1F33D43?ref_=ast_bln&amp;store_ref=bl_ast_dp_brandLogo_sto</t>
  </si>
  <si>
    <t>JACK SMITH Women's Puffer Quilted Skirt Insulated Warm Snow Skorts for Hiking Running Golf Zipping Both Way</t>
  </si>
  <si>
    <t>https://www.amazon.com/dp/B0CG2Y9B6T?psc=1</t>
  </si>
  <si>
    <t>https://images-na.ssl-images-amazon.com/images/I/712yr75J8OL._AC_US600_.jpg</t>
  </si>
  <si>
    <t>72</t>
  </si>
  <si>
    <t>2023-08-17</t>
  </si>
  <si>
    <t>Jack Smith Fashion</t>
  </si>
  <si>
    <t xml:space="preserve">公司名称：Suzhou BSL Garments Co.,Ltd.
办公地址：
工业园区
娄葑镇东富路8号东景工业坊2幢2层
苏州市
江苏
215021
CN
</t>
  </si>
  <si>
    <t>https://www.amazon.com/gp/help/seller/at-a-glance.html/ref=dp_merchant_link?seller=A36JLU7BHR5ZMD</t>
  </si>
  <si>
    <t>10.93 ounces</t>
  </si>
  <si>
    <t>309.86 g</t>
  </si>
  <si>
    <t>13.86 x 10.2 x 1.97 inches</t>
  </si>
  <si>
    <t>35.20 x 25.91 x 5.00 cm</t>
  </si>
  <si>
    <t>B082SQNRPG</t>
  </si>
  <si>
    <t>CRZ YOGA Women's Quick Dry Pleated Tennis Skirts Mid Waisted Cute Athletic Workout Running Sports Golf Skorts Volleyball</t>
  </si>
  <si>
    <t>https://www.amazon.com/dp/B082SQNRPG?psc=1</t>
  </si>
  <si>
    <t>https://m.media-amazon.com/images/I/41P5VBsiUHL._AC_SR600,600_.jpg</t>
  </si>
  <si>
    <t>117
135</t>
  </si>
  <si>
    <t>2023-01-08</t>
  </si>
  <si>
    <t>crz tennis skirt</t>
  </si>
  <si>
    <t>10.24 x 8.66 x 0.79 inches</t>
  </si>
  <si>
    <t>26.01 x 22.00 x 2.01 cm</t>
  </si>
  <si>
    <t>B0CRBF2DBC</t>
  </si>
  <si>
    <t>Blaosn Womens Mini Tennis Skirt Athletic Workout Golf Short Flowy Crossover Pleated Skirts with Pocket Cute Clothes Summer</t>
  </si>
  <si>
    <t>https://www.amazon.com/dp/B0CRBF2DBC?psc=1</t>
  </si>
  <si>
    <t>https://images-na.ssl-images-amazon.com/images/I/61LqIkqV8uL._AC_US600_.jpg</t>
  </si>
  <si>
    <t>67
72</t>
  </si>
  <si>
    <t>2024-02-16</t>
  </si>
  <si>
    <t>7.87 x 7.87 x 0.59 inches</t>
  </si>
  <si>
    <t>19.99 x 19.99 x 1.50 cm</t>
  </si>
  <si>
    <t>B096XJR53X</t>
  </si>
  <si>
    <t>https://www.amazon.com/stores/DERCA/page/224A3F5F-0E8D-4421-8AB3-A16602730F7B?ref_=ast_bln&amp;store_ref=bl_ast_dp_brandLogo_sto</t>
  </si>
  <si>
    <t>DERCA Pleated Tennis Skirt for Women with Pockets Shorts Athletic Golf Skirts Workout Sports Activewear Skort</t>
  </si>
  <si>
    <t>https://www.amazon.com/dp/B096XJR53X?psc=1</t>
  </si>
  <si>
    <t>https://m.media-amazon.com/images/I/41W6D-IQRFL._AC_SR600,600_.jpg</t>
  </si>
  <si>
    <t>70
108</t>
  </si>
  <si>
    <t>2023-02-20</t>
  </si>
  <si>
    <t xml:space="preserve">公司名称：guangzhoushihualidianzishangwukejiyouxiangongsi
办公地址：
石井街聚源街50号4#栋3A层2071
广州市
白云区
广东省
510000
CN
</t>
  </si>
  <si>
    <t>https://www.amazon.com/gp/help/seller/at-a-glance.html/ref=dp_merchant_link?seller=AHITYY0DKK64X</t>
  </si>
  <si>
    <t>5.91 x 3.94 x 0.31 inches</t>
  </si>
  <si>
    <t>15.01 x 10.01 x 0.79 cm</t>
  </si>
  <si>
    <t>B0B4FNFD61</t>
  </si>
  <si>
    <t>Aurgelmir Knee Length Womens Golf Tennis Skirts with Capri Legging Athletic Running Outdoor Workout Skorts with Pocket</t>
  </si>
  <si>
    <t>https://www.amazon.com/dp/B0B4FNFD61?psc=1</t>
  </si>
  <si>
    <t>https://m.media-amazon.com/images/I/31ruMbTOJUL._AC_SR600,600_.jpg</t>
  </si>
  <si>
    <t>2022-08-01</t>
  </si>
  <si>
    <t>Roslom</t>
  </si>
  <si>
    <t xml:space="preserve">公司名称：Hangzhou Yunsa Network Technology Co., Ltd.
办公地址：
崇贤街道塘康路39号212室
杭州市
临平区
311100
CN
</t>
  </si>
  <si>
    <t>https://www.amazon.com/gp/help/seller/at-a-glance.html/ref=dp_merchant_link?seller=A1VF08PZ2BIJ1K</t>
  </si>
  <si>
    <t>10.58 ounces</t>
  </si>
  <si>
    <t>299.94 g</t>
  </si>
  <si>
    <t>15.75 x 11.81 x 0.75 inches</t>
  </si>
  <si>
    <t>40.01 x 30.00 x 1.91 cm</t>
  </si>
  <si>
    <t>B0CSJN478G</t>
  </si>
  <si>
    <t>https://www.amazon.com/stores/MIER/page/AF290D77-EAC6-4050-921D-8847D5493E1F?ref_=ast_bln&amp;store_ref=bl_ast_dp_brandLogo_sto</t>
  </si>
  <si>
    <t>MIER Tennis Skirts for Women Pleated Golf Skirt with Liner Pocket High Waisted Athletic Skort for Running Workout Sports</t>
  </si>
  <si>
    <t>https://www.amazon.com/dp/B0CSJN478G?psc=1</t>
  </si>
  <si>
    <t>https://m.media-amazon.com/images/I/31bxgwxMJVL._AC_SR600,600_.jpg</t>
  </si>
  <si>
    <t>67
118</t>
  </si>
  <si>
    <t>2024-01-16</t>
  </si>
  <si>
    <t>MIER SPORT</t>
  </si>
  <si>
    <t xml:space="preserve">公司名称：XIA MEN CENMAO IMPORT &amp; EXPORT CO LTD
办公地址：
湖里大道59号东侧301室
厦门市
湖里区
福建
361006
CN
</t>
  </si>
  <si>
    <t>https://www.amazon.com/gp/help/seller/at-a-glance.html/ref=dp_merchant_link?seller=A12D6DYWZULY97</t>
  </si>
  <si>
    <t>B0B6BPYMBJ</t>
  </si>
  <si>
    <t>https://www.amazon.com/stores/baleaf/page/243A5985-DEA3-405F-83ED-364B4A3733C5?ref_=ast_bln&amp;store_ref=bl_ast_dp_brandLogo_sto</t>
  </si>
  <si>
    <t>BALEAF Women's 17" Puffer Quilted Skirt Lightweight Insulated Warm Snow Skirts Hiking Running Golf Outdoors</t>
  </si>
  <si>
    <t>https://www.amazon.com/dp/B0B6BPYMBJ?psc=1</t>
  </si>
  <si>
    <t>https://m.media-amazon.com/images/I/312OWVXYx+L._AC_SR600,600_.jpg</t>
  </si>
  <si>
    <t>2022-09-08</t>
  </si>
  <si>
    <t>Baleaf Sports</t>
  </si>
  <si>
    <t xml:space="preserve">公司名称：FREEDOM SPORTS GOODS INC.
办公地址：
41-14B Main ST G21
FLUSHING
NY
11355-3133
US
</t>
  </si>
  <si>
    <t>https://www.amazon.com/gp/help/seller/at-a-glance.html/ref=dp_merchant_link?seller=AUCI3SOXHH004</t>
  </si>
  <si>
    <t>hiking skirts for women</t>
  </si>
  <si>
    <t>13.39 x 11.46 x 1.97 inches</t>
  </si>
  <si>
    <t>34.01 x 29.11 x 5.00 cm</t>
  </si>
  <si>
    <t>B097F2J334</t>
  </si>
  <si>
    <t>https://www.amazon.com/stores/Werena/page/92EC3869-06BA-4BDD-94AE-F2B4C7166A32?ref_=ast_bln&amp;store_ref=bl_ast_dp_brandLogo_sto</t>
  </si>
  <si>
    <t>High Waisted Pleated Skirts for Women Skater Tennis Skirt with Shorts Pockets Mini A-Line Skirt</t>
  </si>
  <si>
    <t>https://www.amazon.com/dp/B097F2J334?psc=1</t>
  </si>
  <si>
    <t>https://m.media-amazon.com/images/I/41X6HWdso2L._AC_SR600,600_.jpg</t>
  </si>
  <si>
    <t>2023-10-12</t>
  </si>
  <si>
    <t>7.83 Ounces</t>
  </si>
  <si>
    <t>B0D5D879B3</t>
  </si>
  <si>
    <t>CRZ YOGA A Line Golf Skirts for Women High Waisted Casual Tennis Pickleball Athletic Skorts with Shorts Pockets</t>
  </si>
  <si>
    <t>https://www.amazon.com/dp/B0D5D879B3?psc=1</t>
  </si>
  <si>
    <t>https://m.media-amazon.com/images/I/41bUztfjmQL._AC_SR600,600_.jpg</t>
  </si>
  <si>
    <t>98</t>
  </si>
  <si>
    <t>2024-06-15</t>
  </si>
  <si>
    <t>0.34 pounds</t>
  </si>
  <si>
    <t>154.22 g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</si>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</sst>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  <numFmt numFmtId="177" formatCode="#,##0.0"/>
    <numFmt numFmtId="178" formatCode="#,##0.00%"/>
  </numFmts>
  <fonts count="25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" fontId="5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177" fontId="5" fillId="2" borderId="0" xfId="0" applyNumberFormat="1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00.jpeg"/><Relationship Id="rId98" Type="http://schemas.openxmlformats.org/officeDocument/2006/relationships/image" Target="media/image99.jpeg"/><Relationship Id="rId97" Type="http://schemas.openxmlformats.org/officeDocument/2006/relationships/image" Target="media/image98.jpeg"/><Relationship Id="rId96" Type="http://schemas.openxmlformats.org/officeDocument/2006/relationships/image" Target="media/image97.jpeg"/><Relationship Id="rId95" Type="http://schemas.openxmlformats.org/officeDocument/2006/relationships/image" Target="media/image96.jpeg"/><Relationship Id="rId94" Type="http://schemas.openxmlformats.org/officeDocument/2006/relationships/image" Target="media/image95.jpeg"/><Relationship Id="rId93" Type="http://schemas.openxmlformats.org/officeDocument/2006/relationships/image" Target="media/image94.jpeg"/><Relationship Id="rId92" Type="http://schemas.openxmlformats.org/officeDocument/2006/relationships/image" Target="media/image93.jpeg"/><Relationship Id="rId91" Type="http://schemas.openxmlformats.org/officeDocument/2006/relationships/image" Target="media/image92.jpeg"/><Relationship Id="rId90" Type="http://schemas.openxmlformats.org/officeDocument/2006/relationships/image" Target="media/image91.jpeg"/><Relationship Id="rId9" Type="http://schemas.openxmlformats.org/officeDocument/2006/relationships/image" Target="media/image26.jpeg"/><Relationship Id="rId89" Type="http://schemas.openxmlformats.org/officeDocument/2006/relationships/image" Target="media/image90.jpeg"/><Relationship Id="rId88" Type="http://schemas.openxmlformats.org/officeDocument/2006/relationships/image" Target="media/image89.jpeg"/><Relationship Id="rId87" Type="http://schemas.openxmlformats.org/officeDocument/2006/relationships/image" Target="media/image88.jpeg"/><Relationship Id="rId86" Type="http://schemas.openxmlformats.org/officeDocument/2006/relationships/image" Target="media/image87.jpeg"/><Relationship Id="rId85" Type="http://schemas.openxmlformats.org/officeDocument/2006/relationships/image" Target="media/image86.jpeg"/><Relationship Id="rId84" Type="http://schemas.openxmlformats.org/officeDocument/2006/relationships/image" Target="media/image85.jpeg"/><Relationship Id="rId83" Type="http://schemas.openxmlformats.org/officeDocument/2006/relationships/image" Target="media/image84.jpeg"/><Relationship Id="rId82" Type="http://schemas.openxmlformats.org/officeDocument/2006/relationships/image" Target="media/image83.jpeg"/><Relationship Id="rId81" Type="http://schemas.openxmlformats.org/officeDocument/2006/relationships/image" Target="media/image82.jpeg"/><Relationship Id="rId80" Type="http://schemas.openxmlformats.org/officeDocument/2006/relationships/image" Target="media/image81.jpeg"/><Relationship Id="rId8" Type="http://schemas.openxmlformats.org/officeDocument/2006/relationships/image" Target="media/image25.jpeg"/><Relationship Id="rId79" Type="http://schemas.openxmlformats.org/officeDocument/2006/relationships/image" Target="media/image80.jpeg"/><Relationship Id="rId78" Type="http://schemas.openxmlformats.org/officeDocument/2006/relationships/image" Target="media/image79.jpeg"/><Relationship Id="rId77" Type="http://schemas.openxmlformats.org/officeDocument/2006/relationships/image" Target="media/image78.jpeg"/><Relationship Id="rId76" Type="http://schemas.openxmlformats.org/officeDocument/2006/relationships/image" Target="media/image77.jpeg"/><Relationship Id="rId75" Type="http://schemas.openxmlformats.org/officeDocument/2006/relationships/image" Target="media/image5.jpeg"/><Relationship Id="rId74" Type="http://schemas.openxmlformats.org/officeDocument/2006/relationships/image" Target="media/image76.jpeg"/><Relationship Id="rId73" Type="http://schemas.openxmlformats.org/officeDocument/2006/relationships/image" Target="media/image75.jpeg"/><Relationship Id="rId72" Type="http://schemas.openxmlformats.org/officeDocument/2006/relationships/image" Target="media/image74.jpeg"/><Relationship Id="rId71" Type="http://schemas.openxmlformats.org/officeDocument/2006/relationships/image" Target="media/image73.jpeg"/><Relationship Id="rId70" Type="http://schemas.openxmlformats.org/officeDocument/2006/relationships/image" Target="media/image72.jpeg"/><Relationship Id="rId7" Type="http://schemas.openxmlformats.org/officeDocument/2006/relationships/image" Target="media/image24.jpeg"/><Relationship Id="rId69" Type="http://schemas.openxmlformats.org/officeDocument/2006/relationships/image" Target="media/image71.jpeg"/><Relationship Id="rId68" Type="http://schemas.openxmlformats.org/officeDocument/2006/relationships/image" Target="media/image70.jpeg"/><Relationship Id="rId67" Type="http://schemas.openxmlformats.org/officeDocument/2006/relationships/image" Target="media/image69.jpeg"/><Relationship Id="rId66" Type="http://schemas.openxmlformats.org/officeDocument/2006/relationships/image" Target="media/image68.jpeg"/><Relationship Id="rId65" Type="http://schemas.openxmlformats.org/officeDocument/2006/relationships/image" Target="media/image67.jpeg"/><Relationship Id="rId64" Type="http://schemas.openxmlformats.org/officeDocument/2006/relationships/image" Target="media/image66.jpeg"/><Relationship Id="rId63" Type="http://schemas.openxmlformats.org/officeDocument/2006/relationships/image" Target="media/image7.jpeg"/><Relationship Id="rId62" Type="http://schemas.openxmlformats.org/officeDocument/2006/relationships/image" Target="media/image65.jpeg"/><Relationship Id="rId61" Type="http://schemas.openxmlformats.org/officeDocument/2006/relationships/image" Target="media/image64.jpeg"/><Relationship Id="rId60" Type="http://schemas.openxmlformats.org/officeDocument/2006/relationships/image" Target="media/image63.jpeg"/><Relationship Id="rId6" Type="http://schemas.openxmlformats.org/officeDocument/2006/relationships/image" Target="media/image23.jpeg"/><Relationship Id="rId59" Type="http://schemas.openxmlformats.org/officeDocument/2006/relationships/image" Target="media/image62.jpeg"/><Relationship Id="rId58" Type="http://schemas.openxmlformats.org/officeDocument/2006/relationships/image" Target="media/image61.jpeg"/><Relationship Id="rId57" Type="http://schemas.openxmlformats.org/officeDocument/2006/relationships/image" Target="media/image4.jpeg"/><Relationship Id="rId56" Type="http://schemas.openxmlformats.org/officeDocument/2006/relationships/image" Target="media/image60.jpeg"/><Relationship Id="rId55" Type="http://schemas.openxmlformats.org/officeDocument/2006/relationships/image" Target="media/image59.jpeg"/><Relationship Id="rId54" Type="http://schemas.openxmlformats.org/officeDocument/2006/relationships/image" Target="media/image15.jpeg"/><Relationship Id="rId53" Type="http://schemas.openxmlformats.org/officeDocument/2006/relationships/image" Target="media/image58.jpeg"/><Relationship Id="rId52" Type="http://schemas.openxmlformats.org/officeDocument/2006/relationships/image" Target="media/image12.jpeg"/><Relationship Id="rId51" Type="http://schemas.openxmlformats.org/officeDocument/2006/relationships/image" Target="media/image57.jpeg"/><Relationship Id="rId50" Type="http://schemas.openxmlformats.org/officeDocument/2006/relationships/image" Target="media/image3.jpeg"/><Relationship Id="rId5" Type="http://schemas.openxmlformats.org/officeDocument/2006/relationships/image" Target="media/image22.jpeg"/><Relationship Id="rId49" Type="http://schemas.openxmlformats.org/officeDocument/2006/relationships/image" Target="media/image14.jpeg"/><Relationship Id="rId48" Type="http://schemas.openxmlformats.org/officeDocument/2006/relationships/image" Target="media/image56.jpeg"/><Relationship Id="rId47" Type="http://schemas.openxmlformats.org/officeDocument/2006/relationships/image" Target="media/image55.jpeg"/><Relationship Id="rId46" Type="http://schemas.openxmlformats.org/officeDocument/2006/relationships/image" Target="media/image16.jpeg"/><Relationship Id="rId45" Type="http://schemas.openxmlformats.org/officeDocument/2006/relationships/image" Target="media/image9.jpeg"/><Relationship Id="rId44" Type="http://schemas.openxmlformats.org/officeDocument/2006/relationships/image" Target="media/image54.jpeg"/><Relationship Id="rId43" Type="http://schemas.openxmlformats.org/officeDocument/2006/relationships/image" Target="media/image10.jpeg"/><Relationship Id="rId42" Type="http://schemas.openxmlformats.org/officeDocument/2006/relationships/image" Target="media/image6.jpeg"/><Relationship Id="rId41" Type="http://schemas.openxmlformats.org/officeDocument/2006/relationships/image" Target="media/image8.jpeg"/><Relationship Id="rId40" Type="http://schemas.openxmlformats.org/officeDocument/2006/relationships/image" Target="media/image2.jpeg"/><Relationship Id="rId4" Type="http://schemas.openxmlformats.org/officeDocument/2006/relationships/image" Target="media/image21.jpeg"/><Relationship Id="rId39" Type="http://schemas.openxmlformats.org/officeDocument/2006/relationships/image" Target="media/image53.jpeg"/><Relationship Id="rId38" Type="http://schemas.openxmlformats.org/officeDocument/2006/relationships/image" Target="media/image11.jpeg"/><Relationship Id="rId37" Type="http://schemas.openxmlformats.org/officeDocument/2006/relationships/image" Target="media/image52.jpeg"/><Relationship Id="rId36" Type="http://schemas.openxmlformats.org/officeDocument/2006/relationships/image" Target="media/image51.jpeg"/><Relationship Id="rId35" Type="http://schemas.openxmlformats.org/officeDocument/2006/relationships/image" Target="media/image50.jpeg"/><Relationship Id="rId34" Type="http://schemas.openxmlformats.org/officeDocument/2006/relationships/image" Target="media/image49.jpeg"/><Relationship Id="rId33" Type="http://schemas.openxmlformats.org/officeDocument/2006/relationships/image" Target="media/image48.jpeg"/><Relationship Id="rId32" Type="http://schemas.openxmlformats.org/officeDocument/2006/relationships/image" Target="media/image47.jpeg"/><Relationship Id="rId31" Type="http://schemas.openxmlformats.org/officeDocument/2006/relationships/image" Target="media/image46.jpeg"/><Relationship Id="rId30" Type="http://schemas.openxmlformats.org/officeDocument/2006/relationships/image" Target="media/image45.jpeg"/><Relationship Id="rId3" Type="http://schemas.openxmlformats.org/officeDocument/2006/relationships/image" Target="media/image20.jpeg"/><Relationship Id="rId29" Type="http://schemas.openxmlformats.org/officeDocument/2006/relationships/image" Target="media/image44.jpeg"/><Relationship Id="rId28" Type="http://schemas.openxmlformats.org/officeDocument/2006/relationships/image" Target="media/image43.jpeg"/><Relationship Id="rId27" Type="http://schemas.openxmlformats.org/officeDocument/2006/relationships/image" Target="media/image42.jpeg"/><Relationship Id="rId26" Type="http://schemas.openxmlformats.org/officeDocument/2006/relationships/image" Target="media/image13.jpeg"/><Relationship Id="rId25" Type="http://schemas.openxmlformats.org/officeDocument/2006/relationships/image" Target="media/image17.jpeg"/><Relationship Id="rId24" Type="http://schemas.openxmlformats.org/officeDocument/2006/relationships/image" Target="media/image41.jpeg"/><Relationship Id="rId23" Type="http://schemas.openxmlformats.org/officeDocument/2006/relationships/image" Target="media/image40.jpeg"/><Relationship Id="rId22" Type="http://schemas.openxmlformats.org/officeDocument/2006/relationships/image" Target="media/image39.jpeg"/><Relationship Id="rId21" Type="http://schemas.openxmlformats.org/officeDocument/2006/relationships/image" Target="media/image38.jpeg"/><Relationship Id="rId20" Type="http://schemas.openxmlformats.org/officeDocument/2006/relationships/image" Target="media/image37.jpeg"/><Relationship Id="rId2" Type="http://schemas.openxmlformats.org/officeDocument/2006/relationships/image" Target="media/image19.jpeg"/><Relationship Id="rId19" Type="http://schemas.openxmlformats.org/officeDocument/2006/relationships/image" Target="media/image36.jpeg"/><Relationship Id="rId18" Type="http://schemas.openxmlformats.org/officeDocument/2006/relationships/image" Target="media/image35.jpeg"/><Relationship Id="rId17" Type="http://schemas.openxmlformats.org/officeDocument/2006/relationships/image" Target="media/image34.jpeg"/><Relationship Id="rId16" Type="http://schemas.openxmlformats.org/officeDocument/2006/relationships/image" Target="media/image33.jpeg"/><Relationship Id="rId15" Type="http://schemas.openxmlformats.org/officeDocument/2006/relationships/image" Target="media/image32.jpeg"/><Relationship Id="rId14" Type="http://schemas.openxmlformats.org/officeDocument/2006/relationships/image" Target="media/image31.jpeg"/><Relationship Id="rId13" Type="http://schemas.openxmlformats.org/officeDocument/2006/relationships/image" Target="media/image30.jpeg"/><Relationship Id="rId12" Type="http://schemas.openxmlformats.org/officeDocument/2006/relationships/image" Target="media/image29.jpeg"/><Relationship Id="rId11" Type="http://schemas.openxmlformats.org/officeDocument/2006/relationships/image" Target="media/image28.jpeg"/><Relationship Id="rId100" Type="http://schemas.openxmlformats.org/officeDocument/2006/relationships/image" Target="media/image101.jpeg"/><Relationship Id="rId10" Type="http://schemas.openxmlformats.org/officeDocument/2006/relationships/image" Target="media/image27.jpeg"/><Relationship Id="rId1" Type="http://schemas.openxmlformats.org/officeDocument/2006/relationships/image" Target="media/image18.jpe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[BSR(Active-Skirts)-100-US-20241031.xlsx]Sheet1!数据透视表3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Sheet1!$A$4:$A$73</c:f>
              <c:strCache>
                <c:ptCount val="69"/>
                <c:pt idx="0">
                  <c:v>CRZ YOGA</c:v>
                </c:pt>
                <c:pt idx="1">
                  <c:v>Stelle</c:v>
                </c:pt>
                <c:pt idx="2">
                  <c:v>PINSPARK</c:v>
                </c:pt>
                <c:pt idx="3">
                  <c:v>OZICERD</c:v>
                </c:pt>
                <c:pt idx="4">
                  <c:v>JoyGirl</c:v>
                </c:pt>
                <c:pt idx="5">
                  <c:v>Ekouaer</c:v>
                </c:pt>
                <c:pt idx="6">
                  <c:v>DLOODA</c:v>
                </c:pt>
                <c:pt idx="7">
                  <c:v>ANIVIVO</c:v>
                </c:pt>
                <c:pt idx="8">
                  <c:v>Tivifox</c:v>
                </c:pt>
                <c:pt idx="9">
                  <c:v>SANTINY</c:v>
                </c:pt>
                <c:pt idx="10">
                  <c:v>SANGTREE</c:v>
                </c:pt>
                <c:pt idx="11">
                  <c:v>ODODOS</c:v>
                </c:pt>
                <c:pt idx="12">
                  <c:v>Made By Johnny</c:v>
                </c:pt>
                <c:pt idx="13">
                  <c:v>LXNMGO</c:v>
                </c:pt>
                <c:pt idx="14">
                  <c:v>HOKOYI</c:v>
                </c:pt>
                <c:pt idx="15">
                  <c:v>Ewedoos</c:v>
                </c:pt>
                <c:pt idx="16">
                  <c:v>CHRLEISURE</c:v>
                </c:pt>
                <c:pt idx="17">
                  <c:v>Century Star</c:v>
                </c:pt>
                <c:pt idx="18">
                  <c:v>Blaosn</c:v>
                </c:pt>
                <c:pt idx="19">
                  <c:v>Avidlove</c:v>
                </c:pt>
                <c:pt idx="20">
                  <c:v>AUTOMET</c:v>
                </c:pt>
                <c:pt idx="21">
                  <c:v>Aurgelmir</c:v>
                </c:pt>
                <c:pt idx="22">
                  <c:v>ZHANCHTONG</c:v>
                </c:pt>
                <c:pt idx="23">
                  <c:v>Yollmart</c:v>
                </c:pt>
                <c:pt idx="24">
                  <c:v>Yknktstc</c:v>
                </c:pt>
                <c:pt idx="25">
                  <c:v>Yewsea</c:v>
                </c:pt>
                <c:pt idx="26">
                  <c:v>XNMAYA</c:v>
                </c:pt>
                <c:pt idx="27">
                  <c:v>Xioker</c:v>
                </c:pt>
                <c:pt idx="28">
                  <c:v>WOWENY</c:v>
                </c:pt>
                <c:pt idx="29">
                  <c:v>Werena</c:v>
                </c:pt>
                <c:pt idx="30">
                  <c:v>Viodia</c:v>
                </c:pt>
                <c:pt idx="31">
                  <c:v>Vigorics</c:v>
                </c:pt>
                <c:pt idx="32">
                  <c:v>TTCM</c:v>
                </c:pt>
                <c:pt idx="33">
                  <c:v>TONCHENGSD</c:v>
                </c:pt>
                <c:pt idx="34">
                  <c:v>THHGPO</c:v>
                </c:pt>
                <c:pt idx="35">
                  <c:v>SCKTOO</c:v>
                </c:pt>
                <c:pt idx="36">
                  <c:v>RBX</c:v>
                </c:pt>
                <c:pt idx="37">
                  <c:v>Rbenxia</c:v>
                </c:pt>
                <c:pt idx="38">
                  <c:v>Raroauf</c:v>
                </c:pt>
                <c:pt idx="39">
                  <c:v>Oyamiki</c:v>
                </c:pt>
                <c:pt idx="40">
                  <c:v>NORMOV</c:v>
                </c:pt>
                <c:pt idx="41">
                  <c:v>Navneet</c:v>
                </c:pt>
                <c:pt idx="42">
                  <c:v>MIER</c:v>
                </c:pt>
                <c:pt idx="43">
                  <c:v>MCEDAR</c:v>
                </c:pt>
                <c:pt idx="44">
                  <c:v>Komorebi</c:v>
                </c:pt>
                <c:pt idx="45">
                  <c:v>Joyingtwo</c:v>
                </c:pt>
                <c:pt idx="46">
                  <c:v>JACK SMITH</c:v>
                </c:pt>
                <c:pt idx="47">
                  <c:v>IUGA</c:v>
                </c:pt>
                <c:pt idx="48">
                  <c:v>Ibeauti</c:v>
                </c:pt>
                <c:pt idx="49">
                  <c:v>Hoerev</c:v>
                </c:pt>
                <c:pt idx="50">
                  <c:v>Hiwzffy</c:v>
                </c:pt>
                <c:pt idx="51">
                  <c:v>Heathyoga</c:v>
                </c:pt>
                <c:pt idx="52">
                  <c:v>GOLDSTITCH</c:v>
                </c:pt>
                <c:pt idx="53">
                  <c:v>Ganado</c:v>
                </c:pt>
                <c:pt idx="54">
                  <c:v>G Gradual</c:v>
                </c:pt>
                <c:pt idx="55">
                  <c:v>FireSwan</c:v>
                </c:pt>
                <c:pt idx="56">
                  <c:v>EARKOHA</c:v>
                </c:pt>
                <c:pt idx="57">
                  <c:v>Dressever</c:v>
                </c:pt>
                <c:pt idx="58">
                  <c:v>DERCA</c:v>
                </c:pt>
                <c:pt idx="59">
                  <c:v>CZRLHYT</c:v>
                </c:pt>
                <c:pt idx="60">
                  <c:v>Cresay</c:v>
                </c:pt>
                <c:pt idx="61">
                  <c:v>COOTRY</c:v>
                </c:pt>
                <c:pt idx="62">
                  <c:v>Betaven</c:v>
                </c:pt>
                <c:pt idx="63">
                  <c:v>BALEAF</c:v>
                </c:pt>
                <c:pt idx="64">
                  <c:v>ANRABESS</c:v>
                </c:pt>
                <c:pt idx="65">
                  <c:v>American Trends</c:v>
                </c:pt>
                <c:pt idx="66">
                  <c:v>Afibi</c:v>
                </c:pt>
                <c:pt idx="67">
                  <c:v>A2Y</c:v>
                </c:pt>
                <c:pt idx="68">
                  <c:v>(空白)</c:v>
                </c:pt>
              </c:strCache>
            </c:strRef>
          </c:cat>
          <c:val>
            <c:numRef>
              <c:f>Sheet1!$B$4:$B$73</c:f>
              <c:numCache>
                <c:formatCode>General</c:formatCode>
                <c:ptCount val="69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8e3c91d-ce6d-45b3-b95e-5ff631e506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jpeg"/><Relationship Id="rId8" Type="http://schemas.openxmlformats.org/officeDocument/2006/relationships/image" Target="../media/image12.jpeg"/><Relationship Id="rId7" Type="http://schemas.openxmlformats.org/officeDocument/2006/relationships/image" Target="../media/image11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3" Type="http://schemas.openxmlformats.org/officeDocument/2006/relationships/image" Target="../media/image17.jpeg"/><Relationship Id="rId12" Type="http://schemas.openxmlformats.org/officeDocument/2006/relationships/image" Target="../media/image16.jpeg"/><Relationship Id="rId11" Type="http://schemas.openxmlformats.org/officeDocument/2006/relationships/image" Target="../media/image15.jpeg"/><Relationship Id="rId10" Type="http://schemas.openxmlformats.org/officeDocument/2006/relationships/image" Target="../media/image14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78740</xdr:colOff>
      <xdr:row>1</xdr:row>
      <xdr:rowOff>147320</xdr:rowOff>
    </xdr:from>
    <xdr:to>
      <xdr:col>13</xdr:col>
      <xdr:colOff>522605</xdr:colOff>
      <xdr:row>25</xdr:row>
      <xdr:rowOff>40005</xdr:rowOff>
    </xdr:to>
    <xdr:graphicFrame>
      <xdr:nvGraphicFramePr>
        <xdr:cNvPr id="2" name="图表 1"/>
        <xdr:cNvGraphicFramePr/>
      </xdr:nvGraphicFramePr>
      <xdr:xfrm>
        <a:off x="2242820" y="330200"/>
        <a:ext cx="7149465" cy="4281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189865</xdr:colOff>
      <xdr:row>0</xdr:row>
      <xdr:rowOff>157480</xdr:rowOff>
    </xdr:from>
    <xdr:to>
      <xdr:col>9</xdr:col>
      <xdr:colOff>106045</xdr:colOff>
      <xdr:row>4</xdr:row>
      <xdr:rowOff>7620</xdr:rowOff>
    </xdr:to>
    <xdr:grpSp>
      <xdr:nvGrpSpPr>
        <xdr:cNvPr id="2" name="组合 1"/>
        <xdr:cNvGrpSpPr/>
      </xdr:nvGrpSpPr>
      <xdr:grpSpPr>
        <a:xfrm>
          <a:off x="189865" y="157480"/>
          <a:ext cx="5402580" cy="1776095"/>
          <a:chOff x="287" y="236"/>
          <a:chExt cx="8508" cy="2788"/>
        </a:xfrm>
      </xdr:grpSpPr>
      <xdr:pic>
        <xdr:nvPicPr>
          <xdr:cNvPr id="5" name="ID_4AE1CAECE8284813B67FD2D2AA6ECE8D"/>
          <xdr:cNvPicPr>
            <a:picLocks noChangeAspect="1"/>
          </xdr:cNvPicPr>
        </xdr:nvPicPr>
        <xdr:blipFill>
          <a:blip r:embed="rId1" cstate="print"/>
          <a:stretch>
            <a:fillRect/>
          </a:stretch>
        </xdr:blipFill>
        <xdr:spPr>
          <a:xfrm>
            <a:off x="287" y="272"/>
            <a:ext cx="2892" cy="2752"/>
          </a:xfrm>
          <a:prstGeom prst="rect">
            <a:avLst/>
          </a:prstGeom>
        </xdr:spPr>
      </xdr:pic>
      <xdr:pic>
        <xdr:nvPicPr>
          <xdr:cNvPr id="14" name="ID_C56A4A8413E147688460595125E640E5"/>
          <xdr:cNvPicPr>
            <a:picLocks noChangeAspect="1"/>
          </xdr:cNvPicPr>
        </xdr:nvPicPr>
        <xdr:blipFill>
          <a:blip r:embed="rId2" cstate="print"/>
          <a:stretch>
            <a:fillRect/>
          </a:stretch>
        </xdr:blipFill>
        <xdr:spPr>
          <a:xfrm>
            <a:off x="2975" y="260"/>
            <a:ext cx="2892" cy="2749"/>
          </a:xfrm>
          <a:prstGeom prst="rect">
            <a:avLst/>
          </a:prstGeom>
        </xdr:spPr>
      </xdr:pic>
      <xdr:pic>
        <xdr:nvPicPr>
          <xdr:cNvPr id="21" name="ID_2265562696AE40F49CEC8D03D18361C0"/>
          <xdr:cNvPicPr>
            <a:picLocks noChangeAspect="1"/>
          </xdr:cNvPicPr>
        </xdr:nvPicPr>
        <xdr:blipFill>
          <a:blip r:embed="rId3" cstate="print"/>
          <a:stretch>
            <a:fillRect/>
          </a:stretch>
        </xdr:blipFill>
        <xdr:spPr>
          <a:xfrm>
            <a:off x="5903" y="236"/>
            <a:ext cx="2892" cy="274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189865</xdr:colOff>
      <xdr:row>0</xdr:row>
      <xdr:rowOff>180340</xdr:rowOff>
    </xdr:from>
    <xdr:to>
      <xdr:col>17</xdr:col>
      <xdr:colOff>67945</xdr:colOff>
      <xdr:row>5</xdr:row>
      <xdr:rowOff>560070</xdr:rowOff>
    </xdr:to>
    <xdr:grpSp>
      <xdr:nvGrpSpPr>
        <xdr:cNvPr id="5" name="组合 4"/>
        <xdr:cNvGrpSpPr/>
      </xdr:nvGrpSpPr>
      <xdr:grpSpPr>
        <a:xfrm>
          <a:off x="189865" y="180340"/>
          <a:ext cx="10241280" cy="3284855"/>
          <a:chOff x="287" y="272"/>
          <a:chExt cx="16128" cy="5158"/>
        </a:xfrm>
      </xdr:grpSpPr>
      <xdr:pic>
        <xdr:nvPicPr>
          <xdr:cNvPr id="39" name="ID_27EDED7AD1A9453B93215EDE3EE61349"/>
          <xdr:cNvPicPr>
            <a:picLocks noChangeAspect="1"/>
          </xdr:cNvPicPr>
        </xdr:nvPicPr>
        <xdr:blipFill>
          <a:blip r:embed="rId1" cstate="print"/>
          <a:stretch>
            <a:fillRect/>
          </a:stretch>
        </xdr:blipFill>
        <xdr:spPr>
          <a:xfrm>
            <a:off x="287" y="272"/>
            <a:ext cx="2508" cy="2387"/>
          </a:xfrm>
          <a:prstGeom prst="rect">
            <a:avLst/>
          </a:prstGeom>
        </xdr:spPr>
      </xdr:pic>
      <xdr:pic>
        <xdr:nvPicPr>
          <xdr:cNvPr id="3" name="ID_F893B103806A4F3889F336E3CCEEF276"/>
          <xdr:cNvPicPr>
            <a:picLocks noChangeAspect="1"/>
          </xdr:cNvPicPr>
        </xdr:nvPicPr>
        <xdr:blipFill>
          <a:blip r:embed="rId2" cstate="print"/>
          <a:stretch>
            <a:fillRect/>
          </a:stretch>
        </xdr:blipFill>
        <xdr:spPr>
          <a:xfrm>
            <a:off x="2423" y="344"/>
            <a:ext cx="2508" cy="2387"/>
          </a:xfrm>
          <a:prstGeom prst="rect">
            <a:avLst/>
          </a:prstGeom>
        </xdr:spPr>
      </xdr:pic>
      <xdr:pic>
        <xdr:nvPicPr>
          <xdr:cNvPr id="27" name="ID_4615F4D24D284FB4AF05595191C9601D"/>
          <xdr:cNvPicPr>
            <a:picLocks noChangeAspect="1"/>
          </xdr:cNvPicPr>
        </xdr:nvPicPr>
        <xdr:blipFill>
          <a:blip r:embed="rId3" cstate="print"/>
          <a:stretch>
            <a:fillRect/>
          </a:stretch>
        </xdr:blipFill>
        <xdr:spPr>
          <a:xfrm>
            <a:off x="7055" y="368"/>
            <a:ext cx="2508" cy="2384"/>
          </a:xfrm>
          <a:prstGeom prst="rect">
            <a:avLst/>
          </a:prstGeom>
        </xdr:spPr>
      </xdr:pic>
      <xdr:pic>
        <xdr:nvPicPr>
          <xdr:cNvPr id="4" name="ID_60DC48DC999C4C32BACBE3A97323FB43"/>
          <xdr:cNvPicPr>
            <a:picLocks noChangeAspect="1"/>
          </xdr:cNvPicPr>
        </xdr:nvPicPr>
        <xdr:blipFill>
          <a:blip r:embed="rId4" cstate="print"/>
          <a:stretch>
            <a:fillRect/>
          </a:stretch>
        </xdr:blipFill>
        <xdr:spPr>
          <a:xfrm>
            <a:off x="4823" y="344"/>
            <a:ext cx="2508" cy="2387"/>
          </a:xfrm>
          <a:prstGeom prst="rect">
            <a:avLst/>
          </a:prstGeom>
        </xdr:spPr>
      </xdr:pic>
      <xdr:pic>
        <xdr:nvPicPr>
          <xdr:cNvPr id="9" name="ID_15D4DF6EE6404E87AE68BD3BD292FEBB"/>
          <xdr:cNvPicPr>
            <a:picLocks noChangeAspect="1"/>
          </xdr:cNvPicPr>
        </xdr:nvPicPr>
        <xdr:blipFill>
          <a:blip r:embed="rId5" cstate="print"/>
          <a:stretch>
            <a:fillRect/>
          </a:stretch>
        </xdr:blipFill>
        <xdr:spPr>
          <a:xfrm>
            <a:off x="9827" y="344"/>
            <a:ext cx="2508" cy="2387"/>
          </a:xfrm>
          <a:prstGeom prst="rect">
            <a:avLst/>
          </a:prstGeom>
        </xdr:spPr>
      </xdr:pic>
      <xdr:pic>
        <xdr:nvPicPr>
          <xdr:cNvPr id="2" name="ID_93E57F281F584642865EBD96EAFA27BD"/>
          <xdr:cNvPicPr>
            <a:picLocks noChangeAspect="1"/>
          </xdr:cNvPicPr>
        </xdr:nvPicPr>
        <xdr:blipFill>
          <a:blip r:embed="rId6" cstate="print"/>
          <a:stretch>
            <a:fillRect/>
          </a:stretch>
        </xdr:blipFill>
        <xdr:spPr>
          <a:xfrm>
            <a:off x="12407" y="368"/>
            <a:ext cx="2508" cy="2384"/>
          </a:xfrm>
          <a:prstGeom prst="rect">
            <a:avLst/>
          </a:prstGeom>
        </xdr:spPr>
      </xdr:pic>
      <xdr:pic>
        <xdr:nvPicPr>
          <xdr:cNvPr id="7" name="ID_3CC04262420F4E19AEE218DEFA9975EB"/>
          <xdr:cNvPicPr>
            <a:picLocks noChangeAspect="1"/>
          </xdr:cNvPicPr>
        </xdr:nvPicPr>
        <xdr:blipFill>
          <a:blip r:embed="rId7" cstate="print"/>
          <a:stretch>
            <a:fillRect/>
          </a:stretch>
        </xdr:blipFill>
        <xdr:spPr>
          <a:xfrm>
            <a:off x="299" y="2756"/>
            <a:ext cx="2508" cy="2387"/>
          </a:xfrm>
          <a:prstGeom prst="rect">
            <a:avLst/>
          </a:prstGeom>
        </xdr:spPr>
      </xdr:pic>
      <xdr:pic>
        <xdr:nvPicPr>
          <xdr:cNvPr id="16" name="ID_768DB78DEA6C4E9CBBCBBDA8BFEC6F8F"/>
          <xdr:cNvPicPr>
            <a:picLocks noChangeAspect="1"/>
          </xdr:cNvPicPr>
        </xdr:nvPicPr>
        <xdr:blipFill>
          <a:blip r:embed="rId8" cstate="print"/>
          <a:stretch>
            <a:fillRect/>
          </a:stretch>
        </xdr:blipFill>
        <xdr:spPr>
          <a:xfrm>
            <a:off x="2531" y="2804"/>
            <a:ext cx="2508" cy="2387"/>
          </a:xfrm>
          <a:prstGeom prst="rect">
            <a:avLst/>
          </a:prstGeom>
        </xdr:spPr>
      </xdr:pic>
      <xdr:pic>
        <xdr:nvPicPr>
          <xdr:cNvPr id="76" name="ID_B2C42D4DD1D444B5832B2B16728EF593"/>
          <xdr:cNvPicPr>
            <a:picLocks noChangeAspect="1"/>
          </xdr:cNvPicPr>
        </xdr:nvPicPr>
        <xdr:blipFill>
          <a:blip r:embed="rId9" cstate="print"/>
          <a:stretch>
            <a:fillRect/>
          </a:stretch>
        </xdr:blipFill>
        <xdr:spPr>
          <a:xfrm>
            <a:off x="4907" y="2852"/>
            <a:ext cx="2508" cy="2387"/>
          </a:xfrm>
          <a:prstGeom prst="rect">
            <a:avLst/>
          </a:prstGeom>
        </xdr:spPr>
      </xdr:pic>
      <xdr:pic>
        <xdr:nvPicPr>
          <xdr:cNvPr id="13" name="ID_7863F37F721F4953A3EB51B1B258CACF"/>
          <xdr:cNvPicPr>
            <a:picLocks noChangeAspect="1"/>
          </xdr:cNvPicPr>
        </xdr:nvPicPr>
        <xdr:blipFill>
          <a:blip r:embed="rId10" cstate="print"/>
          <a:stretch>
            <a:fillRect/>
          </a:stretch>
        </xdr:blipFill>
        <xdr:spPr>
          <a:xfrm>
            <a:off x="7031" y="2972"/>
            <a:ext cx="2508" cy="2387"/>
          </a:xfrm>
          <a:prstGeom prst="rect">
            <a:avLst/>
          </a:prstGeom>
        </xdr:spPr>
      </xdr:pic>
      <xdr:pic>
        <xdr:nvPicPr>
          <xdr:cNvPr id="18" name="ID_6600EEAFE663487098729FD6FB917C9D"/>
          <xdr:cNvPicPr>
            <a:picLocks noChangeAspect="1"/>
          </xdr:cNvPicPr>
        </xdr:nvPicPr>
        <xdr:blipFill>
          <a:blip r:embed="rId11" cstate="print"/>
          <a:stretch>
            <a:fillRect/>
          </a:stretch>
        </xdr:blipFill>
        <xdr:spPr>
          <a:xfrm>
            <a:off x="13907" y="3044"/>
            <a:ext cx="2508" cy="2387"/>
          </a:xfrm>
          <a:prstGeom prst="rect">
            <a:avLst/>
          </a:prstGeom>
        </xdr:spPr>
      </xdr:pic>
      <xdr:pic>
        <xdr:nvPicPr>
          <xdr:cNvPr id="10" name="ID_CB5BCA490BF7400C98F20DDF3D7B0DC2"/>
          <xdr:cNvPicPr>
            <a:picLocks noChangeAspect="1"/>
          </xdr:cNvPicPr>
        </xdr:nvPicPr>
        <xdr:blipFill>
          <a:blip r:embed="rId12" cstate="print"/>
          <a:stretch>
            <a:fillRect/>
          </a:stretch>
        </xdr:blipFill>
        <xdr:spPr>
          <a:xfrm>
            <a:off x="9407" y="2960"/>
            <a:ext cx="2508" cy="2387"/>
          </a:xfrm>
          <a:prstGeom prst="rect">
            <a:avLst/>
          </a:prstGeom>
        </xdr:spPr>
      </xdr:pic>
      <xdr:pic>
        <xdr:nvPicPr>
          <xdr:cNvPr id="77" name="ID_E3E5ECCEC79943B5A53D5ACD7DFEF443"/>
          <xdr:cNvPicPr>
            <a:picLocks noChangeAspect="1"/>
          </xdr:cNvPicPr>
        </xdr:nvPicPr>
        <xdr:blipFill>
          <a:blip r:embed="rId13" cstate="print"/>
          <a:stretch>
            <a:fillRect/>
          </a:stretch>
        </xdr:blipFill>
        <xdr:spPr>
          <a:xfrm>
            <a:off x="11639" y="2960"/>
            <a:ext cx="2508" cy="2384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35.6699768519" refreshedBy="admin" recordCount="101">
  <cacheSource type="worksheet">
    <worksheetSource ref="A1:BF1048576" sheet="US"/>
  </cacheSource>
  <cacheFields count="58">
    <cacheField name="图片" numFmtId="0">
      <sharedItems containsBlank="1" count="2">
        <s v=""/>
        <m/>
      </sharedItems>
    </cacheField>
    <cacheField name="ASIN" numFmtId="0">
      <sharedItems containsBlank="1" count="101">
        <s v="B0CTT1LCHS"/>
        <s v="B0DFGTWJYL"/>
        <s v="B07F428M5Y"/>
        <s v="B09VGN36V7"/>
        <s v="B08KWCB219"/>
        <s v="B09WMXRBNV"/>
        <s v="B08F76JT89"/>
        <s v="B0C48V33QT"/>
        <s v="B0771GMVRT"/>
        <s v="B0CR9XYTGS"/>
        <s v="B09Y425F5C"/>
        <s v="B0CRLC1Z89"/>
        <s v="B07MHH52QB"/>
        <s v="B0CRK7HBBN"/>
        <s v="B0CBR858BS"/>
        <s v="B0CDXDPBY7"/>
        <s v="B0CPSSXKY2"/>
        <s v="B09F6MPHJB"/>
        <s v="B09VL9JM7B"/>
        <s v="B099PPF92T"/>
        <s v="B0CSWGZ721"/>
        <s v="B0D3HJ9VYD"/>
        <s v="B0CTBBGFM5"/>
        <s v="B0CNSX743S"/>
        <s v="B0C9GTRNBT"/>
        <s v="B0B1H4YWW2"/>
        <s v="B0CSYVXRSZ"/>
        <s v="B0CPSP57J1"/>
        <s v="B0D12CLF5N"/>
        <s v="B09YLDG9P1"/>
        <s v="B0CXHZ9NVB"/>
        <s v="B0C4Y5RDB1"/>
        <s v="B0CQ77C9F5"/>
        <s v="B0BBQWY2JY"/>
        <s v="B08Q37Z53T"/>
        <s v="B0CQ7939R4"/>
        <s v="B0D66D7D4H"/>
        <s v="B0CW189C9F"/>
        <s v="B0CDLPFH3V"/>
        <s v="B08NFG6Z3G"/>
        <s v="B0BK16SM9P"/>
        <s v="B0D471V13M"/>
        <s v="B0CTWZZGY9"/>
        <s v="B07LD75CKQ"/>
        <s v="B0BRN4HXMT"/>
        <s v="B07QYQN2VR"/>
        <s v="B0CJ2LZ8SK"/>
        <s v="B0CBJK85SS"/>
        <s v="B07QGLSMQK"/>
        <s v="B0CRZ4GZH7"/>
        <s v="B09QS33TKG"/>
        <s v="B08DNKYD86"/>
        <s v="B0CRDJP1NM"/>
        <s v="B0995TGV4V"/>
        <s v="B0D8J5PX5G"/>
        <s v="B0CSFLR9JC"/>
        <s v="B0CXD5PYTR"/>
        <s v="B09Q53W5ND"/>
        <s v="B0C918W433"/>
        <s v="B0BHNTCSX9"/>
        <s v="B0D5HGZG2F"/>
        <s v="B0BZH8PP33"/>
        <s v="B0BWDMFJ87"/>
        <s v="B0D8PVS658"/>
        <s v="B0BHHZYSSB"/>
        <s v="B0BVVQWQJQ"/>
        <s v="B0BBMF142Z"/>
        <s v="B0D7MLB4G9"/>
        <s v="B09HTLMGR3"/>
        <s v="B0D53GV4H8"/>
        <s v="B0B4SCTNDH"/>
        <s v="B0BZY6JPVB"/>
        <s v="B07Z3DYGPC"/>
        <s v="B0BK8ZQBLS"/>
        <s v="B0CT89R1L4"/>
        <s v="B0CSYD4QMR"/>
        <s v="B07YRW6BBZ"/>
        <s v="B0C9QNFW18"/>
        <s v="B0CNCBQBWW"/>
        <s v="B0CNVT851G"/>
        <s v="B0CQX17W1G"/>
        <s v="B0BJKP58Q8"/>
        <s v="B093XS7LP2"/>
        <s v="B084KX4SX6"/>
        <s v="B0CQCLL1LG"/>
        <s v="B0D1C1LW64"/>
        <s v="B0C23QYD92"/>
        <s v="B09YCB59RW"/>
        <s v="B0CYBSMXH6"/>
        <s v="B0CSYM9Q7T"/>
        <s v="B0D9RSJ2F2"/>
        <s v="B0CG2Y9B6T"/>
        <s v="B082SQNRPG"/>
        <s v="B0CRBF2DBC"/>
        <s v="B096XJR53X"/>
        <s v="B0B4FNFD61"/>
        <s v="B0CSJN478G"/>
        <s v="B0B6BPYMBJ"/>
        <s v="B097F2J334"/>
        <s v="B0D5D879B3"/>
        <m/>
      </sharedItems>
    </cacheField>
    <cacheField name="SKU" numFmtId="0">
      <sharedItems containsBlank="1" count="33">
        <s v="Size: Medium | Color: Black"/>
        <s v="Size: Medium | Color: Lemon Butter"/>
        <s v="Size: Medium | Color: A-black"/>
        <s v="Size: Medium | Color: 05 Green Plaid"/>
        <s v="Size: Small | Color: Red"/>
        <s v="Size: Large | Color: Red"/>
        <s v="Size: Medium | Color: Red"/>
        <s v="Size: Small | Color: Black (Adjustable Tie) | Team Name: Women"/>
        <s v="Size: Small | Color: Black"/>
        <s v=""/>
        <s v="Size: Medium | Color: White"/>
        <s v="Size: 12 | Color: A_white"/>
        <s v="Size: Small | Color: A White"/>
        <s v="Size: Small | Color: White"/>
        <s v="Size: Small | Color: #1 Black（side Pockets）"/>
        <s v="Size: Medium | Color: Green Lagoon"/>
        <s v="Size: Medium | Color: Sky Blue"/>
        <s v="Size: Large | Color: Black"/>
        <s v="Size: Medium | Color: Green"/>
        <s v="Size: Small | Color: True Navy"/>
        <s v="Size: Large | Color: Wb2344_black"/>
        <s v="Size: Small | Color: The Breeze Blue"/>
        <s v="Size: Medium | Color: Burgundy"/>
        <s v="Size: Medium | Color: Black Full Length Skirts"/>
        <s v="Size: 12-14 | Color: A-white"/>
        <s v="Size: Medium | Color: Black Capris"/>
        <s v="Size: Small | Color: #01a1- 2 Piece Mini Skirt Sets- Black"/>
        <s v="Size: Medium | Color: 03 Red"/>
        <s v="Size: Medium | Color: Purple"/>
        <s v="Size: Small | Color: A Style# Red | Team Name: A#Style"/>
        <s v="Size: Large | Color: Black Full Length Leggings-b | Team Name: Full Length"/>
        <s v="Size: Small | Color: #01b1- 2 Piece Skirt Set- White"/>
        <m/>
      </sharedItems>
    </cacheField>
    <cacheField name="详细参数" numFmtId="0">
      <sharedItems containsBlank="1" count="48" longText="1">
        <s v="Fabric type: 75% Nylon, 25% Spandex | Origin: Imported | Closure type: Zipper | Length: Mini"/>
        <s v="Fabric type: Body:75%Nylon,25%Spandex;Liner:80%Nylon,20%Spandex | Origin: Imported | Length: Above the Knee | Rise style: High Rise | Country of Origin: China"/>
        <s v="Fabric type: 95% Polyester, 5% Spandex | Care instructions: Machine Wash (Max 40°C) | Origin: Imported | Closure type: Elastic | Country of Origin: China"/>
        <s v="Fabric type: 100% Polyester | Care instructions: Machine Wash | Origin: Imported | Closure type: Zipper | Country of Origin: China"/>
        <s v="Fabric type: 95% Polyester, 5% Spandex | Care instructions: Machine Wash | Origin: Imported | Closure type: Zipper"/>
        <s v="Fabric type: 100% Polyester | Care instructions: Machine Wash | Origin: Imported | Closure type: Zipper"/>
        <s v="Fabric type: 95% Polyester, 5% Spandex | Care instructions: Machine wash in cold water, tumble dry low | Origin: Imported | Closure type: Drawstring | Country of Origin: China"/>
        <s v="Fabric type: 100% Polyester | Care instructions: Gentle machine wash or hand wash | Origin: Imported | Closure type: Drawstring | Country of Origin: China"/>
        <s v="Fabric type: 87% Polyester, 13% Spandex | Care instructions: Hand Wash Only | Origin: Imported | Closure type: Zipper | Country of Origin: China"/>
        <s v=""/>
        <s v="Fabric type: Body: 80% Polyester,20% Spandex; Liner: 87% Nylon, 13% Spandex | Origin: Imported | Closure type: Elastic | Length: Above the Knee"/>
        <s v="Fabric type: 100% Nylon | Care instructions: Machine Wash | Origin: Imported | Closure type: Zipper | Country of Origin: China"/>
        <s v="Fabric type: Body:92% Polyester, 8% Spandex; Liner: 80% Polyester, 20% Spandex | Origin: Imported | Closure type: Zipper | Length: Mini"/>
        <s v="Fabric type: 79% Nylon, 21% Spandex | Care instructions: Hand Wash Only | Origin: Imported | Closure type: Pull On"/>
        <s v="Fabric type: BODY:92%POLYESTER,8%ELASTANE; LINING:80%POLYAMIDE,20%ELASTANE | Origin: Imported | Fur description: SANTINY High-rise tennis skirt is designed with sharp pleats and a short, mini-length hem. The cute, flattering fit, with pleats giving it some extra style. So comfortable, flattering, stylish. This tennis skirt's weightless pleats and built-in shorts deliver distraction-free coverage, which make it great for active endeavors Soft fabric liner is sweat-wicking and four-way stretch with a cool, smooth feel. Drop-in hidden pockets on the liner are a brilliant practical addition. | Closure type: Pull On | Country of Origin: China"/>
        <s v="Fabric type: 80% Polyester, 20% Spandex | Care instructions: Machine Wash | Origin: Imported | Closure type: Pull On | Country of Origin: China"/>
        <s v="Fabric type: 74% polyamid,26% spandex | Care instructions: Machine Wash, better with laundry bag | Origin: Imported | Closure type: Pull On | Country of Origin: China"/>
        <s v="Fabric type: 85% Polyester, 15% Spandex | Care instructions: Machine Wash | Origin: Imported | Closure type: Elastic | Country of Origin: China"/>
        <s v="Fabric type: 100% Polyester | Origin: Imported | Closure type: Zipper | Length: Above the Knee | Country of Origin: China"/>
        <s v="Fabric type: 80% Nylon, 20% Spandex | Care instructions: Machine wash in cold water, tumble dry low | Origin: Imported | Closure type: Pull On | Country of Origin: China"/>
        <s v="Fabric type: 79% Nylon,21% Spandex | Care instructions: Machine Wash | Origin: Imported | Closure type: Elastic | Country of Origin: China"/>
        <s v="Fabric type: 88% Polyester, 12% Spandex | Care instructions: Machine Wash | Origin: Imported | Closure type: Pull On | Country of Origin: China"/>
        <s v="Fabric type: 100% Polyester | Care instructions: Machine Wash and Iron as Needed | Origin: Imported | Closure type: Zipper | Country of Origin: China"/>
        <s v="Fabric type: 95% Polyester, 5% Spandex | Care instructions: Machine washable, tumble dry low | Origin: Imported | Closure type: Pull On | Country of Origin: China"/>
        <s v="Fabric type: 95% Polyester, 5% Spandex | Origin: Imported | Closure type: Pull On | Length: Above the Knee,Mini | Country of Origin: China"/>
        <s v="Fabric type: 75% Nylon, 25% Spandex | Care instructions: Machine Wash | Origin: Imported | Closure type: Pull On"/>
        <s v="Fabric type: 90% Polyester, 10% Spandex | Care instructions: Machine Wash | Origin: Imported | Closure type: Elastic"/>
        <s v="Fabric type: 90% Polyester, 10% Spandex | Care instructions: Do Not Iron, Hand Wash Only | Closure type: Pull On | Length: Mini"/>
        <s v="Fabric type: 86% Polyester, 14% Elastane | Care instructions: Machine Wash | Origin: Imported | Length: Above the Knee | Country of Origin: China"/>
        <s v="Fabric type: 79% Nylon, 21% Spandex | Care instructions: Machine Wash | Origin: Imported | Closure type: Elastic | Country of Origin: China"/>
        <s v="Fabric type: 90% Polyester,10% Rayon | Care instructions: Hand Wash Only | Origin: Imported | Closure type: Elastic | Country of Origin: China"/>
        <s v="Fabric type: 100% Polyester | Origin: Imported | Closure type: Zipper | Length: Mini | Country of Origin: China"/>
        <s v="Fabric type: 86% Polyester, 14% Elastane | Care instructions: Machine wash cold, Do not bleach, Tumble dry low, Do not iron, Do not dry clean | Origin: Imported | Length: Above the Knee | Country of Origin: China"/>
        <s v="Fabric type: 97% Polyester, 3% Spandex | Care instructions: Machine Wash | Origin: Imported | Closure type: Zipper"/>
        <s v="Fabric type: 95% Polyester, 5% Spandex | Care instructions: Machine Wash on Gentle Cycle | Origin: Imported | Closure type: Zipper | Country of Origin: China"/>
        <s v="Fabric type: 92% Polyester, 8% Spandex | Care instructions: Machine Wash | Origin: Imported | Closure type: Pull On"/>
        <s v="Care instructions: Hand Wash Only | Closure type: Pull-On | Length: Knee-Length | Rise style: Ankle"/>
        <s v="Fabric type: 100% Polyester | Care instructions: Machine Wash | Closure type: Zipper | Length: Above the Knee"/>
        <s v="Fabric type: 95% Polyester, 5% Spandex | Care instructions: Hand Wash Only | Origin: Imported | Closure type: Zipper | Country of Origin: China"/>
        <s v="Fabric type: 90% Polyester, 10% Spandex | Origin: Imported | Closure type: Pull On | Rise style: High Rise | Country of Origin: China"/>
        <s v="Fabric type: 75% Nylon, 25% Spandex | Care instructions: Machine Wash | Origin: Imported | Closure type: Pull On | Country of Origin: China"/>
        <s v="Fabric type: 90% Polyester, 10% Spandex | Care instructions: Do Not Bleach, Hand Wash Only | Origin: Imported | Closure type: Pull On"/>
        <s v="Fabric type: 77% Polyester, 23% Spandex | Care instructions: Machine Wash | Origin: Imported | Closure type: Elastic | Country of Origin: China"/>
        <s v="Fabric type: 95% Polyester, 5% Spandex | Origin: Imported | Closure type: Pull On | Length: Above the Knee | Country of Origin: China"/>
        <s v="Fabric type: 100% Polyester | Care instructions: Do Not Bleach, Hand Wash Only | Closure type: Pull On | Length: Mini"/>
        <s v="Fabric type: 80% Polyamide, 20% Spandex | Origin: Imported | Closure type: Elastic | Length: Above the Knee | Country of Origin: China"/>
        <s v="Fabric type: 85% Polyester, 15% Spandex | Origin: Imported | Closure type: Zipper | Length: Below the Knee | Country of Origin: China"/>
        <m/>
      </sharedItems>
    </cacheField>
    <cacheField name="品牌" numFmtId="0">
      <sharedItems containsBlank="1" count="69">
        <s v="PINSPARK"/>
        <s v="Stelle"/>
        <s v="Ekouaer"/>
        <s v="ZHANCHTONG"/>
        <s v="SCKTOO"/>
        <s v="SANGTREE"/>
        <s v="TONCHENGSD"/>
        <s v="JoyGirl"/>
        <s v="Blaosn"/>
        <s v="Hiwzffy"/>
        <s v="Hoerev"/>
        <s v="DLOODA"/>
        <s v="Avidlove"/>
        <s v="SANTINY"/>
        <s v="Yknktstc"/>
        <s v="Navneet"/>
        <s v="MCEDAR"/>
        <s v="CHRLEISURE"/>
        <s v="ODODOS"/>
        <s v="Vigorics"/>
        <s v="IUGA"/>
        <s v="G Gradual"/>
        <s v="Afibi"/>
        <s v="AUTOMET"/>
        <s v="Oyamiki"/>
        <s v="LXNMGO"/>
        <s v="American Trends"/>
        <s v="CRZ YOGA"/>
        <s v="OZICERD"/>
        <s v="FireSwan"/>
        <s v="Tivifox"/>
        <s v="Made By Johnny"/>
        <s v="Dressever"/>
        <s v="THHGPO"/>
        <s v="Yollmart"/>
        <s v="Ewedoos"/>
        <s v="ANIVIVO"/>
        <s v="GOLDSTITCH"/>
        <s v="Rbenxia"/>
        <s v="Century Star"/>
        <s v="Raroauf"/>
        <s v="ANRABESS"/>
        <s v="CZRLHYT"/>
        <s v="Yewsea"/>
        <s v="XNMAYA"/>
        <s v="Xioker"/>
        <s v="Komorebi"/>
        <s v="WOWENY"/>
        <s v="Cresay"/>
        <s v="Aurgelmir"/>
        <s v="TTCM"/>
        <s v="Ibeauti"/>
        <s v="Ganado"/>
        <s v="Heathyoga"/>
        <s v="A2Y"/>
        <s v="Joyingtwo"/>
        <s v="Viodia"/>
        <s v="NORMOV"/>
        <s v="HOKOYI"/>
        <s v="Betaven"/>
        <s v="RBX"/>
        <s v="EARKOHA"/>
        <s v="COOTRY"/>
        <s v="JACK SMITH"/>
        <s v="DERCA"/>
        <s v="MIER"/>
        <s v="BALEAF"/>
        <s v="Werena"/>
        <m/>
      </sharedItems>
    </cacheField>
    <cacheField name="品牌链接" numFmtId="0">
      <sharedItems containsBlank="1" count="69">
        <s v="https://www.amazon.com/stores/Pinspark/page/73638A0C-799E-4A9E-BD52-A76030463125?ref_=ast_bln&amp;store_ref=bl_ast_dp_brandLogo_sto"/>
        <s v="https://www.amazon.com/stores/StelleAthletica/page/92A01961-B5D1-4EA4-A438-84B406B2808B?ref_=ast_bln&amp;store_ref=bl_ast_dp_brandLogo_sto"/>
        <s v="https://www.amazon.com/stores/Ekouaer/page/9A1AB698-AD0F-4C23-AEED-46CAC35A1B77?ref_=ast_bln&amp;store_ref=bl_ast_dp_brandLogo_sto"/>
        <s v="https://www.amazon.com/stores/ZHANCHTONG/page/BC0CEDF1-FFFB-4495-BCFE-75079D04CE71?ref_=ast_bln"/>
        <s v="https://www.amazon.com/stores/SCKTOO/page/1974721A-A938-42CB-A356-7FC7A39649EC?ref_=ast_bln"/>
        <s v="https://www.amazon.com/stores/Weaimtoprovidecustomerbothgoodserviceandbestproductingoodvalue/page/904819AB-6B6A-44FB-8F6E-100C7249A34A?ref_=ast_bln&amp;store_ref=bl_ast_dp_brandLogo_sto"/>
        <s v="https://www.amazon.com/stores/TONCHENGSD/page/D1F889B5-B22C-46BE-AC2E-7AD8FD5B9FC0?ref_=ast_bln"/>
        <s v="https://www.amazon.com/stores/JoyGirl/page/244B0403-A359-40F4-9EBC-58F880F1B1C0?ref_=ast_bln"/>
        <s v="https://www.amazon.com/stores/Blaosn/page/B0F6364E-0AC6-4DE3-9E97-1E4EC22AC043?ref_=ast_bln&amp;store_ref=bl_ast_dp_brandLogo_sto"/>
        <s v="https://www.amazon.com/stores/Hiwzffy/page/0E999CED-1253-446A-99A2-E1F89E8109CB?ref_=ast_bln"/>
        <s v="https://www.amazon.com/stores/HOEREV/page/44798B94-2444-45B3-9FE1-E800FC511526?ref_=ast_bln&amp;store_ref=bl_ast_dp_brandLogo_sto"/>
        <s v="https://www.amazon.com/stores/DLOODA/page/C3B44253-824D-4459-81D5-ACB2BAF52CCA?ref_=ast_bln&amp;store_ref=bl_ast_dp_brandLogo_sto"/>
        <s v="https://www.amazon.com/stores/Avidlove/page/6E5DD973-1818-42AC-965A-E648630A6ACA?ref_=ast_bln&amp;store_ref=bl_ast_dp_brandLogo_sto"/>
        <s v="https://www.amazon.com/stores/SANTINY/page/C8E491B5-0FA2-4D0C-979E-F3B657EE0FA5?ref_=ast_bln&amp;store_ref=bl_ast_dp_brandLogo_sto"/>
        <s v="https://www.amazon.com/stores/Yknktstc/page/C6C27C07-3AC9-479F-BE59-C3BAEEF29A0D?ref_=ast_bln&amp;store_ref=bl_ast_dp_brandLogo_sto"/>
        <s v="https://www.amazon.com/stores/Navneet/page/BB8E09CF-FBE8-49DC-A070-676B5E9179E6?ref_=ast_bln&amp;store_ref=bl_ast_dp_brandLogo_sto"/>
        <s v="https://www.amazon.com/stores/MCEDAR/page/225ADAA0-EEC7-42A2-9054-3F6BD95CBE76?ref_=ast_bln&amp;store_ref=bl_ast_dp_brandLogo_sto"/>
        <s v="https://www.amazon.com/stores/CHRLEISURE/page/D82C11C2-31CD-4138-864C-027A126EF08E?ref_=ast_bln&amp;store_ref=bl_ast_dp_brandLogo_sto"/>
        <s v="https://www.amazon.com/stores/ODODOS/page/4EE07D3A-483C-4E62-A43F-1E8D9A75F92A?ref_=ast_bln&amp;store_ref=bl_ast_dp_brandLogo_sto"/>
        <s v="https://www.amazon.com/stores/VIGORICS/page/FEC2A707-E5BF-40D3-94B7-CB2E20B911AC?ref_=ast_bln&amp;store_ref=bl_ast_dp_brandLogo_sto"/>
        <s v="https://www.amazon.com/stores/ANiceShinyNewTomorrow/page/3FE714BA-38BE-45D6-9058-4861F987D97B?ref_=ast_bln&amp;store_ref=bl_ast_dp_brandLogo_sto"/>
        <s v="https://www.amazon.com/stores/GGradual/page/83E26C48-D353-4DB2-BBB1-1B1E939F003F?ref_=ast_bln&amp;store_ref=bl_ast_dp_brandLogo_sto"/>
        <s v="https://www.amazon.com/stores/Afibi/page/123E833C-1C70-48FA-BE10-8762BA16F8F2?ref_=ast_bln"/>
        <s v="https://www.amazon.com/stores/AUTOMET/page/FCCD3AC0-B62A-45A7-BF7C-452CD65FDF26?ref_=ast_bln&amp;store_ref=bl_ast_dp_brandLogo_sto"/>
        <s v="https://www.amazon.com/stores/Oyamiki/page/EC1A3AB1-AA68-417F-9465-00ECF1BC7EEB?ref_=ast_bln&amp;store_ref=bl_ast_dp_brandLogo_sto"/>
        <s v="https://www.amazon.com/stores/LXNMGO/page/490B654F-B61F-4078-9B68-86BD1ED0E6C8?ref_=ast_bln"/>
        <s v="https://www.amazon.com/stores/AmericanTrends/page/5FE0A5C4-F49A-4586-8027-DAA2F91CD62E?ref_=ast_bln&amp;store_ref=bl_ast_dp_brandLogo_sto"/>
        <s v="https://www.amazon.com/stores/CRZYOGA/page/F2232413-0F7D-4831-81A1-9FDFCFE5C54D?ref_=ast_bln&amp;store_ref=bl_ast_dp_brandLogo_sto"/>
        <s v="https://www.amazon.com/stores/OZICERD/page/B0AE5652-9345-4919-9CB2-17A9B59CF66C?ref_=ast_bln"/>
        <s v="https://www.amazon.com/stores/Fireswan/page/88109ED5-4DC3-4AEA-83E4-37E4B3E0603C?ref_=ast_bln&amp;store_ref=bl_ast_dp_brandLogo_sto"/>
        <s v="https://www.amazon.com/stores/Tivifox/page/E2A59205-E472-4802-9961-6090A18C0A6F?ref_=ast_bln"/>
        <s v="https://www.amazon.com/stores/MadebyJohnny/page/B3F609C9-3484-4E73-BE61-CD9CDE7CAAC3?ref_=ast_bln&amp;store_ref=bl_ast_dp_brandLogo_sto"/>
        <s v="https://www.amazon.com/stores/Dressever/page/3B6FA449-DE73-4C02-9370-57141DA6FDA0?ref_=ast_bln&amp;store_ref=bl_ast_dp_brandLogo_sto"/>
        <s v="https://www.amazon.com/stores/THHGPO/page/DBE87FC1-D6CB-4A5D-A8ED-A0FA0A581CFF?ref_=ast_bln"/>
        <s v="https://www.amazon.com/stores/Yollmart/page/834C04E1-1445-41DC-B0F9-DE1C08E8E1E8?ref_=ast_bln&amp;store_ref=bl_ast_dp_brandLogo_sto"/>
        <s v="https://www.amazon.com/stores/Ewedoos/page/EC71E27C-F065-4B1A-BC11-6864EA5D8E2D?ref_=ast_bln&amp;store_ref=bl_ast_dp_brandLogo_sto"/>
        <s v="https://www.amazon.com/stores/ANIVIVO/page/48D0AAB9-C21A-4991-9D28-EA0B9E5AC52E?ref_=ast_bln&amp;store_ref=bl_ast_dp_brandLogo_sto"/>
        <s v="https://www.amazon.com/stores/GOLDSTITCH/page/F93A5BFD-FD04-4BE3-8140-2DA485376613?ref_=ast_bln&amp;store_ref=bl_ast_dp_brandLogo_sto"/>
        <s v="https://www.amazon.com/Rbenxia/b/ref=bl_sl_s_ap_web_19831078011?ie=UTF8&amp;node=19831078011&amp;field-lbr_brands_browse-bin=Rbenxia"/>
        <s v="https://www.amazon.com/stores/CenturyStar/page/46C2A9C3-3690-4A12-87BB-FF1FF798D2C1?ref_=ast_bln&amp;store_ref=bl_ast_dp_brandLogo_sto"/>
        <s v="https://www.amazon.com/stores/RAROAUF/page/3FF313FD-9BFF-4DC1-AF49-0DA2BB8CCD7F?ref_=ast_bln&amp;store_ref=bl_ast_dp_brandLogo_sto"/>
        <s v="https://www.amazon.com/stores/ANRABESS/page/937C5045-E1CD-46BB-99F1-38FA5C0E3B27?ref_=ast_bln&amp;store_ref=bl_ast_dp_brandLogo_sto"/>
        <s v="https://www.amazon.com/stores/CZRLHYT/page/B636243B-7C04-440A-9955-D1E6A65AC46B?ref_=ast_bln&amp;store_ref=bl_ast_dp_brandLogo_sto"/>
        <s v="https://www.amazon.com/stores/CAZUOYI/page/3D3DB17B-FF03-4615-A0AC-2AB14A906E0A?ref_=ast_bln"/>
        <s v="https://www.amazon.com/stores/XNMAYA/page/36CB5E40-34D0-4AFC-A3E8-4C1297D8D0A5?ref_=ast_bln"/>
        <s v="https://www.amazon.com/stores/XiokerSports/page/5C17F7F6-E1B6-44CC-9855-669CCCFB9840?ref_=ast_bln&amp;store_ref=bl_ast_dp_brandLogo_sto"/>
        <s v="https://www.amazon.com/Komorebi/b/ref=bl_sl_s_ap_web_18916816011?ie=UTF8&amp;node=18916816011&amp;field-lbr_brands_browse-bin=Komorebi"/>
        <s v="https://www.amazon.com/stores/WowenyFashionSports/page/3D2B143F-34DE-485E-BFE3-BDB0B8FA5ED3?ref_=ast_bln&amp;store_ref=bl_ast_dp_brandLogo_sto"/>
        <s v="https://www.amazon.com/stores/CRESAY/page/1A434FE1-0B49-4696-9048-3999EE19BC64?ref_=ast_bln&amp;store_ref=bl_ast_dp_brandLogo_sto"/>
        <s v="https://www.amazon.com/stores/Aurgelmir/page/04964F01-4C86-4940-8DF1-9FE259AA09A8?ref_=ast_bln&amp;store_ref=bl_ast_dp_brandLogo_sto"/>
        <s v="https://www.amazon.com/TTCM/b/ref=bl_sl_s_ap_web_101475501011?ie=UTF8&amp;node=101475501011&amp;field-lbr_brands_browse-bin=TTCM"/>
        <s v="https://www.amazon.com/stores/Ibeauti/page/DA7CF522-D8C1-47C3-BC4D-635BA568C712?ref_=ast_bln&amp;store_ref=bl_ast_dp_brandLogo_sto"/>
        <s v="https://www.amazon.com/stores/GANADO/page/E5F73BC9-B93D-4218-8FE9-C18807977314?ref_=ast_bln&amp;store_ref=bl_ast_dp_brandLogo_sto"/>
        <s v="https://www.amazon.com/stores/Heathyoga/page/ADF7612E-0194-4BBE-B9AA-8E2C72DF616C?ref_=ast_bln&amp;store_ref=bl_ast_dp_brandLogo_sto"/>
        <s v="https://www.amazon.com/stores/A2Y/page/599F0E35-293A-408D-8F5B-D183ECDC8EC2?ref_=ast_bln&amp;store_ref=bl_ast_dp_brandLogo_sto"/>
        <s v="https://www.amazon.com/stores/Joyingtwo/page/AA994E35-091F-495D-8B4E-77FE38D76020?ref_=ast_bln"/>
        <s v="https://www.amazon.com/stores/Viodia/page/2DE13E0B-A7B3-4F9B-9846-53EBE7FDA4F5?ref_=ast_bln&amp;store_ref=bl_ast_dp_brandLogo_sto"/>
        <s v="https://www.amazon.com/stores/NORMOV/page/B3E19D4A-0DED-4089-BEC3-DF1BA344462A?ref_=ast_bln"/>
        <s v="https://www.amazon.com/stores/HOKOYI/page/07637E19-C5CA-4012-B20B-9AE8FBEC1FED?ref_=ast_bln&amp;store_ref=bl_ast_dp_brandLogo_sto"/>
        <s v="https://www.amazon.com/stores/Betaven/page/720E6134-0D08-42D8-9556-267F9A867429?ref_=ast_bln&amp;store_ref=bl_ast_dp_brandLogo_sto"/>
        <s v="https://www.amazon.com/stores/RBX/page/78897117-36E3-4177-9399-6280AE9D7D85?ref_=ast_bln&amp;store_ref=bl_ast_dp_brandLogo_sto"/>
        <s v="https://www.amazon.com/stores/EARKOHA/page/BEA02167-BB2F-4C6B-8C46-D62FFEB866C2?ref_=ast_bln&amp;store_ref=bl_ast_dp_brandLogo_sto"/>
        <s v="https://www.amazon.com/stores/COOTRY/page/565D8BF1-4C17-4F9B-A3A2-58AC71AE9048?ref_=ast_bln&amp;store_ref=bl_ast_dp_brandLogo_sto"/>
        <s v="https://www.amazon.com/stores/JACKSMITH/page/51E52A6E-5130-4D79-B070-6442E1F33D43?ref_=ast_bln&amp;store_ref=bl_ast_dp_brandLogo_sto"/>
        <s v="https://www.amazon.com/stores/DERCA/page/224A3F5F-0E8D-4421-8AB3-A16602730F7B?ref_=ast_bln&amp;store_ref=bl_ast_dp_brandLogo_sto"/>
        <s v="https://www.amazon.com/stores/MIER/page/AF290D77-EAC6-4050-921D-8847D5493E1F?ref_=ast_bln&amp;store_ref=bl_ast_dp_brandLogo_sto"/>
        <s v="https://www.amazon.com/stores/baleaf/page/243A5985-DEA3-405F-83ED-364B4A3733C5?ref_=ast_bln&amp;store_ref=bl_ast_dp_brandLogo_sto"/>
        <s v="https://www.amazon.com/stores/Werena/page/92EC3869-06BA-4BDD-94AE-F2B4C7166A32?ref_=ast_bln&amp;store_ref=bl_ast_dp_brandLogo_sto"/>
        <m/>
      </sharedItems>
    </cacheField>
    <cacheField name="商品标题" numFmtId="0">
      <sharedItems containsBlank="1" count="100">
        <s v="PINSPARK Womens Tennis Skirt Pleated Athletic Skirts with Pockets Shorts High Waisted Golf Skort for Workout Pickleball"/>
        <s v="Stelle Women's Tennis Golf Skirts High Waisted with Pockets Inner Shorts for Athletic Skorts Sports Running Pickleball"/>
        <s v="Ekouaer Women's Active Performance Skort Lightweight Skirt for Running Tennis Golf Workout Sports"/>
        <s v="Women's High Waist A-Line Pleated Mini Skirt Short Tennis Skirt"/>
        <s v="SCKTOO Womens Girl High Waisted Pleated Tennis Skirt School A-Line Skater Skirts with Lining Shorts"/>
        <s v="SANGTREE Women Girls Pleated Skirts with Shorts, Elastic Waist Uniform Plus Size Tennis Casual Skirt, 2 Years - US 4XL"/>
        <s v="TONCHENGSD Women's High Waist Pleated Mini Skirt Skater Tennis Skirt"/>
        <s v="JoyGirl Womens Pleated Tennis Skirt with Shorts High Waisted Golf Skort Mini Skirt Workout Skirt Athletic Skorts with Pockets"/>
        <s v="Stelle Girls Women Ballet Skirt Dance Wrap Skirt Chiffon Toddler Ballet Skirts"/>
        <s v="PINSPARK Tennis Skirts for Women Pleated Athletic Skort Lightweight Golf Skirts with Shorts Pocket Workout Pickleball"/>
        <s v="Blaosn Flowy Athletic Shorts for Women Gym Yoga Workout Running Tennis Skirt Comfy Skort Lounge Cute Clothes Casual Summer"/>
        <s v="Pleated Tennis Skirts for Women High Waisted Golf Skorts Tummy Control Skirts with Shorts Pockets Lightweight"/>
        <s v="Hoerev Women Girls Short High Waist Pleated Skater Tennis Skirt"/>
        <s v="PINSPARK Womens Pleated Tennis Skirt Double Ruffle Golf Skort Tummy Control Athletic Skirts with 3 Pockets Workout Pickleball"/>
        <s v="Womens Tennis Skirt with Pockets Shorts Crossover High Waisted Athletic Skorts Skirts for Golf Running Workout"/>
        <s v="Avidlove Womens Pleated Skirt School Uniform Skirt Mini Skirt Pleated Cheer Skirt"/>
        <s v="SANTINY Pleated Tennis Skirt for Women with Pockets Shorts Women's High Waisted Lightweight Athletic Golf Skorts Skirts"/>
        <s v="Yknktstc Women Tennis Skirt with Pocket Pleated Golf Skirt Workout Running Athletic Skort"/>
        <s v="Navneet Women Tennis Skirts with Pockets High Waisted Golf Skirts Athletic Skorts Pleated Mini Skirt Workout Sport Pickleball"/>
        <s v="MCEDAR Athletic Tennis Golf Skorts Skirts for Women with Pocket Workout Running Sports Pleated Skirts Casual"/>
        <s v="CHRLEISURE Women Tennis Golf Skirt with Pockets - High Waisted Golf Pleated Athletic Workout Dress Running Skort"/>
        <s v="ODODOS Women's Athletic Tennis Skorts with Pockets Built-in Shorts Golf Active Skirts for Sports Running Gym Training"/>
        <s v="Tennis Skirt for Women with Pockets Shorts Crossover High Waisted Athletic Golf Skorts Running Workout Skirts 2 in 1"/>
        <s v="Avidlove Pleated Mini Skirt Plaid Skirts High Waist A Line Skater Skirt for Lingerie Schoolgirl"/>
        <s v="Vigorics Women's High Waist Ruffle Mini Skirt Cute Tiered Short Skirt with Shorts Underneath"/>
        <s v="IUGA Tennis Skirts for Women with Pockets Shorts Athletic Golf Skorts Skirts for Women High Waisted Running Workout Skorts"/>
        <s v="CHRLEISURE Women Tennis Skirts Crossover High Waisted Pleated Workout Athletic Golf Skort Skirts with Pockets"/>
        <s v="Women's Golf Skirts Skort 4 Side Pockets High Waisted Stretchy Tennis Skirt with Short Athletic Casual"/>
        <s v="JoyGirl Pleated Tennis Skirt for Women with Shorts Athletic Golf Skort Workout Running Sports Skirts Skorts with Pockets"/>
        <s v="Afibi Women's Casual Basic Versatile Flared Pleated Mini Skater Skirt with Shorts"/>
        <s v="AUTOMET Women's Mini Tennis Skirt 2024 Athletic Cute Golf Skorts with Pockets Y2K Summer Gym Workout Outfits"/>
        <s v="Oyamiki Women's Active Athletic Skort Lightweight Tennis Skirt Perfect for Running Training Sports Golf"/>
        <s v="LXNMGO Women's High Waist Pleated Tennis Skirt with 4 Pockets Lightweight Athletic Golf Skorts Skirts for Running Workout"/>
        <s v="American Trends High Waist Pleated Tennis Skirt with Pockets Skorts Skirts for Women"/>
        <s v="Ekouaer Golf Skirts for Woman with Pockets Silicone Grippers Tennis Skirt Inner Shorts Athletic Pickleball Running Skort"/>
        <s v="CRZ YOGA High Waisted Golf Skirts for Women A Line Tennis Athletic Casual Skort Skirt with Shorts Pockets"/>
        <s v="OZICERD High Waisted Golf Skort Tennis Skirt for Women Bodycon Mini Skirt Short Pickleball Athletic Skirt with Shorts"/>
        <s v="FireSwan Tennis Skirt for Women with Pockets Shorts Crossover High Waisted Pleated Golf Skorts Athletic Workout Skirts"/>
        <s v="Womens Girls Pleated Tennis Skirts High Waisted A-line Skirt School Uniform Athletic Golf Skorts with Shorts,2T-4XL"/>
        <s v="Made By Johnny Womens' Girls' High Waist Mini Plaid School Uniform Pleated Skater Tennis Skirt with Lining Shorts"/>
        <s v="CRZ YOGA Tennis Skirts for Women Crossover High Waisted Ruffle Layered Workout Athletic Golf Skort Skirts with Pockets"/>
        <s v="Dressever Women's Pleated Skirts Mini Skater Basic Skirt High Waist Tennis Skirt School Uniform Cheerleader Skirts"/>
        <s v="THHGPO Women's Casual Basic Skirts Mini Flared Skater Stretchy A-Line Party Skirts with Shorts"/>
        <s v="Yollmart Women's Sequins Tassel Skirts Shorts Booty Dance Festival Bottoms"/>
        <s v="Ewedoos Womens Tennis Skirt with Shorts Pleated Tennis Skirts for Women Skorts Skirts for Women Athletic Skirt for Golf"/>
        <s v="ANIVIVO Skirted Legging for Women, Yoga Legging with Skirts &amp;Women Tennis Leggings Clothes Pockets"/>
        <s v="Women Girls high Waisted Pleated Skater Tennis School Skirt Uniform Skirts"/>
        <s v="Rbenxia Womens Girl High Waisted Pleated Skirt A-Line Mini Skirt School Uniform Skater Tennis Skirts with Lining Shorts"/>
        <s v="ANIVIVO Women Tennis Skirted Leggings with Pockets, Capris Yoga Leggings with Skirts&amp;Tennis Pickleball Clothing"/>
        <s v="Two Piece Tennis Skirt Sets for Women 2 Piece Mini Skirt Set Going Out Golf Skort Athletic Skirt Pickleball Outfit"/>
        <s v="Century Star High Waisted Tennis Skirts for Women with Pockets and Shorts Womens Mini Athletic Golf Sports Running Skort"/>
        <s v="Raroauf Womens Pleated Tennis Skirts with Shorts High Waisted Mini Skirt Golf Skort Athletic Skirts Workout Pickball"/>
        <s v="JoyGirl Womens Tennis Skirt with Shorts Crossover Golf Skort Mini High Waisted Workout Athletic Skorts Skirts with Pockets"/>
        <s v="Century Star Women's Stretchy Flared Pleated Skater Skirt Tennis School Uniforms A Line Mini Short Skirt"/>
        <s v="Women's High-Waisted Pleated Skirt with Shorts Mini Tennis Athletic Golf Skirts Girls Skater Skorts Cheer Uniform"/>
        <s v="LXNMGO Women's Active Athletic Skort Lightweight Tennis Skirt for Women Summer Golf Workout Running Sports Skorts with Pocket"/>
        <s v="ANRABESS Women's 2024 Summer Mini Skirt Tennis Athletic Inner Shorts Side Slit Workout Golf Bodycon Casual Skorts Clothes"/>
        <s v="Made By Johnny Women's Casual Stretchy Flared Pleated Mini Skater Skirt with Shorts"/>
        <s v="Womens Skorts Modest Knee Length Skirts Athletic Midi Active Running Skirt"/>
        <s v="ANIVIVO Women Long Knee Length Skirt with Capris Leggings,Skirted Leggings with High Waisted Zipper Pockets"/>
        <s v="ODODOS Wrap Skorts for Women Built-in Shorts High Waist Tennis Skirts with Pockets for Casual Athletic Golf"/>
        <s v="Pleated Mini Skirt High Waisted Tennis Skirts Skorts for Women Girls School Uniform Dress Cheer Skirt with Shorts,2T-4XL"/>
        <s v="SANGTREE Women Pleated Tennis Skirt with Pockets Girls High Waisted Athletic Golf Skorts, 2 Years - US 4XL"/>
        <s v="Womens Tennis Skirt Skort with Shorts Pockets Golf Athletic Workout Side Slit Dressy Casual Summer Mini Skirts"/>
        <s v="XNMAYA Women Pleated Tennis Skirt High Waisted Golf Athletic Skort Mini Skirts with Shorts Pockets Workout Running Apparel"/>
        <s v="Ekouaer Golf Skorts for Woman Active Performance Skort Lightweight Tennis Skirt with Shorts Pockets Running Workout Sports"/>
        <s v="Xioker Women Athletic Knee Length Skirts with Leggings,Skorts Leggings&amp;Skirted Capris Skorts for Women Yoga Pockets"/>
        <s v="Komorebi Womens Tennis Skirt Pleated Skirts High Waisted Golf Skirts Skorts Skirts with Pockets Athletic Workout Skirts"/>
        <s v="WOWENY Tennis Skirted Leggings with Pockets for Women Active Skort Athletic Ruffle Pleated Golf Skapri with Skirt"/>
        <s v="Cresay Women's Pleated Skirt High Waisted Ruffle Tennis Skirts Sports Skater Running Skorts with Shorts Pockets"/>
        <s v="Aurgelmir Womens Tennis Skirt with Capris Leggings Golf Knee Length Skorts Athletic Long Skirts for Women with Pockets"/>
        <s v="Tennis Skirts for Women with Shorts Pockets, High Waist Pleated Golf Skirts for Running Workout Sports"/>
        <s v="Ibeauti Womens Back Pleated Athletic Tennis Skorts Golf Skirts with 3 Pockets Mesh Shorts for Running Active Workout"/>
        <s v="Ganado Tennis Skorts Skirts for Women with 4 Pockets Pleated Golf Skirt High Waisted Athletic Skort Workout Sports Skirt"/>
        <s v="Heathyoga Pleated Tennis Skirt with Pockets for Women Tennis Skort for Woman High Waisted Golf Skirts Athletic Skirt"/>
        <s v="SANTINY Women's Pleated Tennis Skirt High Waited Athletic Skirts with Pockets Tummy Control Golf Skorts for Woman"/>
        <s v="A2Y Women's Basic Foldable High Waist Floor Length Maxi Skirts"/>
        <s v="Joyingtwo Pleated Skirt for Women Skater Skirt with Shorts Elastic Waist Plus Size Tennis Skirts"/>
        <s v="Viodia 16&quot; Golf Skorts for Women High Waisted Tennis Skirt Athletic Skorts Skirts for Women Built-in Shorts with 5 Pockets"/>
        <s v="NORMOV Tennis Skirt for Women with Pockets,High Waisted Athletic Golf Skirts Casual Summer Skorts"/>
        <s v="HOKOYI Women's Modest Long Skirt with Attached Leggings Pockets Midi Cover Up Workout Skirted Capris"/>
        <s v="Betaven Pleated Tennis Skirts for Women with Pockets Build in Shorts Golf Skort High Waisted Athletic Running Activewear"/>
        <s v="RBX Active Women's Golf/Tennis Everyday Casual Athletic Skort with Bike Shorts"/>
        <s v="EARKOHA Women Tennis Skort Athletic Golf Skirt High Waisted Layered Running Skirt Built-in Shorts with 2 Pockets"/>
        <s v="Stelle Women Tennis Skirt Athletic Skort High Waisted Golf Inner Shorts with Pockets Running Sports Pickleball"/>
        <s v="CRZ YOGA Womens Pleated Tennis Skirts with Pockets High Waisted Athletic Golf Skorts Skirts for Women Soft Breathable Cute"/>
        <s v="HOKOYI Modest Skirt with Leggings Attached for Women Workout Knee Length Swim Capri Pants with 2 Pockets"/>
        <s v="Ewedoos Tennis Skirt Womens Skorts with Pockets Shorts Tennis Skirts for Women Athletic Golf Running Pickleball"/>
        <s v="COOTRY Women's Plus Size Pleated Tennis Skirt with Shorts Athletic Golf Skorts with Pockets High Waisted Workout Skirts"/>
        <s v="AUTOMET Women's Mini Tennis Skirt High Waisted Athletic Golf Skorts Inner Shorts with Pockets 2024"/>
        <s v="JACK SMITH Women's Puffer Quilted Skirt Insulated Warm Snow Skorts for Hiking Running Golf Zipping Both Way"/>
        <s v="CRZ YOGA Women's Quick Dry Pleated Tennis Skirts Mid Waisted Cute Athletic Workout Running Sports Golf Skorts Volleyball"/>
        <s v="Blaosn Womens Mini Tennis Skirt Athletic Workout Golf Short Flowy Crossover Pleated Skirts with Pocket Cute Clothes Summer"/>
        <s v="DERCA Pleated Tennis Skirt for Women with Pockets Shorts Athletic Golf Skirts Workout Sports Activewear Skort"/>
        <s v="Aurgelmir Knee Length Womens Golf Tennis Skirts with Capri Legging Athletic Running Outdoor Workout Skorts with Pocket"/>
        <s v="MIER Tennis Skirts for Women Pleated Golf Skirt with Liner Pocket High Waisted Athletic Skort for Running Workout Sports"/>
        <s v="BALEAF Women's 17&quot; Puffer Quilted Skirt Lightweight Insulated Warm Snow Skirts Hiking Running Golf Outdoors"/>
        <s v="High Waisted Pleated Skirts for Women Skater Tennis Skirt with Shorts Pockets Mini A-Line Skirt"/>
        <s v="CRZ YOGA A Line Golf Skirts for Women High Waisted Casual Tennis Pickleball Athletic Skorts with Shorts Pockets"/>
        <m/>
      </sharedItems>
    </cacheField>
    <cacheField name="商品详情页链接" numFmtId="0">
      <sharedItems containsBlank="1" count="101">
        <s v="https://www.amazon.com/dp/B0CTT1LCHS?psc=1"/>
        <s v="https://www.amazon.com/dp/B0DFGTWJYL?psc=1"/>
        <s v="https://www.amazon.com/dp/B07F428M5Y?psc=1"/>
        <s v="https://www.amazon.com/dp/B09VGN36V7?psc=1"/>
        <s v="https://www.amazon.com/dp/B08KWCB219?psc=1"/>
        <s v="https://www.amazon.com/dp/B09WMXRBNV?psc=1"/>
        <s v="https://www.amazon.com/dp/B08F76JT89?psc=1"/>
        <s v="https://www.amazon.com/dp/B0C48V33QT?psc=1"/>
        <s v="https://www.amazon.com/dp/B0771GMVRT?psc=1"/>
        <s v="https://www.amazon.com/dp/B0CR9XYTGS?psc=1"/>
        <s v="https://www.amazon.com/dp/B09Y425F5C?psc=1"/>
        <s v="https://www.amazon.com/dp/B0CRLC1Z89?psc=1"/>
        <s v="https://www.amazon.com/dp/B07MHH52QB?psc=1"/>
        <s v="https://www.amazon.com/dp/B0CRK7HBBN?psc=1"/>
        <s v="https://www.amazon.com/dp/B0CBR858BS?psc=1"/>
        <s v="https://www.amazon.com/dp/B0CDXDPBY7?psc=1"/>
        <s v="https://www.amazon.com/dp/B0CPSSXKY2?psc=1"/>
        <s v="https://www.amazon.com/dp/B09F6MPHJB?psc=1"/>
        <s v="https://www.amazon.com/dp/B09VL9JM7B?psc=1"/>
        <s v="https://www.amazon.com/dp/B099PPF92T?psc=1"/>
        <s v="https://www.amazon.com/dp/B0CSWGZ721?psc=1"/>
        <s v="https://www.amazon.com/dp/B0D3HJ9VYD?psc=1"/>
        <s v="https://www.amazon.com/dp/B0CTBBGFM5?psc=1"/>
        <s v="https://www.amazon.com/dp/B0CNSX743S?psc=1"/>
        <s v="https://www.amazon.com/dp/B0C9GTRNBT?psc=1"/>
        <s v="https://www.amazon.com/dp/B0B1H4YWW2?psc=1"/>
        <s v="https://www.amazon.com/dp/B0CSYVXRSZ?psc=1"/>
        <s v="https://www.amazon.com/dp/B0CPSP57J1?psc=1"/>
        <s v="https://www.amazon.com/dp/B0D12CLF5N?psc=1"/>
        <s v="https://www.amazon.com/dp/B09YLDG9P1?psc=1"/>
        <s v="https://www.amazon.com/dp/B0CXHZ9NVB?psc=1"/>
        <s v="https://www.amazon.com/dp/B0C4Y5RDB1?psc=1"/>
        <s v="https://www.amazon.com/dp/B0CQ77C9F5?psc=1"/>
        <s v="https://www.amazon.com/dp/B0BBQWY2JY?psc=1"/>
        <s v="https://www.amazon.com/dp/B08Q37Z53T?psc=1"/>
        <s v="https://www.amazon.com/dp/B0CQ7939R4?psc=1"/>
        <s v="https://www.amazon.com/dp/B0D66D7D4H?psc=1"/>
        <s v="https://www.amazon.com/dp/B0CW189C9F?psc=1"/>
        <s v="https://www.amazon.com/dp/B0CDLPFH3V?psc=1"/>
        <s v="https://www.amazon.com/dp/B08NFG6Z3G?psc=1"/>
        <s v="https://www.amazon.com/dp/B0BK16SM9P?psc=1"/>
        <s v="https://www.amazon.com/dp/B0D471V13M?psc=1"/>
        <s v="https://www.amazon.com/dp/B0CTWZZGY9?psc=1"/>
        <s v="https://www.amazon.com/dp/B07LD75CKQ?psc=1"/>
        <s v="https://www.amazon.com/dp/B0BRN4HXMT?psc=1"/>
        <s v="https://www.amazon.com/dp/B07QYQN2VR?psc=1"/>
        <s v="https://www.amazon.com/dp/B0CJ2LZ8SK?psc=1"/>
        <s v="https://www.amazon.com/dp/B0CBJK85SS?psc=1"/>
        <s v="https://www.amazon.com/dp/B07QGLSMQK?psc=1"/>
        <s v="https://www.amazon.com/dp/B0CRZ4GZH7?psc=1"/>
        <s v="https://www.amazon.com/dp/B09QS33TKG?psc=1"/>
        <s v="https://www.amazon.com/dp/B08DNKYD86?psc=1"/>
        <s v="https://www.amazon.com/dp/B0CRDJP1NM?psc=1"/>
        <s v="https://www.amazon.com/dp/B0995TGV4V?psc=1"/>
        <s v="https://www.amazon.com/dp/B0D8J5PX5G?psc=1"/>
        <s v="https://www.amazon.com/dp/B0CSFLR9JC?psc=1"/>
        <s v="https://www.amazon.com/dp/B0CXD5PYTR?psc=1"/>
        <s v="https://www.amazon.com/dp/B09Q53W5ND?psc=1"/>
        <s v="https://www.amazon.com/dp/B0C918W433?psc=1"/>
        <s v="https://www.amazon.com/dp/B0BHNTCSX9?psc=1"/>
        <s v="https://www.amazon.com/dp/B0D5HGZG2F?psc=1"/>
        <s v="https://www.amazon.com/dp/B0BZH8PP33?psc=1"/>
        <s v="https://www.amazon.com/dp/B0BWDMFJ87?psc=1"/>
        <s v="https://www.amazon.com/dp/B0D8PVS658?psc=1"/>
        <s v="https://www.amazon.com/dp/B0BHHZYSSB?psc=1"/>
        <s v="https://www.amazon.com/dp/B0BVVQWQJQ?psc=1"/>
        <s v="https://www.amazon.com/dp/B0BBMF142Z?psc=1"/>
        <s v="https://www.amazon.com/dp/B0D7MLB4G9?psc=1"/>
        <s v="https://www.amazon.com/dp/B09HTLMGR3?psc=1"/>
        <s v="https://www.amazon.com/dp/B0D53GV4H8?psc=1"/>
        <s v="https://www.amazon.com/dp/B0B4SCTNDH?psc=1"/>
        <s v="https://www.amazon.com/dp/B0BZY6JPVB?psc=1"/>
        <s v="https://www.amazon.com/dp/B07Z3DYGPC?psc=1"/>
        <s v="https://www.amazon.com/dp/B0BK8ZQBLS?psc=1"/>
        <s v="https://www.amazon.com/dp/B0CT89R1L4?psc=1"/>
        <s v="https://www.amazon.com/dp/B0CSYD4QMR?psc=1"/>
        <s v="https://www.amazon.com/dp/B07YRW6BBZ?psc=1"/>
        <s v="https://www.amazon.com/dp/B0C9QNFW18?psc=1"/>
        <s v="https://www.amazon.com/dp/B0CNCBQBWW?psc=1"/>
        <s v="https://www.amazon.com/dp/B0CNVT851G?psc=1"/>
        <s v="https://www.amazon.com/dp/B0CQX17W1G?psc=1"/>
        <s v="https://www.amazon.com/dp/B0BJKP58Q8?psc=1"/>
        <s v="https://www.amazon.com/dp/B093XS7LP2?psc=1"/>
        <s v="https://www.amazon.com/dp/B084KX4SX6?psc=1"/>
        <s v="https://www.amazon.com/dp/B0CQCLL1LG?psc=1"/>
        <s v="https://www.amazon.com/dp/B0D1C1LW64?psc=1"/>
        <s v="https://www.amazon.com/dp/B0C23QYD92?psc=1"/>
        <s v="https://www.amazon.com/dp/B09YCB59RW?psc=1"/>
        <s v="https://www.amazon.com/dp/B0CYBSMXH6?psc=1"/>
        <s v="https://www.amazon.com/dp/B0CSYM9Q7T?psc=1"/>
        <s v="https://www.amazon.com/dp/B0D9RSJ2F2?psc=1"/>
        <s v="https://www.amazon.com/dp/B0CG2Y9B6T?psc=1"/>
        <s v="https://www.amazon.com/dp/B082SQNRPG?psc=1"/>
        <s v="https://www.amazon.com/dp/B0CRBF2DBC?psc=1"/>
        <s v="https://www.amazon.com/dp/B096XJR53X?psc=1"/>
        <s v="https://www.amazon.com/dp/B0B4FNFD61?psc=1"/>
        <s v="https://www.amazon.com/dp/B0CSJN478G?psc=1"/>
        <s v="https://www.amazon.com/dp/B0B6BPYMBJ?psc=1"/>
        <s v="https://www.amazon.com/dp/B097F2J334?psc=1"/>
        <s v="https://www.amazon.com/dp/B0D5D879B3?psc=1"/>
        <m/>
      </sharedItems>
    </cacheField>
    <cacheField name="商品主图" numFmtId="0">
      <sharedItems containsBlank="1" count="100">
        <s v="https://m.media-amazon.com/images/I/41PQXMaTMiL._AC_SR600,600_.jpg"/>
        <s v="https://m.media-amazon.com/images/I/31ode6tTOcL._AC_SR600,600_.jpg"/>
        <s v="https://images-na.ssl-images-amazon.com/images/I/61wTjwsKjPL._AC_US600_.jpg"/>
        <s v="https://m.media-amazon.com/images/I/418F5ZF9JJL._AC_SR600,600_.jpg"/>
        <s v="https://images-na.ssl-images-amazon.com/images/I/61q3vTubnaL._AC_US600_.jpg"/>
        <s v="https://m.media-amazon.com/images/I/31jG7SKpoIL._AC_SR600,600_.jpg"/>
        <s v="https://m.media-amazon.com/images/I/4163dP1CSCL._AC_SR600,600_.jpg"/>
        <s v="https://m.media-amazon.com/images/I/41QLBt200kL._AC_SR600,600_.jpg"/>
        <s v="https://images-na.ssl-images-amazon.com/images/I/61vDzM3w97L._AC_US600_.jpg"/>
        <s v="https://m.media-amazon.com/images/I/41ol4DcCmSL._AC_SR600,600_.jpg"/>
        <s v="https://images-na.ssl-images-amazon.com/images/I/61aQM47pBWL._AC_US600_.jpg"/>
        <s v="https://m.media-amazon.com/images/I/31j9weR+XDL._AC_SR600,600_.jpg"/>
        <s v="https://m.media-amazon.com/images/I/31PRuU6Fv7L._AC_SR600,600_.jpg"/>
        <s v="https://m.media-amazon.com/images/I/417ZLmmM7DL._AC_SR600,600_.jpg"/>
        <s v="https://images-na.ssl-images-amazon.com/images/I/617oSwSdTNL._AC_US600_.jpg"/>
        <s v="https://images-na.ssl-images-amazon.com/images/I/810csjn8hBL._AC_US600_.jpg"/>
        <s v="https://m.media-amazon.com/images/I/51JRi174VpL._AC_SR600,600_.jpg"/>
        <s v="https://m.media-amazon.com/images/I/415eHQhw2AL._AC_SR600,600_.jpg"/>
        <s v="https://m.media-amazon.com/images/I/41V7fn15teL._AC_SR600,600_.jpg"/>
        <s v="https://images-na.ssl-images-amazon.com/images/I/61S6phic62L._AC_US600_.jpg"/>
        <s v="https://m.media-amazon.com/images/I/31p25O3DlZL._AC_SR600,600_.jpg"/>
        <s v="https://images-na.ssl-images-amazon.com/images/I/61K-g8n-4rL._AC_US600_.jpg"/>
        <s v="https://images-na.ssl-images-amazon.com/images/I/51+64ytsRSL._AC_US600_.jpg"/>
        <s v="https://m.media-amazon.com/images/I/31vDCqnuAxL._AC_SR600,600_.jpg"/>
        <s v="https://m.media-amazon.com/images/I/41PyIjbn9gL._AC_SR600,600_.jpg"/>
        <s v="https://m.media-amazon.com/images/I/31obBmkVv2L._AC_SR600,600_.jpg"/>
        <s v="https://m.media-amazon.com/images/I/416H76bIRSL._AC_SR600,600_.jpg"/>
        <s v="https://m.media-amazon.com/images/I/51NQ-X4qLyL._AC_SR600,600_.jpg"/>
        <s v="https://images-na.ssl-images-amazon.com/images/I/61PxFmYWsQL._AC_US600_.jpg"/>
        <s v="https://m.media-amazon.com/images/I/41+drPnv+iL._AC_SR600,600_.jpg"/>
        <s v="https://images-na.ssl-images-amazon.com/images/I/6123nNA+mIL._AC_US600_.jpg"/>
        <s v="https://images-na.ssl-images-amazon.com/images/I/91k6N8+p2ZL._AC_US600_.jpg"/>
        <s v="https://images-na.ssl-images-amazon.com/images/I/61IJzzP28wL._AC_US600_.jpg"/>
        <s v="https://m.media-amazon.com/images/I/41VJ3OcPFnL._AC_SR600,600_.jpg"/>
        <s v="https://m.media-amazon.com/images/I/41hzEpmRDcL._AC_SR600,600_.jpg"/>
        <s v="https://m.media-amazon.com/images/I/41BRbIS9jkL._AC_SR600,600_.jpg"/>
        <s v="https://images-na.ssl-images-amazon.com/images/I/71NMpBHxBQL._AC_US600_.jpg"/>
        <s v="https://images-na.ssl-images-amazon.com/images/I/614I5KiX6AL._AC_US600_.jpg"/>
        <s v="https://m.media-amazon.com/images/I/31FkWGkfqFL._AC_SR600,600_.jpg"/>
        <s v="https://m.media-amazon.com/images/I/41VVOxFMHVL._AC_SR600,600_.jpg"/>
        <s v="https://m.media-amazon.com/images/I/41HpYmeKthL._AC_SR600,600_.jpg"/>
        <s v="https://m.media-amazon.com/images/I/31a-Aqn9UJL._AC_SR600,600_.jpg"/>
        <s v="https://m.media-amazon.com/images/I/41PGbJnkl2L._AC_SR600,600_.jpg"/>
        <s v="https://m.media-amazon.com/images/I/51QUygWA-+L._AC_SR600,600_.jpg"/>
        <s v="https://m.media-amazon.com/images/I/313s-5xO9-L._AC_SR600,600_.jpg"/>
        <s v="https://m.media-amazon.com/images/I/31Y77V7SykL._AC_SR600,600_.jpg"/>
        <s v="https://m.media-amazon.com/images/I/31hNUhzYHlL._AC_SR600,600_.jpg"/>
        <s v="https://images-na.ssl-images-amazon.com/images/I/515l0Lo3gXL._AC_US600_.jpg"/>
        <s v="https://m.media-amazon.com/images/I/31AVtTelqlL._AC_SR600,600_.jpg"/>
        <s v="https://m.media-amazon.com/images/I/31TsLVz5IHL._AC_SR600,600_.jpg"/>
        <s v="https://m.media-amazon.com/images/I/41S+KK9cEwL._AC_SR600,600_.jpg"/>
        <s v="https://m.media-amazon.com/images/I/415rgvPMsrL._AC_SR600,600_.jpg"/>
        <s v="https://m.media-amazon.com/images/I/41I1ydyZ-jL._AC_SR600,600_.jpg"/>
        <s v="https://images-na.ssl-images-amazon.com/images/I/61h1OqanqZL._AC_US600_.jpg"/>
        <s v="https://m.media-amazon.com/images/I/412Rqfytk3L._AC_SR600,600_.jpg"/>
        <s v="https://m.media-amazon.com/images/I/31kYFXk1poL._AC_SR600,600_.jpg"/>
        <s v="https://m.media-amazon.com/images/I/318GPvAU69L._AC_SR600,600_.jpg"/>
        <s v="https://m.media-amazon.com/images/I/41YDMA-023L._AC_SR600,600_.jpg"/>
        <s v="https://m.media-amazon.com/images/I/51C+KH+kAuL._AIweblab959719,T4_AC_SR38,50_.jpg?aicid=AUI-3.1"/>
        <s v="https://m.media-amazon.com/images/I/31EVh2TCLpL._AC_SR600,600_.jpg"/>
        <s v="https://m.media-amazon.com/images/I/31e827D+pjL._AC_SR600,600_.jpg"/>
        <s v="https://m.media-amazon.com/images/I/41dvkWhCTpL._AC_SR600,600_.jpg"/>
        <s v="https://m.media-amazon.com/images/I/51IiH55cqsL._AC_SR600,600_.jpg"/>
        <s v="https://images-na.ssl-images-amazon.com/images/I/71SkFoDAZpL._AC_US600_.jpg"/>
        <s v="https://m.media-amazon.com/images/I/31-vKe36HzL._AC_SR600,600_.jpg"/>
        <s v="https://m.media-amazon.com/images/I/31XbB5VBUVL._AC_SR600,600_.jpg"/>
        <s v="https://m.media-amazon.com/images/I/31Cz1dtzZYL._AC_SR600,600_.jpg"/>
        <s v="https://images-na.ssl-images-amazon.com/images/I/61lUFO4TnlL._AC_US600_.jpg"/>
        <s v="https://m.media-amazon.com/images/I/41kPdH8q-qL._AC_SR600,600_.jpg"/>
        <s v="https://images-na.ssl-images-amazon.com/images/I/41bs8h3nUAL._AC_US600_.jpg"/>
        <s v="https://m.media-amazon.com/images/I/41Vt3zapR3L._AC_SR600,600_.jpg"/>
        <s v="https://images-na.ssl-images-amazon.com/images/I/71SSv5qFA7L._AC_US600_.jpg"/>
        <s v="https://m.media-amazon.com/images/I/31Q+qxBiP5L._AC_SR600,600_.jpg"/>
        <s v="https://images-na.ssl-images-amazon.com/images/I/71iNwyoB6+L._AC_US600_.jpg"/>
        <s v="https://m.media-amazon.com/images/I/41AjvNZtUCL._AC_SR600,600_.jpg"/>
        <s v="https://m.media-amazon.com/images/I/21wgZEXuJpL._AC_SR600,600_.jpg"/>
        <s v="https://images-na.ssl-images-amazon.com/images/I/619mEGg9BlL._AC_US600_.jpg"/>
        <s v="https://images-na.ssl-images-amazon.com/images/I/71GK9daXJFL._AC_US600_.jpg"/>
        <s v="https://m.media-amazon.com/images/I/312T+8HISFL._AC_SR600,600_.jpg"/>
        <s v="https://images-na.ssl-images-amazon.com/images/I/71fEBPiwuqL._AC_US600_.jpg"/>
        <s v="https://m.media-amazon.com/images/I/31R5aRELi-L._AC_SR600,600_.jpg"/>
        <s v="https://m.media-amazon.com/images/I/41ncfwj4XsL._AC_SR600,600_.jpg"/>
        <s v="https://images-na.ssl-images-amazon.com/images/I/71SjAUBobQL._AC_US600_.jpg"/>
        <s v="https://m.media-amazon.com/images/I/416Laj178vL._AIweblab959719,T4_AC_SR38,50_.jpg?aicid=AUI-3.1"/>
        <s v="https://m.media-amazon.com/images/I/318j3COTLnL._AC_SR600,600_.jpg"/>
        <s v="https://m.media-amazon.com/images/I/419kHLN+NqL._AC_SR600,600_.jpg"/>
        <s v="https://m.media-amazon.com/images/I/31edvud3stL._AC_SR600,600_.jpg"/>
        <s v="https://images-na.ssl-images-amazon.com/images/I/715l2cCRN9L._AC_US600_.jpg"/>
        <s v="https://images-na.ssl-images-amazon.com/images/I/617UqpBnogL._AC_US600_.jpg"/>
        <s v="https://m.media-amazon.com/images/I/310z6SNCURL._AC_SR600,600_.jpg"/>
        <s v="https://images-na.ssl-images-amazon.com/images/I/712yr75J8OL._AC_US600_.jpg"/>
        <s v="https://m.media-amazon.com/images/I/41P5VBsiUHL._AC_SR600,600_.jpg"/>
        <s v="https://images-na.ssl-images-amazon.com/images/I/61LqIkqV8uL._AC_US600_.jpg"/>
        <s v="https://m.media-amazon.com/images/I/41W6D-IQRFL._AC_SR600,600_.jpg"/>
        <s v="https://m.media-amazon.com/images/I/31ruMbTOJUL._AC_SR600,600_.jpg"/>
        <s v="https://m.media-amazon.com/images/I/31bxgwxMJVL._AC_SR600,600_.jpg"/>
        <s v="https://m.media-amazon.com/images/I/312OWVXYx+L._AC_SR600,600_.jpg"/>
        <s v="https://m.media-amazon.com/images/I/41X6HWdso2L._AC_SR600,600_.jpg"/>
        <s v="https://m.media-amazon.com/images/I/41bUztfjmQL._AC_SR600,600_.jpg"/>
        <m/>
      </sharedItems>
    </cacheField>
    <cacheField name="父ASIN" numFmtId="0">
      <sharedItems containsBlank="1" count="101">
        <s v="B0D31QPQK8"/>
        <s v="B0BWK6TP4D"/>
        <s v="B07F3RFJ76"/>
        <s v="B08D6GFJNL"/>
        <s v="B09MBNYQKS"/>
        <s v="B0DHFM2CWZ"/>
        <s v="B089SS8KQQ"/>
        <s v="B0C48XKJK2"/>
        <s v="B0DF67TLZ6"/>
        <s v="B0D31R2HRF"/>
        <s v="B09Y425F5C"/>
        <s v="B0CRL6JB9G"/>
        <s v="B0731FQXTD"/>
        <s v="B0D31QY2B8"/>
        <s v="B0CBR82YM5"/>
        <s v="B0CDXDPBY7"/>
        <s v="B0CPSTVPDS"/>
        <s v="B09PH4N2ZF"/>
        <s v="B0D461G79C"/>
        <s v="B098DGLK8Y"/>
        <s v="B0CSWLD1CV"/>
        <s v="B0D5XMP1P7"/>
        <s v="B0CTCBTWNW"/>
        <s v="B0CNSX743S"/>
        <s v="B0C9GTRNBT"/>
        <s v="B0B1HJQ3TH"/>
        <s v="B0CSYNKD7Z"/>
        <s v="B0CPSP57J1"/>
        <s v="B0D12M2J9C"/>
        <s v="B09YL57LKP"/>
        <s v="B0CXHW8XCB"/>
        <s v="B0C4Y5RDB1"/>
        <s v="B0CQ5FMY2H"/>
        <s v="B0C242V2NH"/>
        <s v="B08Q37Z53T"/>
        <s v="B0CPXQMM5Z"/>
        <s v="B0D66D7D4H"/>
        <s v="B0CW1385VL"/>
        <s v="B0DDX4YCHP"/>
        <s v="B08NFDXR9Y"/>
        <s v="B0BSF327RW"/>
        <s v="B0D47FWVYV"/>
        <s v="B0CTWZZGY9"/>
        <s v="B07LD8K89D"/>
        <s v="B0BRN671LM"/>
        <s v="B07QDFFMD9"/>
        <s v="B01EUJKQO6"/>
        <s v="B0C8H4MHSQ"/>
        <s v="B08T6CKY14"/>
        <s v="B0D7SSPTMS"/>
        <s v="B0B2J83HCV"/>
        <s v="B08KRKY41K"/>
        <s v="B0CR9T17H6"/>
        <s v="B09MVGWZMQ"/>
        <s v="B0D8J5PX5G"/>
        <s v="B0CSFMBN8Q"/>
        <s v="B0CXD5PYTR"/>
        <s v="B09Q53W5ND"/>
        <s v="B0C918W433"/>
        <s v="B0D9CM6644"/>
        <s v="B0D5HGZG2F"/>
        <s v="B0BZH8PP33"/>
        <s v="B0BWDMFJ87"/>
        <s v="B0D8Q9GCQW"/>
        <s v="B0BHHZYSSB"/>
        <s v="B0BVVQWQJQ"/>
        <s v="B0BBMF142Z"/>
        <s v="B0D7MLB4G9"/>
        <s v="B09HTLMGR3"/>
        <s v="B0D53GV4H8"/>
        <s v="B0BDF6N9G3"/>
        <s v="B0BZY6JPVB"/>
        <s v="B07Z3DYGPC"/>
        <s v="B0BK8ZQBLS"/>
        <s v="B0CT89R1L4"/>
        <s v="B0CSYD4QMR"/>
        <s v="B07YRW6BBZ"/>
        <s v="B0C9QNFW18"/>
        <s v="B0D7SSDNMY"/>
        <s v="B0CNVT851G"/>
        <s v="B0CQX17W1G"/>
        <s v="B0BJKP58Q8"/>
        <s v="B093XS7LP2"/>
        <s v="B084KX4SX6"/>
        <s v="B0CQCLL1LG"/>
        <s v="B0D1C1LW64"/>
        <s v="B0C23QYD92"/>
        <s v="B09YCB59RW"/>
        <s v="B0CYBSMXH6"/>
        <s v="B0CSYM9Q7T"/>
        <s v="B0D9RSJ2F2"/>
        <s v="B0CG2Y9B6T"/>
        <s v="B082SQNRPG"/>
        <s v="B0CRBF2DBC"/>
        <s v="B096XJR53X"/>
        <s v="B0B4FNFD61"/>
        <s v="B0CSJN478G"/>
        <s v="B0B6BPYMBJ"/>
        <s v="B097F2J334"/>
        <s v="B0D5D879B3"/>
        <m/>
      </sharedItems>
    </cacheField>
    <cacheField name="类目路径" numFmtId="0">
      <sharedItems containsBlank="1" count="6">
        <s v="Clothing, Shoes &amp; Jewelry:Women:Clothing:Active:Skirts &amp; Skorts:Active Skirts"/>
        <s v="Clothing, Shoes &amp; Jewelry:Novelty &amp; More:Clothing:Novelty:Women:Skirts"/>
        <s v="Clothing, Shoes &amp; Jewelry:Women:Clothing:Skirts"/>
        <s v="Clothing, Shoes &amp; Jewelry:Women:Clothing:Active:Skirts &amp; Skorts:Active Skorts"/>
        <s v="Clothing, Shoes &amp; Jewelry:Sport Specific Clothing:Dance:Women:Skirts"/>
        <m/>
      </sharedItems>
    </cacheField>
    <cacheField name="大类目" numFmtId="0">
      <sharedItems containsBlank="1" count="2">
        <s v="Clothing, Shoes &amp; Jewelry"/>
        <m/>
      </sharedItems>
    </cacheField>
    <cacheField name="大类BSR" numFmtId="3">
      <sharedItems containsString="0" containsBlank="1" containsNumber="1" containsInteger="1" minValue="0" maxValue="95630" count="101">
        <n v="1149"/>
        <n v="528"/>
        <n v="959"/>
        <n v="1509"/>
        <n v="1095"/>
        <n v="3337"/>
        <n v="1034"/>
        <n v="3038"/>
        <n v="2520"/>
        <n v="8295"/>
        <n v="4313"/>
        <n v="4312"/>
        <n v="6319"/>
        <n v="13382"/>
        <n v="7976"/>
        <n v="5670"/>
        <n v="2471"/>
        <n v="3945"/>
        <n v="8781"/>
        <n v="9885"/>
        <n v="6760"/>
        <n v="9680"/>
        <n v="6440"/>
        <n v="5145"/>
        <n v="12784"/>
        <n v="13008"/>
        <n v="25857"/>
        <n v="15749"/>
        <n v="12877"/>
        <n v="12608"/>
        <n v="16573"/>
        <n v="18531"/>
        <n v="14893"/>
        <n v="9754"/>
        <n v="4343"/>
        <n v="24576"/>
        <n v="58953"/>
        <n v="18764"/>
        <n v="14162"/>
        <n v="21201"/>
        <n v="17923"/>
        <n v="12316"/>
        <n v="13705"/>
        <n v="28735"/>
        <n v="9699"/>
        <n v="26648"/>
        <n v="14600"/>
        <n v="8500"/>
        <n v="28037"/>
        <n v="28280"/>
        <n v="28954"/>
        <n v="19457"/>
        <n v="34291"/>
        <n v="18221"/>
        <n v="33057"/>
        <n v="30308"/>
        <n v="42065"/>
        <n v="18869"/>
        <n v="30145"/>
        <n v="29361"/>
        <n v="43547"/>
        <n v="35656"/>
        <n v="41779"/>
        <n v="28163"/>
        <n v="32459"/>
        <n v="58653"/>
        <n v="43390"/>
        <n v="33183"/>
        <n v="37578"/>
        <n v="56043"/>
        <n v="33431"/>
        <n v="55296"/>
        <n v="51268"/>
        <n v="44369"/>
        <n v="48347"/>
        <n v="55011"/>
        <n v="51970"/>
        <n v="70925"/>
        <n v="38345"/>
        <n v="73740"/>
        <n v="51321"/>
        <n v="47680"/>
        <n v="48526"/>
        <n v="58637"/>
        <n v="60457"/>
        <n v="59929"/>
        <n v="61276"/>
        <n v="95630"/>
        <n v="81160"/>
        <n v="76034"/>
        <n v="56730"/>
        <n v="59479"/>
        <n v="86876"/>
        <n v="76128"/>
        <n v="73919"/>
        <n v="86742"/>
        <n v="76816"/>
        <n v="80988"/>
        <n v="38421"/>
        <n v="83461"/>
        <m/>
      </sharedItems>
    </cacheField>
    <cacheField name="大类BSR增长数" numFmtId="3">
      <sharedItems containsString="0" containsBlank="1" containsNumber="1" containsInteger="1" minValue="-40941" maxValue="62406" count="101">
        <n v="-858"/>
        <n v="-306"/>
        <n v="100"/>
        <n v="0"/>
        <n v="-502"/>
        <n v="-1027"/>
        <n v="1040"/>
        <n v="787"/>
        <n v="512"/>
        <n v="-5388"/>
        <n v="-757"/>
        <n v="561"/>
        <n v="-3262"/>
        <n v="-11960"/>
        <n v="-1676"/>
        <n v="-1946"/>
        <n v="2887"/>
        <n v="3486"/>
        <n v="-104"/>
        <n v="-3569"/>
        <n v="-799"/>
        <n v="-938"/>
        <n v="801"/>
        <n v="-46"/>
        <n v="-1757"/>
        <n v="-4529"/>
        <n v="-12697"/>
        <n v="7042"/>
        <n v="-595"/>
        <n v="-674"/>
        <n v="-4922"/>
        <n v="-5877"/>
        <n v="32"/>
        <n v="4618"/>
        <n v="27546"/>
        <n v="2448"/>
        <n v="-38494"/>
        <n v="1244"/>
        <n v="1663"/>
        <n v="-1708"/>
        <n v="237"/>
        <n v="8094"/>
        <n v="-600"/>
        <n v="-17075"/>
        <n v="23256"/>
        <n v="2058"/>
        <n v="-1210"/>
        <n v="10177"/>
        <n v="5676"/>
        <n v="-13938"/>
        <n v="-4978"/>
        <n v="7887"/>
        <n v="6045"/>
        <n v="-1270"/>
        <n v="-3598"/>
        <n v="7699"/>
        <n v="-5092"/>
        <n v="10285"/>
        <n v="22518"/>
        <n v="7273"/>
        <n v="12727"/>
        <n v="278"/>
        <n v="-13991"/>
        <n v="5411"/>
        <n v="1709"/>
        <n v="-31098"/>
        <n v="42385"/>
        <n v="-1928"/>
        <n v="17151"/>
        <n v="-12078"/>
        <n v="42028"/>
        <n v="-17278"/>
        <n v="-10142"/>
        <n v="-3614"/>
        <n v="3157"/>
        <n v="25436"/>
        <n v="15869"/>
        <n v="-5874"/>
        <n v="17816"/>
        <n v="25475"/>
        <n v="16599"/>
        <n v="30733"/>
        <n v="13914"/>
        <n v="62406"/>
        <n v="60461"/>
        <n v="22796"/>
        <n v="19811"/>
        <n v="15490"/>
        <n v="25511"/>
        <n v="-542"/>
        <n v="22799"/>
        <n v="20726"/>
        <n v="-6186"/>
        <n v="-40941"/>
        <n v="21805"/>
        <n v="22596"/>
        <n v="11145"/>
        <n v="12006"/>
        <n v="27060"/>
        <n v="-2319"/>
        <m/>
      </sharedItems>
    </cacheField>
    <cacheField name="大类BSR增长率" numFmtId="176">
      <sharedItems containsString="0" containsBlank="1" containsNumber="1" minValue="-4.1057" maxValue="0.8672" count="101">
        <n v="-1.9589"/>
        <n v="-1.2911"/>
        <n v="0.1695"/>
        <n v="0"/>
        <n v="-0.8596"/>
        <n v="-0.6077"/>
        <n v="0.6341"/>
        <n v="0.2623"/>
        <n v="0.1823"/>
        <n v="-1.2829"/>
        <n v="-0.1498"/>
        <n v="0.1781"/>
        <n v="-1.2702"/>
        <n v="-4.1057"/>
        <n v="-0.3864"/>
        <n v="-0.5226"/>
        <n v="0.5249"/>
        <n v="0.498"/>
        <n v="-0.0175"/>
        <n v="-0.6633"/>
        <n v="-0.2241"/>
        <n v="-0.1262"/>
        <n v="0.1122"/>
        <n v="-0.009"/>
        <n v="-0.2507"/>
        <n v="-0.7094"/>
        <n v="-1.1876"/>
        <n v="0.3251"/>
        <n v="-0.0519"/>
        <n v="-0.0774"/>
        <n v="-0.6437"/>
        <n v="-0.4644"/>
        <n v="0.0027"/>
        <n v="0.3628"/>
        <n v="0.8672"/>
        <n v="0.0951"/>
        <n v="-1.8815"/>
        <n v="0.0588"/>
        <n v="0.1171"/>
        <n v="-0.1208"/>
        <n v="0.015"/>
        <n v="0.474"/>
        <n v="-0.0458"/>
        <n v="-1.5596"/>
        <n v="0.6705"/>
        <n v="0.0818"/>
        <n v="-0.0995"/>
        <n v="0.5004"/>
        <n v="0.1582"/>
        <n v="-0.9379"/>
        <n v="-0.245"/>
        <n v="0.3233"/>
        <n v="0.1952"/>
        <n v="-0.104"/>
        <n v="-0.1221"/>
        <n v="0.2188"/>
        <n v="-0.1648"/>
        <n v="0.3528"/>
        <n v="0.4276"/>
        <n v="0.2042"/>
        <n v="0.2262"/>
        <n v="0.0077"/>
        <n v="-0.5035"/>
        <n v="0.1626"/>
        <n v="0.05"/>
        <n v="-1.1286"/>
        <n v="0.4941"/>
        <n v="-0.0617"/>
        <n v="0.3134"/>
        <n v="-0.2747"/>
        <n v="0.568"/>
        <n v="-0.4545"/>
        <n v="-0.2466"/>
        <n v="-0.076"/>
        <n v="0.0613"/>
        <n v="0.3162"/>
        <n v="0.2339"/>
        <n v="-0.0903"/>
        <n v="0.3172"/>
        <n v="0.2568"/>
        <n v="0.2444"/>
        <n v="0.3919"/>
        <n v="0.2228"/>
        <n v="0.5156"/>
        <n v="0.5"/>
        <n v="0.2756"/>
        <n v="0.2443"/>
        <n v="0.1464"/>
        <n v="0.2392"/>
        <n v="-0.0067"/>
        <n v="0.2867"/>
        <n v="0.2584"/>
        <n v="-0.0665"/>
        <n v="-1.1635"/>
        <n v="0.2278"/>
        <n v="0.2067"/>
        <n v="0.1267"/>
        <n v="0.1291"/>
        <n v="0.4132"/>
        <n v="-0.0286"/>
        <m/>
      </sharedItems>
    </cacheField>
    <cacheField name="小类目" numFmtId="0">
      <sharedItems containsBlank="1" count="16">
        <s v="Women's Athletic Skorts_x000a_Women's Tennis Skorts_x000a_Women's Athletic Skirts"/>
        <s v="Women's Tennis Skorts_x000a_Women's Athletic Skorts_x000a_Women's Athletic Skirts"/>
        <s v="Women's Athletic Skirts_x000a_Women's Tennis Skirts"/>
        <s v="Women's Athletic Skirts"/>
        <s v="Women's Dance Skirts_x000a_Women's Athletic Skirts"/>
        <s v="Women's Tennis Skirts_x000a_Women's Athletic Skirts"/>
        <s v="Women's Novelty Skirts_x000a_Women's Fashion"/>
        <s v="Women's Exotic Costumes"/>
        <s v="Women's Skirts"/>
        <s v="Women's Athletic Skorts"/>
        <s v="Women's Tennis Skorts_x000a_Women's Athletic Skorts"/>
        <s v="Women's Dance Skirts"/>
        <s v="Women's Athletic Skirts_x000a_Women's Dance Skirts_x000a_Women's Yoga Clothing"/>
        <s v="Women's Athletic Skorts_x000a_Women's Athletic Skirts"/>
        <s v="Women's Athletic Skirts_x000a_Women's Shops"/>
        <m/>
      </sharedItems>
    </cacheField>
    <cacheField name="小类BSR" numFmtId="3">
      <sharedItems containsBlank="1" count="93">
        <s v="2_x000a_2_x000a_3"/>
        <s v="21_x000a_39_x000a_42"/>
        <s v="4_x000a_12"/>
        <s v="11"/>
        <s v="2"/>
        <s v="9"/>
        <s v="1_x000a_2"/>
        <s v="6"/>
        <s v="13_x000a_17"/>
        <s v="8_x000a_9_x000a_15"/>
        <s v="80"/>
        <s v="6_x000a_7"/>
        <s v="20"/>
        <s v="13_x000a_24"/>
        <s v="9_x000a_12"/>
        <s v="57_x000a_2997"/>
        <s v="4_x000a_5"/>
        <s v="26_x000a_46"/>
        <s v="10_x000a_14"/>
        <s v="11_x000a_17"/>
        <s v="8_x000a_10"/>
        <s v="14_x000a_21"/>
        <s v="7_x000a_8"/>
        <s v="49"/>
        <s v="109"/>
        <s v="10_x000a_11_x000a_19"/>
        <s v="21_x000a_32"/>
        <s v="15"/>
        <s v="11_x000a_12_x000a_21"/>
        <s v="26"/>
        <s v="13_x000a_15_x000a_28"/>
        <s v="29"/>
        <s v="15_x000a_23"/>
        <s v="3_x000a_5"/>
        <s v="40"/>
        <s v="38_x000a_63"/>
        <s v="14_x000a_22_x000a_31"/>
        <s v="30"/>
        <s v="29_x000a_49"/>
        <s v="20_x000a_34"/>
        <s v="16_x000a_18"/>
        <s v="107"/>
        <s v="44_x000a_50"/>
        <s v="25"/>
        <s v="30_x000a_46"/>
        <s v="33"/>
        <s v="13"/>
        <s v="36"/>
        <s v="22_x000a_38"/>
        <s v="39"/>
        <s v="35"/>
        <s v="17_x000a_32_x000a_44"/>
        <s v="19_x000a_27"/>
        <s v="55"/>
        <s v="23_x000a_41"/>
        <s v="30_x000a_53"/>
        <s v="37"/>
        <s v="105"/>
        <s v="47"/>
        <s v="36_x000a_64"/>
        <s v="73"/>
        <s v="65"/>
        <s v="42_x000a_72"/>
        <s v="51"/>
        <s v="74_x000a_131_x000a_1235"/>
        <s v="43"/>
        <s v="68_x000a_111"/>
        <s v="61"/>
        <s v="39_x000a_81_x000a_104"/>
        <s v="50_x000a_77"/>
        <s v="76_x000a_743"/>
        <s v="53_x000a_79"/>
        <s v="27_x000a_48"/>
        <s v="101"/>
        <s v="29_x000a_50"/>
        <s v="71"/>
        <s v="41_x000a_58"/>
        <s v="95"/>
        <s v="25_x000a_45_x000a_62"/>
        <s v="54_x000a_87"/>
        <s v="69_x000a_70"/>
        <s v="113"/>
        <s v="84"/>
        <s v="37_x000a_73_x000a_91"/>
        <s v="32_x000a_54"/>
        <s v="72"/>
        <s v="117_x000a_135"/>
        <s v="67_x000a_72"/>
        <s v="70_x000a_108"/>
        <s v="100"/>
        <s v="67_x000a_118"/>
        <s v="98"/>
        <m/>
      </sharedItems>
    </cacheField>
    <cacheField name="月销量" numFmtId="3">
      <sharedItems containsString="0" containsBlank="1" containsNumber="1" containsInteger="1" minValue="0" maxValue="27184" count="99">
        <n v="27184"/>
        <n v="26418"/>
        <n v="16289"/>
        <n v="15819"/>
        <n v="13791"/>
        <n v="10573"/>
        <n v="10076"/>
        <n v="9454"/>
        <n v="8526"/>
        <n v="8356"/>
        <n v="6918"/>
        <n v="6799"/>
        <n v="6577"/>
        <n v="6513"/>
        <n v="6200"/>
        <n v="6021"/>
        <n v="5546"/>
        <n v="5073"/>
        <n v="4602"/>
        <n v="4590"/>
        <n v="4519"/>
        <n v="4236"/>
        <n v="4035"/>
        <n v="3722"/>
        <n v="3655"/>
        <n v="3559"/>
        <n v="3327"/>
        <n v="2854"/>
        <n v="2794"/>
        <n v="2784"/>
        <n v="2568"/>
        <n v="2546"/>
        <n v="2481"/>
        <n v="2468"/>
        <n v="2311"/>
        <n v="2266"/>
        <n v="2033"/>
        <n v="2030"/>
        <n v="1890"/>
        <n v="1880"/>
        <n v="1847"/>
        <n v="1791"/>
        <n v="1756"/>
        <n v="1693"/>
        <n v="1609"/>
        <n v="1599"/>
        <n v="1577"/>
        <n v="1545"/>
        <n v="1400"/>
        <n v="1319"/>
        <n v="1261"/>
        <n v="1257"/>
        <n v="1166"/>
        <n v="1065"/>
        <n v="1061"/>
        <n v="1049"/>
        <n v="1033"/>
        <n v="970"/>
        <n v="944"/>
        <n v="938"/>
        <n v="898"/>
        <n v="876"/>
        <n v="850"/>
        <n v="849"/>
        <n v="842"/>
        <n v="837"/>
        <n v="830"/>
        <n v="820"/>
        <n v="808"/>
        <n v="807"/>
        <n v="773"/>
        <n v="743"/>
        <n v="670"/>
        <n v="646"/>
        <n v="631"/>
        <n v="615"/>
        <n v="614"/>
        <n v="602"/>
        <n v="599"/>
        <n v="588"/>
        <n v="581"/>
        <n v="552"/>
        <n v="548"/>
        <n v="498"/>
        <n v="492"/>
        <n v="480"/>
        <n v="474"/>
        <n v="458"/>
        <n v="445"/>
        <n v="440"/>
        <n v="439"/>
        <n v="408"/>
        <n v="382"/>
        <n v="375"/>
        <n v="352"/>
        <n v="338"/>
        <n v="328"/>
        <n v="262"/>
        <m/>
      </sharedItems>
    </cacheField>
    <cacheField name="月销量增长率" numFmtId="176">
      <sharedItems containsString="0" containsBlank="1" containsNumber="1" minValue="-0.7593" maxValue="90" count="101">
        <n v="-0.016"/>
        <n v="-0.0358"/>
        <n v="-0.2535"/>
        <n v="0.1645"/>
        <n v="0.3234"/>
        <n v="90"/>
        <n v="0.0909"/>
        <n v="-0.0635"/>
        <n v="0.154"/>
        <n v="-0.2805"/>
        <n v="-0.5097"/>
        <n v="-0.1017"/>
        <n v="0.2532"/>
        <n v="0.0103"/>
        <n v="0.1038"/>
        <n v="0.0339"/>
        <n v="-0.1966"/>
        <n v="-0.1363"/>
        <n v="-0.1292"/>
        <n v="0.06"/>
        <n v="-0.3351"/>
        <n v="-0.2433"/>
        <n v="-0.3374"/>
        <n v="0.7043"/>
        <n v="0.377"/>
        <n v="-0.3944"/>
        <n v="0.2015"/>
        <n v="-0.4992"/>
        <n v="0.3961"/>
        <n v="-0.2024"/>
        <n v="-0.5389"/>
        <n v="-0.4354"/>
        <n v="0.0216"/>
        <n v="0.1617"/>
        <n v="-0.0998"/>
        <n v="-0.4997"/>
        <n v="0.6567"/>
        <n v="-0.6435"/>
        <n v="-0.1386"/>
        <n v="-0.3776"/>
        <n v="0.2504"/>
        <n v="0.1477"/>
        <n v="0.0473"/>
        <n v="-0.0051"/>
        <n v="-0.5321"/>
        <n v="0.3672"/>
        <n v="0.0346"/>
        <n v="-0.3782"/>
        <n v="0.446"/>
        <n v="-0.1612"/>
        <n v="0.0684"/>
        <n v="-0.4808"/>
        <n v="0.0059"/>
        <n v="0.5574"/>
        <n v="1.7754"/>
        <n v="-0.2193"/>
        <n v="-0.6494"/>
        <n v="-0.0855"/>
        <n v="-0.3045"/>
        <n v="-0.2292"/>
        <n v="-0.2628"/>
        <n v="-0.2474"/>
        <n v="-0.3621"/>
        <n v="-0.0116"/>
        <n v="-0.1503"/>
        <n v="-0.4462"/>
        <n v="0.2311"/>
        <n v="0.0518"/>
        <n v="1.5429"/>
        <n v="2.0758"/>
        <n v="-0.0791"/>
        <n v="-0.2816"/>
        <n v="-0.2085"/>
        <n v="-0.3269"/>
        <n v="0.018"/>
        <n v="-0.1818"/>
        <n v="-0.1871"/>
        <n v="0.1212"/>
        <n v="-0.1591"/>
        <n v="-0.3295"/>
        <n v="-0.7593"/>
        <n v="0.1385"/>
        <n v="-0.1968"/>
        <n v="-0.4659"/>
        <n v="0.0073"/>
        <n v="-0.2046"/>
        <n v="-0.3027"/>
        <n v="-0.2018"/>
        <n v="-0.0659"/>
        <n v="-0.2482"/>
        <n v="-0.2937"/>
        <n v="2.76"/>
        <n v="-0.3394"/>
        <n v="-0.5056"/>
        <n v="-0.2955"/>
        <n v="0.1285"/>
        <n v="0.7451"/>
        <n v="4.9091"/>
        <n v="-0.6"/>
        <n v="-0.3468"/>
        <m/>
      </sharedItems>
    </cacheField>
    <cacheField name="月销售额($)" numFmtId="3">
      <sharedItems containsString="0" containsBlank="1" containsNumber="1" minValue="0" maxValue="660185.8" count="101">
        <n v="543408.1"/>
        <n v="660185.8"/>
        <n v="439640.1"/>
        <n v="395158.62"/>
        <n v="344637.1"/>
        <n v="264113.53"/>
        <n v="230740.39"/>
        <n v="283525.47"/>
        <n v="144856.73"/>
        <n v="167036.44"/>
        <n v="119819.76"/>
        <n v="135912.02"/>
        <n v="130750.76"/>
        <n v="175785.88"/>
        <n v="123938"/>
        <n v="143841.69"/>
        <n v="149686.53"/>
        <n v="126774.266"/>
        <n v="87391.98"/>
        <n v="156014.11"/>
        <n v="67739.81"/>
        <n v="93107.28"/>
        <n v="80659.65"/>
        <n v="94873.78"/>
        <n v="105958.445"/>
        <n v="106734.41"/>
        <n v="49871.73"/>
        <n v="85591.46"/>
        <n v="83792.06"/>
        <n v="63976.32"/>
        <n v="51334.32"/>
        <n v="71262.54"/>
        <n v="69443.19"/>
        <n v="44399.32"/>
        <n v="43654.79"/>
        <n v="72512"/>
        <n v="40578.68"/>
        <n v="36519.7"/>
        <n v="34001.098"/>
        <n v="31490"/>
        <n v="64645"/>
        <n v="46548.09"/>
        <n v="26322.44"/>
        <n v="42308.07"/>
        <n v="24118.91"/>
        <n v="59115.03"/>
        <n v="18908.23"/>
        <n v="18524.549"/>
        <n v="52483.652"/>
        <n v="39130"/>
        <n v="23728.81"/>
        <n v="27729.39"/>
        <n v="35183.43"/>
        <n v="19810.34"/>
        <n v="19116.75"/>
        <n v="21198.78"/>
        <n v="34606.51"/>
        <n v="15443.35"/>
        <n v="36850.3"/>
        <n v="34899.68"/>
        <n v="20617.24"/>
        <n v="10677.221"/>
        <n v="25395.24"/>
        <n v="12741.5"/>
        <n v="16971.51"/>
        <n v="22725.58"/>
        <n v="30952.26"/>
        <n v="19911.7"/>
        <n v="28691.8"/>
        <n v="24231.92"/>
        <n v="18698.19"/>
        <n v="10814.27"/>
        <n v="20053.57"/>
        <n v="20093.3"/>
        <n v="16789.54"/>
        <n v="18923.69"/>
        <n v="14753.85"/>
        <n v="12273.859"/>
        <n v="16825.9"/>
        <n v="17964.01"/>
        <n v="8814.12"/>
        <n v="20910.191"/>
        <n v="14346.4795"/>
        <n v="10905.2"/>
        <n v="8959.02"/>
        <n v="9955.02"/>
        <n v="17220"/>
        <n v="14395.2"/>
        <n v="12319.26"/>
        <n v="13735.42"/>
        <n v="8895.55"/>
        <n v="16715.602"/>
        <n v="15365"/>
        <n v="10587.601"/>
        <n v="11456.18"/>
        <n v="12371.251"/>
        <n v="7036.48"/>
        <n v="12840.62"/>
        <n v="9836.72"/>
        <n v="9170"/>
        <m/>
      </sharedItems>
    </cacheField>
    <cacheField name="子体销量" numFmtId="0">
      <sharedItems containsBlank="1" count="11">
        <s v="1,000"/>
        <s v="100"/>
        <s v="600"/>
        <s v="200"/>
        <s v="2,000"/>
        <s v="300"/>
        <s v="400"/>
        <s v="50"/>
        <s v="500"/>
        <s v=""/>
        <m/>
      </sharedItems>
    </cacheField>
    <cacheField name="子体销售额($)" numFmtId="3">
      <sharedItems containsBlank="1" containsNumber="1" containsMixedTypes="1" count="63">
        <n v="19990"/>
        <n v="2499"/>
        <n v="16194"/>
        <n v="4996"/>
        <n v="49980"/>
        <n v="2498"/>
        <n v="6870"/>
        <n v="5998"/>
        <n v="16990"/>
        <n v="3998"/>
        <n v="6928"/>
        <n v="5997"/>
        <n v="1988"/>
        <n v="2699"/>
        <n v="11994"/>
        <n v="1194.5"/>
        <n v="5398"/>
        <n v="3798"/>
        <n v="16995"/>
        <n v="5996"/>
        <n v="10990"/>
        <n v="9995"/>
        <n v="1274.5"/>
        <n v="2899"/>
        <n v="2999"/>
        <n v="2998"/>
        <n v="1499.5"/>
        <n v="1149"/>
        <n v="1399.5"/>
        <n v="11196"/>
        <n v="1799"/>
        <s v=""/>
        <n v="1600"/>
        <n v="7984"/>
        <n v="3598"/>
        <n v="899.5"/>
        <n v="837.5"/>
        <n v="1750"/>
        <n v="2599"/>
        <n v="749.5"/>
        <n v="3697"/>
        <n v="3597"/>
        <n v="3397"/>
        <n v="5590"/>
        <n v="2199"/>
        <n v="849.5"/>
        <n v="999"/>
        <n v="1649.5"/>
        <n v="747.5"/>
        <n v="2198"/>
        <n v="1499"/>
        <n v="999.5"/>
        <n v="3499"/>
        <n v="1158.5"/>
        <n v="1399"/>
        <n v="1349.5"/>
        <n v="1199.5"/>
        <n v="2795"/>
        <n v="1799.5"/>
        <n v="995"/>
        <n v="1899.5"/>
        <n v="1297.5"/>
        <m/>
      </sharedItems>
    </cacheField>
    <cacheField name="变体数" numFmtId="3">
      <sharedItems containsString="0" containsBlank="1" containsNumber="1" containsInteger="1" minValue="0" maxValue="411" count="71">
        <n v="104"/>
        <n v="99"/>
        <n v="260"/>
        <n v="196"/>
        <n v="59"/>
        <n v="400"/>
        <n v="189"/>
        <n v="84"/>
        <n v="65"/>
        <n v="142"/>
        <n v="140"/>
        <n v="54"/>
        <n v="269"/>
        <n v="81"/>
        <n v="64"/>
        <n v="94"/>
        <n v="113"/>
        <n v="103"/>
        <n v="49"/>
        <n v="92"/>
        <n v="86"/>
        <n v="42"/>
        <n v="70"/>
        <n v="53"/>
        <n v="56"/>
        <n v="38"/>
        <n v="112"/>
        <n v="60"/>
        <n v="57"/>
        <n v="164"/>
        <n v="55"/>
        <n v="74"/>
        <n v="47"/>
        <n v="16"/>
        <n v="40"/>
        <n v="188"/>
        <n v="111"/>
        <n v="73"/>
        <n v="90"/>
        <n v="32"/>
        <n v="135"/>
        <n v="6"/>
        <n v="23"/>
        <n v="52"/>
        <n v="89"/>
        <n v="48"/>
        <n v="150"/>
        <n v="58"/>
        <n v="62"/>
        <n v="242"/>
        <n v="51"/>
        <n v="411"/>
        <n v="27"/>
        <n v="34"/>
        <n v="116"/>
        <n v="50"/>
        <n v="24"/>
        <n v="33"/>
        <n v="18"/>
        <n v="88"/>
        <n v="182"/>
        <n v="11"/>
        <n v="87"/>
        <n v="31"/>
        <n v="30"/>
        <n v="22"/>
        <n v="21"/>
        <n v="26"/>
        <n v="66"/>
        <n v="61"/>
        <m/>
      </sharedItems>
    </cacheField>
    <cacheField name="价格($)" numFmtId="4">
      <sharedItems containsString="0" containsBlank="1" containsNumber="1" minValue="0" maxValue="37.99" count="44">
        <n v="19.99"/>
        <n v="24.99"/>
        <n v="26.99"/>
        <n v="24.98"/>
        <n v="22.9"/>
        <n v="29.99"/>
        <n v="16.99"/>
        <n v="19.88"/>
        <n v="23.89"/>
        <n v="18.99"/>
        <n v="33.99"/>
        <n v="14.99"/>
        <n v="21.98"/>
        <n v="25.49"/>
        <n v="28.99"/>
        <n v="22.98"/>
        <n v="27.99"/>
        <n v="17.99"/>
        <n v="18.89"/>
        <n v="32"/>
        <n v="19.96"/>
        <n v="16.75"/>
        <n v="35"/>
        <n v="25.99"/>
        <n v="36.97"/>
        <n v="11.99"/>
        <n v="33.97"/>
        <n v="27.95"/>
        <n v="17.95"/>
        <n v="19.98"/>
        <n v="32.99"/>
        <n v="14.95"/>
        <n v="11.89"/>
        <n v="36.98"/>
        <n v="23.99"/>
        <n v="34.99"/>
        <n v="23.01"/>
        <n v="13.99"/>
        <n v="35.99"/>
        <n v="19.9"/>
        <n v="22.99"/>
        <n v="37.99"/>
        <n v="25.95"/>
        <m/>
      </sharedItems>
    </cacheField>
    <cacheField name="Prime价格($)" numFmtId="4">
      <sharedItems containsString="0" containsBlank="1" containsNumber="1" minValue="0" maxValue="33.27" count="6">
        <m/>
        <n v="19.78"/>
        <n v="14.99"/>
        <n v="19.59"/>
        <n v="13.99"/>
        <n v="33.27"/>
      </sharedItems>
    </cacheField>
    <cacheField name="Coupon" numFmtId="0">
      <sharedItems containsBlank="1" count="6">
        <m/>
        <s v="26%"/>
        <s v="5%"/>
        <s v="10%"/>
        <s v="6%"/>
        <s v="12%"/>
      </sharedItems>
    </cacheField>
    <cacheField name="Q&amp;A数" numFmtId="3">
      <sharedItems containsString="0" containsBlank="1" containsNumber="1" containsInteger="1" minValue="0" maxValue="246" count="31">
        <m/>
        <n v="4"/>
        <n v="83"/>
        <n v="39"/>
        <n v="30"/>
        <n v="9"/>
        <n v="10"/>
        <n v="12"/>
        <n v="17"/>
        <n v="246"/>
        <n v="14"/>
        <n v="7"/>
        <n v="28"/>
        <n v="3"/>
        <n v="15"/>
        <n v="5"/>
        <n v="50"/>
        <n v="1"/>
        <n v="6"/>
        <n v="13"/>
        <n v="66"/>
        <n v="23"/>
        <n v="44"/>
        <n v="24"/>
        <n v="26"/>
        <n v="119"/>
        <n v="16"/>
        <n v="11"/>
        <n v="8"/>
        <n v="19"/>
        <n v="36"/>
      </sharedItems>
    </cacheField>
    <cacheField name="评分数" numFmtId="3">
      <sharedItems containsString="0" containsBlank="1" containsNumber="1" containsInteger="1" minValue="0" maxValue="32906" count="98">
        <n v="984"/>
        <n v="1737"/>
        <n v="18774"/>
        <n v="1404"/>
        <n v="7672"/>
        <n v="2326"/>
        <n v="2240"/>
        <n v="502"/>
        <n v="4651"/>
        <n v="628"/>
        <n v="6675"/>
        <n v="462"/>
        <n v="32906"/>
        <n v="151"/>
        <n v="989"/>
        <n v="1088"/>
        <n v="364"/>
        <n v="690"/>
        <n v="3135"/>
        <n v="1790"/>
        <n v="257"/>
        <n v="707"/>
        <n v="396"/>
        <n v="511"/>
        <n v="159"/>
        <n v="1858"/>
        <n v="140"/>
        <n v="508"/>
        <n v="58"/>
        <n v="497"/>
        <n v="10686"/>
        <n v="265"/>
        <n v="503"/>
        <n v="2560"/>
        <n v="213"/>
        <n v="17"/>
        <n v="300"/>
        <n v="225"/>
        <n v="1212"/>
        <n v="347"/>
        <n v="33"/>
        <n v="47"/>
        <n v="353"/>
        <n v="3955"/>
        <n v="3386"/>
        <n v="308"/>
        <n v="1622"/>
        <n v="93"/>
        <n v="256"/>
        <n v="1279"/>
        <n v="80"/>
        <n v="418"/>
        <n v="21"/>
        <n v="207"/>
        <n v="359"/>
        <n v="332"/>
        <n v="1563"/>
        <n v="1289"/>
        <n v="197"/>
        <n v="297"/>
        <n v="173"/>
        <n v="37"/>
        <n v="204"/>
        <n v="355"/>
        <n v="802"/>
        <n v="157"/>
        <n v="291"/>
        <n v="31"/>
        <n v="372"/>
        <n v="69"/>
        <n v="2184"/>
        <n v="500"/>
        <n v="67"/>
        <n v="89"/>
        <n v="1864"/>
        <n v="53"/>
        <n v="184"/>
        <n v="105"/>
        <n v="221"/>
        <n v="1732"/>
        <n v="3102"/>
        <n v="76"/>
        <n v="73"/>
        <n v="180"/>
        <n v="592"/>
        <n v="1738"/>
        <n v="74"/>
        <n v="41"/>
        <n v="118"/>
        <n v="1748"/>
        <n v="77"/>
        <n v="435"/>
        <n v="593"/>
        <n v="38"/>
        <n v="210"/>
        <n v="170"/>
        <n v="16"/>
        <m/>
      </sharedItems>
    </cacheField>
    <cacheField name="月新增_x000a_评分数" numFmtId="3">
      <sharedItems containsString="0" containsBlank="1" containsNumber="1" containsInteger="1" minValue="0" maxValue="676" count="54">
        <n v="215"/>
        <n v="153"/>
        <n v="280"/>
        <n v="0"/>
        <n v="60"/>
        <n v="64"/>
        <n v="37"/>
        <n v="84"/>
        <n v="44"/>
        <n v="97"/>
        <n v="54"/>
        <n v="73"/>
        <n v="24"/>
        <n v="82"/>
        <n v="51"/>
        <n v="61"/>
        <n v="23"/>
        <n v="50"/>
        <n v="22"/>
        <n v="35"/>
        <n v="115"/>
        <n v="58"/>
        <n v="10"/>
        <n v="18"/>
        <n v="27"/>
        <n v="62"/>
        <n v="11"/>
        <n v="19"/>
        <n v="39"/>
        <n v="7"/>
        <n v="72"/>
        <n v="32"/>
        <n v="5"/>
        <n v="4"/>
        <n v="31"/>
        <n v="20"/>
        <n v="6"/>
        <n v="16"/>
        <n v="25"/>
        <n v="29"/>
        <n v="3"/>
        <n v="8"/>
        <n v="14"/>
        <n v="48"/>
        <n v="17"/>
        <n v="9"/>
        <n v="33"/>
        <n v="676"/>
        <n v="1"/>
        <n v="13"/>
        <n v="12"/>
        <n v="15"/>
        <n v="2"/>
        <m/>
      </sharedItems>
    </cacheField>
    <cacheField name="评分" numFmtId="177">
      <sharedItems containsString="0" containsBlank="1" containsNumber="1" minValue="0" maxValue="4.7" count="10">
        <n v="4.5"/>
        <n v="4.6"/>
        <n v="4.4"/>
        <n v="4.1"/>
        <n v="4"/>
        <n v="4.2"/>
        <n v="4.3"/>
        <n v="3.8"/>
        <n v="4.7"/>
        <m/>
      </sharedItems>
    </cacheField>
    <cacheField name="留评率" numFmtId="178">
      <sharedItems containsString="0" containsBlank="1" containsNumber="1" minValue="0" maxValue="0.8076" count="86">
        <n v="0.0079"/>
        <n v="0.0058"/>
        <n v="0.0172"/>
        <n v="0"/>
        <n v="0.0044"/>
        <n v="0.0061"/>
        <n v="0.0037"/>
        <n v="0.0089"/>
        <n v="0.0052"/>
        <n v="0.0116"/>
        <n v="0.0111"/>
        <n v="0.0132"/>
        <n v="0.0085"/>
        <n v="0.011"/>
        <n v="0.0045"/>
        <n v="0.0109"/>
        <n v="0.0048"/>
        <n v="0.0077"/>
        <n v="0.0271"/>
        <n v="0.0144"/>
        <n v="0.0027"/>
        <n v="0.0049"/>
        <n v="0.0076"/>
        <n v="0.0054"/>
        <n v="0.0217"/>
        <n v="0.0039"/>
        <n v="0.0068"/>
        <n v="0.0287"/>
        <n v="0.0157"/>
        <n v="0.0028"/>
        <n v="0.0312"/>
        <n v="0.0141"/>
        <n v="0.0025"/>
        <n v="0.0246"/>
        <n v="0.0095"/>
        <n v="0.0097"/>
        <n v="0.0057"/>
        <n v="0.0024"/>
        <n v="0.0193"/>
        <n v="0.0125"/>
        <n v="0.0038"/>
        <n v="0.0104"/>
        <n v="0.0162"/>
        <n v="0.0207"/>
        <n v="0.0023"/>
        <n v="0.0056"/>
        <n v="0.0075"/>
        <n v="0.0254"/>
        <n v="0.0133"/>
        <n v="0.0495"/>
        <n v="0.018"/>
        <n v="0.0171"/>
        <n v="0.01"/>
        <n v="0.0091"/>
        <n v="0.0071"/>
        <n v="0.0035"/>
        <n v="0.0392"/>
        <n v="0.8076"/>
        <n v="0.0012"/>
        <n v="0.0122"/>
        <n v="0.0198"/>
        <n v="0.0099"/>
        <n v="0.0175"/>
        <n v="0.0186"/>
        <n v="0.0206"/>
        <n v="0.0179"/>
        <n v="0.0293"/>
        <n v="0.0166"/>
        <n v="0.0384"/>
        <n v="0.0051"/>
        <n v="0.012"/>
        <n v="0.0326"/>
        <n v="0.0456"/>
        <n v="0.0301"/>
        <n v="0.0163"/>
        <n v="0.0083"/>
        <n v="0.0274"/>
        <n v="0.0131"/>
        <n v="0.0315"/>
        <n v="0.0228"/>
        <n v="0.0074"/>
        <n v="0.0236"/>
        <n v="0.0118"/>
        <n v="0.003"/>
        <n v="0.0153"/>
        <m/>
      </sharedItems>
    </cacheField>
    <cacheField name="FBA($)" numFmtId="4">
      <sharedItems containsString="0" containsBlank="1" containsNumber="1" minValue="0" maxValue="7.04" count="26">
        <n v="5.39"/>
        <n v="4.94"/>
        <n v="5"/>
        <n v="4.62"/>
        <n v="7.04"/>
        <n v="3.81"/>
        <n v="5.46"/>
        <n v="3.5"/>
        <n v="3.35"/>
        <n v="3.92"/>
        <n v="4.71"/>
        <n v="4.61"/>
        <n v="5.05"/>
        <n v="4.77"/>
        <n v="5.2"/>
        <n v="6.53"/>
        <n v="6.19"/>
        <m/>
        <n v="6.27"/>
        <n v="6.44"/>
        <n v="3.6"/>
        <n v="6.1"/>
        <n v="4.17"/>
        <n v="5.82"/>
        <n v="4.2"/>
        <n v="3.67"/>
      </sharedItems>
    </cacheField>
    <cacheField name="毛利率" numFmtId="176">
      <sharedItems containsString="0" containsBlank="1" containsNumber="1" minValue="0" maxValue="0.6909" count="81">
        <n v="0.4404"/>
        <n v="0.6023"/>
        <n v="0.6148"/>
        <n v="0.5688"/>
        <n v="0.5183"/>
        <n v="0.6534"/>
        <n v="0.5636"/>
        <n v="0.6179"/>
        <n v="0.594"/>
        <n v="0.6324"/>
        <n v="0.5113"/>
        <n v="0.5304"/>
        <n v="0.5529"/>
        <n v="0.6548"/>
        <n v="0.5644"/>
        <n v="0.5744"/>
        <n v="0.6292"/>
        <n v="0.5895"/>
        <n v="0.5162"/>
        <n v="0.6414"/>
        <n v="0.4358"/>
        <n v="0.5753"/>
        <n v="0.5614"/>
        <n v="0.6062"/>
        <n v="0.6206"/>
        <n v="0.6203"/>
        <n v="0.4704"/>
        <n v="0.6463"/>
        <n v="0.5823"/>
        <n v="0.5306"/>
        <n v="0.6235"/>
        <n v="0.5254"/>
        <n v="0.5385"/>
        <n v="0.6294"/>
        <n v="0.5495"/>
        <n v="0.5004"/>
        <n v="0"/>
        <n v="0.4803"/>
        <n v="0.6209"/>
        <n v="0.5899"/>
        <n v="0.3871"/>
        <n v="0.5523"/>
        <n v="0.4664"/>
        <n v="0.6615"/>
        <n v="0.2837"/>
        <n v="0.383"/>
        <n v="0.6596"/>
        <n v="0.5696"/>
        <n v="0.5831"/>
        <n v="0.5789"/>
        <n v="0.4828"/>
        <n v="0.5643"/>
        <n v="0.6909"/>
        <n v="0.4407"/>
        <n v="0.6435"/>
        <n v="0.6326"/>
        <n v="0.4493"/>
        <n v="0.6666"/>
        <n v="0.6426"/>
        <n v="0.6541"/>
        <n v="0.646"/>
        <n v="0.641"/>
        <n v="0.6187"/>
        <n v="0.4426"/>
        <n v="0.5677"/>
        <n v="0.5936"/>
        <n v="0.5926"/>
        <n v="0.6353"/>
        <n v="0.5785"/>
        <n v="0.628"/>
        <n v="0.6099"/>
        <n v="0.4764"/>
        <n v="0.4965"/>
        <n v="0.5269"/>
        <n v="0.6371"/>
        <n v="0.5615"/>
        <n v="0.6366"/>
        <n v="0.6164"/>
        <n v="0.6305"/>
        <n v="0.5853"/>
        <m/>
      </sharedItems>
    </cacheField>
    <cacheField name="评级" numFmtId="176">
      <sharedItems containsString="0" containsBlank="1" containsNonDate="0" count="1">
        <m/>
      </sharedItems>
    </cacheField>
    <cacheField name="上架时间" numFmtId="0">
      <sharedItems containsBlank="1" count="92">
        <s v="2024-04-29"/>
        <s v="2023-02-21"/>
        <s v="2018-06-28"/>
        <s v="2020-07-16"/>
        <s v="2020-09-25"/>
        <s v="2024-09-18"/>
        <s v="2020-06-07"/>
        <s v="2023-05-03"/>
        <s v="2018-05-09"/>
        <s v="2022-05-04"/>
        <s v="2024-01-04"/>
        <s v="2017-06-20"/>
        <s v="2023-07-11"/>
        <s v="2021-07-26"/>
        <s v="2023-12-07"/>
        <s v="2021-12-30"/>
        <s v="2018-03-27"/>
        <s v="2021-06-30"/>
        <s v="2024-01-19"/>
        <s v="2024-06-02"/>
        <s v="2024-03-14"/>
        <s v="2021-09-21"/>
        <s v="2023-06-26"/>
        <s v="2022-06-14"/>
        <s v="2024-01-21"/>
        <s v="2024-04-06"/>
        <s v="2022-04-21"/>
        <s v="2024-03-07"/>
        <s v="2020-08-03"/>
        <s v="2023-12-12"/>
        <s v="2023-04-10"/>
        <s v="2024-06-05"/>
        <s v="2024-02-24"/>
        <s v="2024-06-21"/>
        <s v="2024-03-30"/>
        <s v="2024-08-21"/>
        <s v="2020-11-12"/>
        <s v="2022-10-20"/>
        <s v="2024-05-14"/>
        <s v="2024-02-02"/>
        <s v="2018-12-14"/>
        <s v="2023-05-19"/>
        <s v="2019-11-24"/>
        <s v="2016-04-26"/>
        <s v="2023-06-15"/>
        <s v="2021-01-14"/>
        <s v="2022-05-26"/>
        <s v="2020-07-26"/>
        <s v="2024-01-01"/>
        <s v="2021-07-11"/>
        <s v="2024-06-30"/>
        <s v="2024-01-15"/>
        <s v="2023-11-12"/>
        <s v="2022-01-10"/>
        <s v="2022-08-20"/>
        <s v="2021-07-14"/>
        <s v="2024-05-28"/>
        <s v="2024-07-10"/>
        <s v="2022-07-06"/>
        <s v="2024-07-02"/>
        <s v="2022-10-05"/>
        <s v="2023-02-14"/>
        <s v="2024-09-26"/>
        <s v="2022-01-20"/>
        <s v="2021-10-14"/>
        <s v="2024-05-23"/>
        <s v="2022-06-21"/>
        <s v="2023-05-08"/>
        <s v="2019-07-09"/>
        <s v="2022-03-24"/>
        <s v="2019-06-17"/>
        <s v="2023-06-28"/>
        <s v="2024-01-24"/>
        <s v="2023-11-22"/>
        <s v="2023-12-24"/>
        <s v="2022-10-17"/>
        <s v="2021-04-30"/>
        <s v="2017-02-22"/>
        <s v="2024-04-09"/>
        <s v="2022-05-28"/>
        <s v="2021-09-08"/>
        <s v="2024-07-19"/>
        <s v="2023-08-17"/>
        <s v="2023-01-08"/>
        <s v="2024-02-16"/>
        <s v="2023-02-20"/>
        <s v="2022-08-01"/>
        <s v="2024-01-16"/>
        <s v="2022-09-08"/>
        <s v="2023-10-12"/>
        <s v="2024-06-15"/>
        <m/>
      </sharedItems>
    </cacheField>
    <cacheField name="上架天数" numFmtId="3">
      <sharedItems containsString="0" containsBlank="1" containsNumber="1" containsInteger="1" minValue="0" maxValue="3110" count="92">
        <n v="185"/>
        <n v="618"/>
        <n v="2317"/>
        <n v="1568"/>
        <n v="1497"/>
        <n v="43"/>
        <n v="1607"/>
        <n v="547"/>
        <n v="2367"/>
        <n v="911"/>
        <n v="301"/>
        <n v="2690"/>
        <n v="478"/>
        <n v="1193"/>
        <n v="329"/>
        <n v="1036"/>
        <n v="2410"/>
        <n v="1219"/>
        <n v="286"/>
        <n v="151"/>
        <n v="231"/>
        <n v="1136"/>
        <n v="493"/>
        <n v="870"/>
        <n v="284"/>
        <n v="208"/>
        <n v="924"/>
        <n v="238"/>
        <n v="1550"/>
        <n v="324"/>
        <n v="570"/>
        <n v="148"/>
        <n v="250"/>
        <n v="132"/>
        <n v="215"/>
        <n v="71"/>
        <n v="1449"/>
        <n v="742"/>
        <n v="170"/>
        <n v="272"/>
        <n v="2148"/>
        <n v="531"/>
        <n v="1803"/>
        <n v="3110"/>
        <n v="504"/>
        <n v="1386"/>
        <n v="889"/>
        <n v="1558"/>
        <n v="304"/>
        <n v="1208"/>
        <n v="123"/>
        <n v="290"/>
        <n v="354"/>
        <n v="1025"/>
        <n v="803"/>
        <n v="1205"/>
        <n v="156"/>
        <n v="113"/>
        <n v="848"/>
        <n v="121"/>
        <n v="757"/>
        <n v="625"/>
        <n v="35"/>
        <n v="1015"/>
        <n v="1113"/>
        <n v="161"/>
        <n v="863"/>
        <n v="542"/>
        <n v="1941"/>
        <n v="952"/>
        <n v="1963"/>
        <n v="491"/>
        <n v="281"/>
        <n v="344"/>
        <n v="312"/>
        <n v="745"/>
        <n v="1280"/>
        <n v="2808"/>
        <n v="205"/>
        <n v="887"/>
        <n v="1149"/>
        <n v="104"/>
        <n v="441"/>
        <n v="662"/>
        <n v="258"/>
        <n v="619"/>
        <n v="822"/>
        <n v="289"/>
        <n v="784"/>
        <n v="385"/>
        <n v="138"/>
        <m/>
      </sharedItems>
    </cacheField>
    <cacheField name="配送方式" numFmtId="0">
      <sharedItems containsBlank="1" count="2">
        <s v="FBA"/>
        <m/>
      </sharedItems>
    </cacheField>
    <cacheField name="LQS" numFmtId="3">
      <sharedItems containsString="0" containsBlank="1" containsNumber="1" minValue="0" maxValue="10" count="20">
        <n v="10"/>
        <n v="9"/>
        <n v="9.9"/>
        <n v="9.4"/>
        <n v="9.6"/>
        <n v="9.5"/>
        <n v="8.7"/>
        <n v="8.8"/>
        <n v="9.8"/>
        <n v="9.2"/>
        <n v="9.3"/>
        <n v="7.7"/>
        <n v="7.5"/>
        <n v="8.9"/>
        <n v="9.7"/>
        <n v="8.4"/>
        <n v="7.8"/>
        <n v="8"/>
        <n v="7.2"/>
        <m/>
      </sharedItems>
    </cacheField>
    <cacheField name="卖家数" numFmtId="3">
      <sharedItems containsString="0" containsBlank="1" containsNumber="1" containsInteger="1" minValue="0" maxValue="2" count="3">
        <n v="1"/>
        <n v="2"/>
        <m/>
      </sharedItems>
    </cacheField>
    <cacheField name="Buybox卖家" numFmtId="0">
      <sharedItems containsBlank="1" count="70">
        <s v="PINSPARK"/>
        <s v="Stelle Athletica"/>
        <s v="Ekouaer loungewear"/>
        <s v="Qingcheng Store"/>
        <s v="SCKTOO DIRECT"/>
        <s v="Shop for Good Company"/>
        <s v="TONCHENGSD LTD"/>
        <s v="JoyGirl"/>
        <s v="Blaosn"/>
        <s v="Hiwzffy"/>
        <s v="HOEREV®"/>
        <s v="PinhuiHome"/>
        <s v="Avidlove"/>
        <s v="Santiny"/>
        <s v="Buasuces"/>
        <s v="Navneet US"/>
        <s v="BYWLKJLAOSHI"/>
        <s v="CHRLEISURE"/>
        <s v="ODODOS"/>
        <s v="Feimai"/>
        <s v="Vigorics Fashion"/>
        <s v="iuga"/>
        <s v="G-GRADUAL"/>
        <s v="AFIBI"/>
        <s v="Automet-US"/>
        <s v="Oyamiki"/>
        <s v="LXNMGO"/>
        <s v="Passionate Adventure(American Trends Sole Agency)"/>
        <s v="CRZ YOGA"/>
        <s v="Ozicerd"/>
        <s v="FireSwan-US"/>
        <s v="Tivifox"/>
        <s v="MADE BY JOHNNY"/>
        <s v="dressever"/>
        <s v="topdress"/>
        <s v="Yollmart"/>
        <s v="Ewedoos"/>
        <s v="Anivivo"/>
        <s v="amayar"/>
        <s v="Rbenxia"/>
        <s v="Century Star US"/>
        <s v="qiaoruo"/>
        <s v="ANRABESS"/>
        <s v="CZRLHYT Store"/>
        <s v="Yewsea"/>
        <s v="taoxi-store"/>
        <s v="Xioker"/>
        <s v="Azue"/>
        <s v="US Enjoy Fashion Store"/>
        <s v="Cresay"/>
        <s v="Aurgelmir"/>
        <s v="TTCM"/>
        <s v="Ibeauti"/>
        <s v="Ganado"/>
        <s v="Heathyoga"/>
        <s v="Amazing2You"/>
        <s v="joyingtwo"/>
        <s v="Viodia"/>
        <s v="NORMOV"/>
        <s v="HOKOYI"/>
        <s v="Betaven"/>
        <s v="RBX"/>
        <s v="EARKOHAI"/>
        <s v="Lady Outlet Store"/>
        <s v="Jack Smith Fashion"/>
        <s v="DERCA"/>
        <s v="Roslom"/>
        <s v="MIER SPORT"/>
        <s v="Baleaf Sports"/>
        <m/>
      </sharedItems>
    </cacheField>
    <cacheField name="BuyBox类型" numFmtId="0">
      <sharedItems containsBlank="1" count="2">
        <s v="FBA"/>
        <m/>
      </sharedItems>
    </cacheField>
    <cacheField name="卖家所属地" numFmtId="0">
      <sharedItems containsBlank="1" count="4">
        <s v="CN"/>
        <s v="US"/>
        <s v="CN(HK)"/>
        <m/>
      </sharedItems>
    </cacheField>
    <cacheField name="卖家信息" numFmtId="0">
      <sharedItems containsBlank="1" count="70">
        <s v="公司名称：dongguanshiqiufengshangmaoyouxiangongsi_x000a_办公地址：_x000a_蚬涌苏屋路三街1号105室_x000a_东莞市_x000a_万江街道_x000a_广东省_x000a_523000_x000a_CN_x000a_"/>
        <s v="公司名称：CA_x000a_电话号码：510-397-1725_x000a_办公地址：_x000a_21068 Cabot Blvd_x000a_HAYWARD_x000a_CA_x000a_94545_x000a_US_x000a_"/>
        <s v="公司名称：shenzhenshi fuyuchuangyue maoyi youxiangongsi_x000a_办公地址：_x000a_金湖社区翠荫路488号_x000a_"/>
        <s v="公司名称：Anhui Qingcheng Trading Co., Ltd._x000a_办公地址：_x000a_223-224, Commercial KK Building, District I, Jingshang Trade_x000a_Hefei City_x000a_Xinzhan District_x000a_Anhui Province_x000a_230000_x000a_CN_x000a_"/>
        <s v="公司名称：shenzhenshimeitemengkejiyouxiangongsi_x000a_办公地址：_x000a_坂田街道马安堂社区中兴路10号顺兴工业区D栋厂房505_x000a_深圳市_x000a_龙岗区_x000a_广东省_x000a_518100_x000a_CN_x000a_"/>
        <s v="公司名称：Zhengqiang Zhao_x000a_办公地址：_x000a_公园东南小汪楼13#-5-301_x000a_信都区_x000a_邢台市_x000a_河北_x000a_054000_x000a_CN_x000a_"/>
        <s v="公司名称：Sportdo_x000a_办公地址：_x000a_淮海大道1188号京商商贸城G区GH栋401室_x000a_合肥_x000a_新站区_x000a_安徽_x000a_230000_x000a_CN_x000a_"/>
        <s v="公司名称：guangzhouyingfeifuzhuangyouxiangongsi_x000a_办公地址：_x000a_大龙街长沙路6号202_x000a_广州市_x000a_番禺区_x000a_广东省_x000a_510000_x000a_CN_x000a_"/>
        <s v="公司名称：Longyan Xinluo Wenlian e-commerce Co., Ltd_x000a_办公地址：_x000a_北城北星工业西路115号816室_x000a_龙岩市_x000a_新罗区_x000a_福建_x000a_364030_x000a_CN_x000a_"/>
        <s v="公司名称：xiamenlemengdigongyinglianyouxiangongsi_x000a_办公地址：_x000a_集美区_x000a_滨水中二里20号2604室_x000a_厦门市_x000a_福建_x000a_361000_x000a_CN_x000a_"/>
        <s v="公司名称：tian shi li feng shi ye shenzhen you xian gong si_x000a_办公地址：_x000a_39-49 COMMERCIAL ROAD_x000a_FIRST FLOOR, OCEANA HOUSE_x000a_SOUTHAMPTON_x000a_ENGLAND_x000a_SO15 1GA_x000a_GB_x000a_"/>
        <s v="公司名称：huzhoushipinhuifangzhipinyouxiangongsi_x000a_办公地址：_x000a_振兴路66号202室_x000a_湖州市_x000a_德清县雷甸镇_x000a_浙江省_x000a_313219_x000a_CN_x000a_"/>
        <s v="公司名称：shenzhenshi yadilafu youxiangongsi_x000a_办公地址：_x000a_马五路1号2号653_x000a_"/>
        <s v="公司名称：Jin Hua Shi Li Pu Import and Export Co., Ltd._x000a_办公地址：_x000a_东上小区10幢17号1-2楼_x000a_金华_x000a_婺城区_x000a_浙江_x000a_321000_x000a_CN_x000a_"/>
        <s v="公司名称：Yu xiaoxi_x000a_办公地址：_x000a_车陂街道车陂联合社区西区4栋402室_x000a_广州市_x000a_天河区_x000a_广东省_x000a_510660_x000a_CN_x000a_"/>
        <s v="公司名称：GUANGZHOU JUN RUN TECHNOLOGY_x000a_办公地址：_x000a_永平街永泰磨刀南街80号1002之4191房_x000a_广州_x000a_白云_x000a_广东_x000a_510000_x000a_CN_x000a_"/>
        <s v="公司名称：Yiwushibenchendianzishangwuyouxiangongsi_x000a_办公地址：_x000a_义乌市江东街道_x000a_龚大塘1区63号楼2单元301室_x000a_金华市_x000a_浙江_x000a_322000_x000a_CN_x000a_"/>
        <s v="公司名称：yiwuouyejinchukouyouxiangongsi_x000a_办公地址：_x000a_义乌市北苑街道宗泽北路511号2楼201_x000a_金华市_x000a_金华_x000a_浙江_x000a_322000_x000a_CN_x000a_"/>
        <s v="公司名称：HK FOUR IN ONE CO., LIMITED_x000a_办公地址：_x000a_Unit 201, 2/F, Two Harbourfront, 22 Tak Fung Street_x000a_"/>
        <s v="公司名称：Hangzhou Feimai Textile Co., Ltd_x000a_办公地址：_x000a_东湖街道达与路6号_x000a_3幢107室_x000a_杭州市_x000a_临平区_x000a_浙江省_x000a_311199_x000a_CN_x000a_"/>
        <s v="公司名称：XU CHENG_x000a_办公地址：_x000a_南村镇员岗村白庙坊右大街三巷1号_x000a_广州市_x000a_番禺区_x000a_广东省_x000a_510000_x000a_CN_x000a_"/>
        <s v="公司名称：REN AOXIANG_x000a_办公地址：_x000a_龙洲南路新世界梓山湖44栋04房_x000a_益阳市_x000a_赫山区_x000a_湖南_x000a_413000_x000a_CN_x000a_"/>
        <s v="公司名称：Xia Men Wei Er Jia E-Business Co.,Ltd_x000a_办公地址：_x000a_火炬高新区软件园三期诚毅北大街8号1901室-1_x000a_厦门市_x000a_集美_x000a_福建_x000a_361021_x000a_CN_x000a_"/>
        <s v="公司名称：hang zhou mi yue xin xi ke ji you xian gong si_x000a_办公地址：_x000a_拱墅区祥兴路100号_x000a_1幢701室_x000a_杭州市_x000a_浙江_x000a_310011_x000a_CN_x000a_"/>
        <s v="公司名称：Guangzhou Yili Network Technology Co., Ltd._x000a_办公地址：_x000a_嘉禾街道鹤龙二路259号_x000a_"/>
        <s v="公司名称：Shenzhen Yise Technology Co., Ltd._x000a_办公地址：_x000a_怡心社区怡园小区2栋五单元3D_x000a_深圳市_x000a_龙岗区坪地街道_x000a_广东省_x000a_518116_x000a_CN_x000a_"/>
        <s v="公司名称：fuzhoushixingningmengmaoyiyouxiangongsi_x000a_办公地址：_x000a_万科广场1号楼幸福驿站_x000a_福州市_x000a_台江区_x000a_福建省_x000a_350001_x000a_CN_x000a_"/>
        <s v="公司名称：Hang Zhou Zifeiyu Information Technology Company_x000a_办公地址：_x000a_长河街道滨文路95号_x000a_1幢4层401室_x000a_杭州市_x000a_滨江区_x000a_浙江省_x000a_310051_x000a_CN_x000a_"/>
        <s v="公司名称：GUANGZHOU CITY QIANLUO TRADING CO., LTD_x000a_办公地址：_x000a_南村镇汉溪大道东386号2401房_x000a_"/>
        <s v="公司名称：Guangzhou Fuli Trading Co.Ltd_x000a_办公地址：_x000a_大源街大源中路1号之一A221_x000a_广州_x000a_白云区_x000a_广东_x000a_510000_x000a_CN_x000a_"/>
        <s v="公司名称：HUZHOUDEQINGYIYANGDIANZISHANGWU CO.,LTD_x000a_办公地址：_x000a_振兴路66号105室_x000a_湖州市_x000a_德清县雷甸镇_x000a_浙江省_x000a_313219_x000a_CN_x000a_"/>
        <s v="公司名称：LiuAnZhuoJunDianZiShangWuYouXianGongSi_x000a_办公地址：_x000a_领春路恒大御景湾四期20号楼 二单元605室_x000a_六安市_x000a_裕安区_x000a_安徽_x000a_237000_x000a_CN_x000a_"/>
        <s v="公司名称：Made by Johnny Group Inc_x000a_办公地址：_x000a_1490 W Walnut Parkway_x000a_COMPTON_x000a_CA_x000a_90220_x000a_US_x000a_"/>
        <s v="公司名称：Suzhou FangRuo HuiZhi Garment Co., Ltd._x000a_办公地址：_x000a_九华路18号华景花园46幢605室_x000a_苏州市_x000a_工业园区_x000a_江苏省_x000a_215000_x000a_CN_x000a_"/>
        <s v="公司名称：Suzhou Ageruien Clothing Co., Ltd_x000a_办公地址：_x000a_胥江路426号六号楼二楼、八号楼二楼_x000a_苏州市_x000a_姑苏区_x000a_江苏_x000a_215000_x000a_CN_x000a_"/>
        <s v="公司名称：fu zhou shi ma wei qu yue ma mao yi shang hang_x000a_办公地址：_x000a_儒江东路阳光城世纪广场办公楼_x000a_福州市_x000a_马尾区_x000a_福建省_x000a_350000_x000a_CN_x000a_"/>
        <s v="公司名称：CAI YI_x000a_办公地址：_x000a_北滘碧桂园碧湖东路33号_x000a_佛山_x000a_顺德区_x000a_广东_x000a_528000_x000a_CN_x000a_"/>
        <s v="公司名称：BELE ROY INC._x000a_办公地址：_x000a_聚龙小镇陶然新村B5栋305室_x000a_泉州市_x000a_惠安县_x000a_福建省_x000a_362101_x000a_CN_x000a_"/>
        <s v="公司名称：AMAYAR INTERNATIONAL CO., LIMITED_x000a_电话号码：861-326-896-3628_x000a_办公地址：_x000a_富民中路222号7栋304号房_x000a_东莞市_x000a_大朗镇_x000a_广东省_x000a_523700_x000a_CN_x000a_"/>
        <s v="公司名称：Shenzhen xiou keji youxian gongsi_x000a_办公地址：_x000a_龙岗区布吉街道荔山公馆8号楼景和园B座1107_x000a_深圳市_x000a_广东_x000a_518000_x000a_CN_x000a_"/>
        <s v="公司名称：Hangzhou Maozhu Electronic Commerce Co.,Ltd._x000a_办公地址：_x000a_西兴街道滨康路188号_x000a_8幢10楼1006室_x000a_杭州市_x000a_滨江区_x000a_浙江省_x000a_310000_x000a_CN_x000a_"/>
        <s v="公司名称：guangzhouqiaoruomaoyiyouxiangongsi_x000a_办公地址：_x000a_燕岭路89号499室B06号_x000a_广州市_x000a_天河区_x000a_广东省_x000a_510440_x000a_CN_x000a_"/>
        <s v="公司名称：Yiwu Ceteng e-commerce firm_x000a_办公地址：_x000a_稠江街道楼下村四区22幢3单元205室_x000a_"/>
        <s v="公司名称：Chen Shumian_x000a_办公地址：_x000a_安泰路嘉琳广场11幢705室_x000a_泉州_x000a_洛江_x000a_福建_x000a_362000_x000a_CN_x000a_"/>
        <s v="公司名称：Yansi Tang_x000a_办公地址：_x000a_好百年商业广场5号楼1369室_x000a_苏州市_x000a_姑苏区_x000a_江苏省_x000a_215000_x000a_CN_x000a_"/>
        <s v="公司名称：guangzhoutaoximaoyiyouxiangongsi_x000a_办公地址：_x000a_yuexiuqunonglinxialu40hao_x000a_balouzibian801-C135_x000a_guangzhoushi_x000a_guangdongsheng_x000a_510000_x000a_CN_x000a_"/>
        <s v="公司名称：ShanghaixiongkeTradeCO.,Ltd._x000a_办公地址：_x000a_185号1层J1183室_x000a_嘉定区_x000a_上海市嘉定区安亭镇墨玉路_x000a_上海市_x000a_2000000_x000a_CN_x000a_"/>
        <s v="公司名称：Hangzhou Yuanxin Information Technology Co.,Ltd._x000a_办公地址：_x000a_西兴街道滨康路188号_x000a_8幢1008室_x000a_杭州市_x000a_浙江_x000a_310000_x000a_CN_x000a_"/>
        <s v="公司名称：guangzhou huangteng maoyi youxian gongsi_x000a_办公地址：_x000a_丰泽东路106号（自编1号楼）X1301-A7482_x000a_广州市_x000a_南沙区_x000a_广东_x000a_510000_x000a_CN_x000a_"/>
        <s v="公司名称：jian ou shi ku lei xi mao yi you xian gong si_x000a_办公地址：_x000a_建瓯市芝山磨房前82号_x000a_南平市_x000a_建瓯_x000a_福建省_x000a_353100_x000a_CN_x000a_"/>
        <s v="公司名称：Hangzhou Pibilu Clothing Co., Ltd._x000a_办公地址：_x000a_南苑街道南大街263-9号-1丛域商务秘书企业托管235_x000a_杭州市_x000a_余杭区_x000a_浙江省_x000a_311100_x000a_CN_x000a_"/>
        <s v="公司名称：Zhangzhou Longhaiqu Haimai Shangmao Youxiangongsi_x000a_办公地址：_x000a_榜山镇紫崴路39-6号201室_x000a_漳州市_x000a_龙海区_x000a_福建省_x000a_363100_x000a_CN_x000a_"/>
        <s v="公司名称：Shaohua Li_x000a_办公地址：_x000a_皖河路华地金融中心D座2501_x000a_合肥_x000a_蜀山区_x000a_安徽_x000a_230000_x000a_CN_x000a_"/>
        <s v="公司名称：guangzhoushiliangliangyundongyongpinyouxiangongsi_x000a_办公地址：_x000a_石井街聚源街50号C栋418室_x000a_广州市_x000a_白云区_x000a_广东省_x000a_510000_x000a_CN_x000a_"/>
        <s v="公司名称：REN JIE_x000a_办公地址：_x000a_君澜一街天幕2栋502_x000a_番禺区剑桥郡_x000a_广州_x000a_番禺_x000a_广东_x000a_510000_x000a_CN_x000a_"/>
        <s v="公司名称：YAYA APPAREL, INC._x000a_办公地址：_x000a_41610 Date St_x000a_STE 105_x000a_MURRIETA_x000a_CA_x000a_92562_x000a_US_x000a_"/>
        <s v="公司名称：Nanchang JiuTu Information Technology Co., Ltd_x000a_办公地址：_x000a_紫金园二区_x000a_南昌_x000a_红谷滩新区_x000a_江西_x000a_330038_x000a_CN_x000a_"/>
        <s v="公司名称：Xia Men Jun Tuo Network Technology Co.,Ltd._x000a_办公地址：_x000a_吕岭路1581号910单元之二十_x000a_厦门市_x000a_思明区_x000a_福建_x000a_361008_x000a_CN_x000a_"/>
        <s v="公司名称：YIWUOUYONGMAOYIYOUXIANGONGSI_x000a_办公地址：_x000a_北苑街道莲塘四区19栋2单元305_x000a_金华市_x000a_义乌市_x000a_浙江省_x000a_322000_x000a_CN_x000a_"/>
        <s v="公司名称：Yilin Dianzishangwuyouxiangongsi_x000a_办公地址：_x000a_五常街道宏旺西溪阳光中心2幢705室_x000a_杭州市_x000a_余杭区_x000a_浙江省_x000a_311000_x000a_CN_x000a_"/>
        <s v="公司名称：guangzhouwoluoermaoyiyouxiangongsi_x000a_办公地址：_x000a_新华街莲塘村新华莲塘新西二十六巷12号101铺_x000a_广州_x000a_花都区_x000a_广东_x000a_510800_x000a_CN_x000a_"/>
        <s v="公司名称：NY_x000a_电话号码：888-588-2892_x000a_办公地址：_x000a_1400 Broadway_x000a_Suite 2830_x000a_NY_x000a_New York_x000a_10018_x000a_US_x000a_"/>
        <s v="公司名称：Xiamenshengchengandianzishangwuyouxiangongsi_x000a_办公地址：_x000a_安岭路988号A栋503-7室_x000a_厦门市_x000a_湖里区_x000a_361000_x000a_CN_x000a_"/>
        <s v="公司名称：Guangzhou Daijun Dianzi Shangwu Youxian Gongsi_x000a_办公地址：_x000a_白云区白云大道南295号3楼318/319/320室K004房_x000a_广州市_x000a_广东_x000a_510000_x000a_CN_x000a_"/>
        <s v="公司名称：Suzhou BSL Garments Co.,Ltd._x000a_办公地址：_x000a_工业园区_x000a_娄葑镇东富路8号东景工业坊2幢2层_x000a_苏州市_x000a_江苏_x000a_215021_x000a_CN_x000a_"/>
        <s v="公司名称：guangzhoushihualidianzishangwukejiyouxiangongsi_x000a_办公地址：_x000a_石井街聚源街50号4#栋3A层2071_x000a_广州市_x000a_白云区_x000a_广东省_x000a_510000_x000a_CN_x000a_"/>
        <s v="公司名称：Hangzhou Yunsa Network Technology Co., Ltd._x000a_办公地址：_x000a_崇贤街道塘康路39号212室_x000a_杭州市_x000a_临平区_x000a_311100_x000a_CN_x000a_"/>
        <s v="公司名称：XIA MEN CENMAO IMPORT &amp; EXPORT CO LTD_x000a_办公地址：_x000a_湖里大道59号东侧301室_x000a_厦门市_x000a_湖里区_x000a_福建_x000a_361006_x000a_CN_x000a_"/>
        <s v="公司名称：FREEDOM SPORTS GOODS INC._x000a_办公地址：_x000a_41-14B Main ST G21_x000a_FLUSHING_x000a_NY_x000a_11355-3133_x000a_US_x000a_"/>
        <m/>
      </sharedItems>
    </cacheField>
    <cacheField name="卖家首页" numFmtId="0">
      <sharedItems containsBlank="1" count="70">
        <s v="https://www.amazon.com/gp/help/seller/at-a-glance.html/ref=dp_merchant_link?seller=A154O6JL5L5T2Z"/>
        <s v="https://www.amazon.com/gp/help/seller/at-a-glance.html/ref=dp_merchant_link?seller=A1ACJK2TICWQAI"/>
        <s v="https://www.amazon.com/gp/help/seller/at-a-glance.html/ref=dp_merchant_link?seller=A2PG48TKFAAGHH"/>
        <s v="https://www.amazon.com/gp/help/seller/at-a-glance.html/ref=dp_merchant_link?seller=A2YY24OTPMCH3O"/>
        <s v="https://www.amazon.com/gp/help/seller/at-a-glance.html/ref=dp_merchant_link?seller=AAZE6Z1V3K39G"/>
        <s v="https://www.amazon.com/gp/help/seller/at-a-glance.html/ref=dp_merchant_link?seller=A1I3Z4ZI1HXHLL"/>
        <s v="https://www.amazon.com/gp/help/seller/at-a-glance.html/ref=dp_merchant_link?seller=A1ZXMCRCDZE0B3"/>
        <s v="https://www.amazon.com/gp/help/seller/at-a-glance.html/ref=dp_merchant_link?seller=AYO07RIYQGDLC"/>
        <s v="https://www.amazon.com/gp/help/seller/at-a-glance.html/ref=dp_merchant_link?seller=A2KB57SF0224RC"/>
        <s v="https://www.amazon.com/gp/help/seller/at-a-glance.html/ref=dp_merchant_link?seller=A1CUN78WUCCP7Z"/>
        <s v="https://www.amazon.com/gp/help/seller/at-a-glance.html/ref=dp_merchant_link?seller=A3QPSK42OYQ7OF"/>
        <s v="https://www.amazon.com/gp/help/seller/at-a-glance.html/ref=dp_merchant_link?seller=A1GY02MYETD4XU"/>
        <s v="https://www.amazon.com/gp/help/seller/at-a-glance.html/ref=dp_merchant_link?seller=ADQRWGK1A469B"/>
        <s v="https://www.amazon.com/gp/help/seller/at-a-glance.html/ref=dp_merchant_link?seller=A3E1SQM5WUB3RR"/>
        <s v="https://www.amazon.com/gp/help/seller/at-a-glance.html/ref=dp_merchant_link?seller=A3TYFLD94WLE02"/>
        <s v="https://www.amazon.com/gp/help/seller/at-a-glance.html/ref=dp_merchant_link?seller=A23H347ORJGANQ"/>
        <s v="https://www.amazon.com/gp/help/seller/at-a-glance.html/ref=dp_merchant_link?seller=A1FKJ6TBSHW1EW"/>
        <s v="https://www.amazon.com/gp/help/seller/at-a-glance.html/ref=dp_merchant_link?seller=A26D3SMGY2WM2I"/>
        <s v="https://www.amazon.com/gp/help/seller/at-a-glance.html/ref=dp_merchant_link?seller=A1HPK4MEBNYOYY"/>
        <s v="https://www.amazon.com/gp/help/seller/at-a-glance.html/ref=dp_merchant_link?seller=A2DC1A8ZMZHZKL"/>
        <s v="https://www.amazon.com/gp/help/seller/at-a-glance.html/ref=dp_merchant_link?seller=AFA7SX9CHJSXJ"/>
        <s v="https://www.amazon.com/gp/help/seller/at-a-glance.html/ref=dp_merchant_link?seller=AUNL1S7DQKJAW"/>
        <s v="https://www.amazon.com/gp/help/seller/at-a-glance.html/ref=dp_merchant_link?seller=A3J1UQ06EUSAGL"/>
        <s v="https://www.amazon.com/gp/help/seller/at-a-glance.html/ref=dp_merchant_link?seller=A3F5ULXL47X57I"/>
        <s v="https://www.amazon.com/gp/help/seller/at-a-glance.html/ref=dp_merchant_link?seller=AB2NECOE3B4S7"/>
        <s v="https://www.amazon.com/gp/help/seller/at-a-glance.html/ref=dp_merchant_link?seller=A39FUMDCUVK0H6"/>
        <s v="https://www.amazon.com/gp/help/seller/at-a-glance.html/ref=dp_merchant_link?seller=A1PIYJCG80M7TJ"/>
        <s v="https://www.amazon.com/gp/help/seller/at-a-glance.html/ref=dp_merchant_link?seller=A3N58XTYSS95"/>
        <s v="https://www.amazon.com/gp/help/seller/at-a-glance.html/ref=dp_merchant_link?seller=A1CX3Y6OPGB2MO"/>
        <s v="https://www.amazon.com/gp/help/seller/at-a-glance.html/ref=dp_merchant_link?seller=A1BKZZRRS0CM3R"/>
        <s v="https://www.amazon.com/gp/help/seller/at-a-glance.html/ref=dp_merchant_link?seller=AHMQD4SBB77PD"/>
        <s v="https://www.amazon.com/gp/help/seller/at-a-glance.html/ref=dp_merchant_link?seller=A20EOU5S7BFWN4"/>
        <s v="https://www.amazon.com/gp/help/seller/at-a-glance.html/ref=dp_merchant_link?seller=A37XK733SMU7C1"/>
        <s v="https://www.amazon.com/gp/help/seller/at-a-glance.html/ref=dp_merchant_link?seller=A1NT454SPUD5OC"/>
        <s v="https://www.amazon.com/gp/help/seller/at-a-glance.html/ref=dp_merchant_link?seller=A72WZD9I50LKA"/>
        <s v="https://www.amazon.com/gp/help/seller/at-a-glance.html/ref=dp_merchant_link?seller=A2ZTKLGW111KU5"/>
        <s v="https://www.amazon.com/gp/help/seller/at-a-glance.html/ref=dp_merchant_link?seller=A2HNL56YD62DB3"/>
        <s v="https://www.amazon.com/gp/help/seller/at-a-glance.html/ref=dp_merchant_link?seller=A1NWEKIL8JK1I9"/>
        <s v="https://www.amazon.com/gp/help/seller/at-a-glance.html/ref=dp_merchant_link?seller=A39JCPE1RWJFZE"/>
        <s v="https://www.amazon.com/gp/help/seller/at-a-glance.html/ref=dp_merchant_link?seller=A3IXKK4HU2971B"/>
        <s v="https://www.amazon.com/gp/help/seller/at-a-glance.html/ref=dp_merchant_link?seller=A1E7ZG1UOPRDZA"/>
        <s v="https://www.amazon.com/gp/help/seller/at-a-glance.html/ref=dp_merchant_link?seller=A3LKVUSEROVJPA"/>
        <s v="https://www.amazon.com/gp/help/seller/at-a-glance.html/ref=dp_merchant_link?seller=ADPI9LE50EUV"/>
        <s v="https://www.amazon.com/gp/help/seller/at-a-glance.html/ref=dp_merchant_link?seller=A34W0637HUY9YO"/>
        <s v="https://www.amazon.com/gp/help/seller/at-a-glance.html/ref=dp_merchant_link?seller=A18ONQ5JPHCYH1"/>
        <s v="https://www.amazon.com/gp/help/seller/at-a-glance.html/ref=dp_merchant_link?seller=AGI8S9YM8S32"/>
        <s v="https://www.amazon.com/gp/help/seller/at-a-glance.html/ref=dp_merchant_link?seller=A24775X1KAIBQI"/>
        <s v="https://www.amazon.com/gp/help/seller/at-a-glance.html/ref=dp_merchant_link?seller=AMWQF3212ETWM"/>
        <s v="https://www.amazon.com/gp/help/seller/at-a-glance.html/ref=dp_merchant_link?seller=A3OGLFRJIKZSEY"/>
        <s v="https://www.amazon.com/gp/help/seller/at-a-glance.html/ref=dp_merchant_link?seller=A35KZH1XOKRBK"/>
        <s v="https://www.amazon.com/gp/help/seller/at-a-glance.html/ref=dp_merchant_link?seller=A39S8SRL7UWE0L"/>
        <s v="https://www.amazon.com/gp/help/seller/at-a-glance.html/ref=dp_merchant_link?seller=AJ2IE5554PWR2"/>
        <s v="https://www.amazon.com/gp/help/seller/at-a-glance.html/ref=dp_merchant_link?seller=A2MH65MY8DV99Y"/>
        <s v="https://www.amazon.com/gp/help/seller/at-a-glance.html/ref=dp_merchant_link?seller=A1MQI7SMZZ7C1W"/>
        <s v="https://www.amazon.com/gp/help/seller/at-a-glance.html/ref=dp_merchant_link?seller=A2V0UAASMLW3VH"/>
        <s v="https://www.amazon.com/gp/help/seller/at-a-glance.html/ref=dp_merchant_link?seller=ARYR5KB7WDODT"/>
        <s v="https://www.amazon.com/gp/help/seller/at-a-glance.html/ref=dp_merchant_link?seller=A3268KKK8QF5FK"/>
        <s v="https://www.amazon.com/gp/help/seller/at-a-glance.html/ref=dp_merchant_link?seller=A3ARCQ9ILY075Q"/>
        <s v="https://www.amazon.com/gp/help/seller/at-a-glance.html/ref=dp_merchant_link?seller=A3MMXFW2QAF7BE"/>
        <s v="https://www.amazon.com/gp/help/seller/at-a-glance.html/ref=dp_merchant_link?seller=A2U6Y6GUDRM6PV"/>
        <s v="https://www.amazon.com/gp/help/seller/at-a-glance.html/ref=dp_merchant_link?seller=A167MWRKMDKHIP"/>
        <s v="https://www.amazon.com/gp/help/seller/at-a-glance.html/ref=dp_merchant_link?seller=A34BGYZVA31Z8W"/>
        <s v="https://www.amazon.com/gp/help/seller/at-a-glance.html/ref=dp_merchant_link?seller=AWC7NUCRC3BCP"/>
        <s v="https://www.amazon.com/gp/help/seller/at-a-glance.html/ref=dp_merchant_link?seller=ANLCQE6VHYYWG"/>
        <s v="https://www.amazon.com/gp/help/seller/at-a-glance.html/ref=dp_merchant_link?seller=A36JLU7BHR5ZMD"/>
        <s v="https://www.amazon.com/gp/help/seller/at-a-glance.html/ref=dp_merchant_link?seller=AHITYY0DKK64X"/>
        <s v="https://www.amazon.com/gp/help/seller/at-a-glance.html/ref=dp_merchant_link?seller=A1VF08PZ2BIJ1K"/>
        <s v="https://www.amazon.com/gp/help/seller/at-a-glance.html/ref=dp_merchant_link?seller=A12D6DYWZULY97"/>
        <s v="https://www.amazon.com/gp/help/seller/at-a-glance.html/ref=dp_merchant_link?seller=AUCI3SOXHH004"/>
        <m/>
      </sharedItems>
    </cacheField>
    <cacheField name="Best Seller标识" numFmtId="0">
      <sharedItems containsBlank="1" count="3">
        <s v="Y"/>
        <s v=""/>
        <m/>
      </sharedItems>
    </cacheField>
    <cacheField name="Amazon's Choice" numFmtId="0">
      <sharedItems containsBlank="1" count="3">
        <s v="Y"/>
        <s v=""/>
        <m/>
      </sharedItems>
    </cacheField>
    <cacheField name="New Release标识" numFmtId="0">
      <sharedItems containsBlank="1" count="3">
        <s v="Y"/>
        <s v=""/>
        <m/>
      </sharedItems>
    </cacheField>
    <cacheField name="A+页面" numFmtId="0">
      <sharedItems containsBlank="1" count="3">
        <s v="Y"/>
        <s v=""/>
        <m/>
      </sharedItems>
    </cacheField>
    <cacheField name="视频介绍" numFmtId="0">
      <sharedItems containsBlank="1" count="3">
        <s v="Y"/>
        <s v=""/>
        <m/>
      </sharedItems>
    </cacheField>
    <cacheField name="SP广告" numFmtId="0">
      <sharedItems containsBlank="1" count="2">
        <s v=""/>
        <m/>
      </sharedItems>
    </cacheField>
    <cacheField name="品牌故事" numFmtId="0">
      <sharedItems containsBlank="1" count="3">
        <s v="Y"/>
        <s v=""/>
        <m/>
      </sharedItems>
    </cacheField>
    <cacheField name="品牌广告" numFmtId="0">
      <sharedItems containsBlank="1" count="2">
        <s v=""/>
        <m/>
      </sharedItems>
    </cacheField>
    <cacheField name="7天促销" numFmtId="0">
      <sharedItems containsBlank="1" count="3">
        <s v=""/>
        <s v="Y"/>
        <m/>
      </sharedItems>
    </cacheField>
    <cacheField name="AC关键词" numFmtId="0">
      <sharedItems containsBlank="1" count="27">
        <s v=""/>
        <m/>
        <s v="Overall Pick"/>
        <s v="green plaid skirt"/>
        <s v="scktoo womens girl high waisted pleated tennis ski"/>
        <s v="red pleated skirt girls"/>
        <s v="red plus size tennis skirt"/>
        <s v="flowy high waisted shorts"/>
        <s v="white uniform skirt"/>
        <s v="golf skorts women"/>
        <s v="tennis skirt with shorts and pockets"/>
        <s v="green skorts"/>
        <s v="sequin high waisted shorts"/>
        <s v="Women's Athletic Skirts by ANIVIVO"/>
        <s v="red skirt with shorts"/>
        <s v="red skirt"/>
        <s v="kids pleated skirt"/>
        <s v="plaid tennis skirt"/>
        <s v="purple gold hinge skirt"/>
        <s v="womens fall golf clothes"/>
        <s v="patriotic golf skirt"/>
        <s v="ganado tennis skorts skirts for women"/>
        <s v="skirt with long leggings"/>
        <s v="red clothing"/>
        <s v="modest workout clothes for women"/>
        <s v="crz tennis skirt"/>
        <s v="hiking skirts for women"/>
      </sharedItems>
    </cacheField>
    <cacheField name="重量" numFmtId="0">
      <sharedItems containsBlank="1" count="51">
        <s v="6.74 ounces"/>
        <s v="7.52 ounces"/>
        <s v="0.44 pounds"/>
        <s v="1.6 ounces"/>
        <s v="8.82 ounces"/>
        <s v="11.36 ounces"/>
        <s v="0.81 ounces"/>
        <s v="5.29 ounces"/>
        <s v="7.83 ounces"/>
        <s v="8.11 ounces"/>
        <s v="6.7 ounces"/>
        <s v="7.37 ounces"/>
        <s v="7.05 ounces"/>
        <s v="6.35 Ounces"/>
        <s v="5.61 ounces"/>
        <s v="11.99 ounces"/>
        <s v="6.38 ounces"/>
        <s v="4.66 ounces"/>
        <s v="2.82 ounces"/>
        <s v="9.14 ounces"/>
        <s v="0.71 ounces"/>
        <s v="7.58 ounces"/>
        <s v="0.4 pounds"/>
        <s v="8.15 ounces"/>
        <s v="8.47 Ounces"/>
        <s v="0.38 pounds"/>
        <s v="5.47 ounces"/>
        <s v="5.93 Ounces"/>
        <s v="7.23 ounces"/>
        <m/>
        <s v="11.29 ounces"/>
        <s v="8.01 ounces"/>
        <s v="8.78 ounces"/>
        <s v="7.2 Ounces"/>
        <s v="6.4 ounces"/>
        <s v="4.97 ounces"/>
        <s v="9.91 ounces"/>
        <s v="14.89 ounces"/>
        <s v="10.55 ounces"/>
        <s v="4.23 ounces"/>
        <s v="11.68 ounces"/>
        <s v="6.21 ounces"/>
        <s v="6 ounces"/>
        <s v="8.8 ounces"/>
        <s v="10.72 ounces"/>
        <s v="0.43 pounds"/>
        <s v="9.59 ounces"/>
        <s v="4.8 ounces"/>
        <s v="10.93 ounces"/>
        <s v="10.58 ounces"/>
        <s v="0.34 pounds"/>
      </sharedItems>
    </cacheField>
    <cacheField name="重量2" numFmtId="0">
      <sharedItems containsBlank="1" count="51">
        <s v="191.08 g"/>
        <s v="213.19 g"/>
        <s v="199.58 g"/>
        <s v="45.36 g"/>
        <s v="250.04 g"/>
        <s v="322.05 g"/>
        <s v="22.96 g"/>
        <s v="149.97 g"/>
        <s v="221.98 g"/>
        <s v="229.91 g"/>
        <s v="189.94 g"/>
        <s v="208.94 g"/>
        <s v="199.86 g"/>
        <s v="180.02 g"/>
        <s v="159.04 g"/>
        <s v="339.91 g"/>
        <s v="180.87 g"/>
        <s v="132.11 g"/>
        <s v="79.95 g"/>
        <s v="259.11 g"/>
        <s v="20.13 g"/>
        <s v="214.89 g"/>
        <s v="181.44 g"/>
        <s v="231.05 g"/>
        <s v="240.12 g"/>
        <s v="172.36 g"/>
        <s v="155.07 g"/>
        <s v="168.11 g"/>
        <s v="204.97 g"/>
        <s v=""/>
        <s v="320.07 g"/>
        <s v="227.08 g"/>
        <s v="248.91 g"/>
        <s v="204.12 g"/>
        <s v="140.90 g"/>
        <s v="280.94 g"/>
        <s v="422.12 g"/>
        <s v="299.09 g"/>
        <s v="119.92 g"/>
        <s v="331.12 g"/>
        <s v="176.05 g"/>
        <s v="170.10 g"/>
        <s v="249.48 g"/>
        <s v="303.91 g"/>
        <s v="195.04 g"/>
        <s v="271.87 g"/>
        <s v="136.08 g"/>
        <s v="309.86 g"/>
        <s v="299.94 g"/>
        <s v="154.22 g"/>
        <m/>
      </sharedItems>
    </cacheField>
    <cacheField name="体积" numFmtId="0">
      <sharedItems containsBlank="1" count="83">
        <s v="11.73 x 10.24 x 1.3 inches"/>
        <s v="7 x 4 x 0.8 inches"/>
        <s v="1 x 1 x 1 inches"/>
        <s v="4 x 4 x 0.1 inches"/>
        <s v="13.8 x 10 x 0.8 inches"/>
        <s v="10.43 x 10.04 x 2.6 inches"/>
        <s v="14.6 x 13 x 0.38 inches"/>
        <s v="11.5 x 8 x 0.1 inches"/>
        <s v="9.8 x 7.68 x 0.79 inches"/>
        <s v="5.9 x 3.9 x 2 inches"/>
        <s v="13.74 x 10.83 x 0.87 inches"/>
        <s v="9.72 x 7.64 x 1.85 inches"/>
        <s v="12.4 x 10.35 x 0.63 inches"/>
        <s v="7.72 x 6.77 x 1.3 inches"/>
        <s v="9.61 x 8.86 x 1.3 inches"/>
        <s v="7.56 x 7.4 x 2.36 inches"/>
        <s v="7.87 x 3.94 x 1.97 inches"/>
        <s v="11.89 x 9.09 x 1.26 inches"/>
        <s v="13.39 x 9.49 x 1.1 inches"/>
        <s v="8.27 x 10.24 x 0.39 inches"/>
        <s v="9.69 x 6.89 x 1.18 inches"/>
        <s v="16 x 17 x 0.5 inches"/>
        <s v="7.87 x 7.09 x 0.39 inches"/>
        <s v="10.31 x 8.86 x 1.46 inches"/>
        <s v="8.86 x 5.2 x 2.28 inches"/>
        <s v="8.27 x 6.3 x 0.39 inches"/>
        <s v="7.56 x 6.65 x 2.6 inches"/>
        <s v="14.6 x 13 x 0.4 inches"/>
        <s v="10.67 x 8.54 x 2.28 inches"/>
        <s v="8.54 x 7.87 x 1.26 inches"/>
        <s v="10.16 x 10.04 x 2.24 inches"/>
        <s v="7.76 x 7.09 x 1.97 inches"/>
        <s v="9.72 x 8.58 x 1.18 inches"/>
        <m/>
        <s v="11.65 x 2.95 x 1.14 inches"/>
        <s v="7.36 x 6.73 x 1.22 inches"/>
        <s v="9.53 x 6.61 x 1.73 inches"/>
        <s v="10.67 x 9.53 x 2.09 inches"/>
        <s v="9.53 x 8.46 x 1.69 inches"/>
        <s v="9.84 x 9.84 x 0.79 inches"/>
        <s v="16.34 x 6.77 x 1.34 inches"/>
        <s v="7.7 x 5.9 x 1.7 inches"/>
        <s v="8.07 x 4.96 x 1.97 inches"/>
        <s v="7.4 x 6.6 x 1.2 inches"/>
        <s v="12.52 x 9.65 x 2.01 inches"/>
        <s v="50 x 40 x 40 inches"/>
        <s v="7.17 x 4.06 x 2.83 inches"/>
        <s v="2 x 1 x 0.1 inches"/>
        <s v="8.43 x 7.91 x 1.54 inches"/>
        <s v="12.09 x 6.77 x 2.17 inches"/>
        <s v="13.86 x 10.47 x 1.34 inches"/>
        <s v="10.67 x 10.35 x 1.85 inches"/>
        <s v="8.43 x 5.55 x 1.69 inches"/>
        <s v="12.05 x 6.26 x 1.5 inches"/>
        <s v="7.48 x 6.77 x 1.3 inches"/>
        <s v="7.09 x 3.74 x 2.76 inches"/>
        <s v="11.3 x 9.69 x 0.71 inches"/>
        <s v="9.57 x 8.23 x 2.32 inches"/>
        <s v="10.59 x 5.79 x 2.91 inches"/>
        <s v="5.9 x 5.9 x 0.8 inches"/>
        <s v="12.71 x 10.16 x 0.79 inches"/>
        <s v="10.63 x 9.45 x 0.6 inches"/>
        <s v="7.87 x 7.09 x 1.18 inches"/>
        <s v="10.87 x 6.85 x 1.69 inches"/>
        <s v="11.81 x 7.87 x 0.47 inches"/>
        <s v="7 x 8 x 0.4 inches"/>
        <s v="12.13 x 9.33 x 1.22 inches"/>
        <s v="12.32 x 8.9 x 1.77 inches"/>
        <s v="7.68 x 5.99 x 1.93 inches"/>
        <s v="9.45 x 6.46 x 1.69 inches"/>
        <s v="10.28 x 7.91 x 1.46 inches"/>
        <s v="13.66 x 11.22 x 1.26 inches"/>
        <s v="7 x 2 x 9 inches"/>
        <s v="8.78 x 7.8 x 1.65 inches"/>
        <s v="8.39 x 8.35 x 1.65 inches"/>
        <s v="0.5 x 0.4 x 0.3 inches"/>
        <s v="11.3 x 8.86 x 1.14 inches"/>
        <s v="13.86 x 10.2 x 1.97 inches"/>
        <s v="10.24 x 8.66 x 0.79 inches"/>
        <s v="7.87 x 7.87 x 0.59 inches"/>
        <s v="5.91 x 3.94 x 0.31 inches"/>
        <s v="15.75 x 11.81 x 0.75 inches"/>
        <s v="13.39 x 11.46 x 1.97 inches"/>
      </sharedItems>
    </cacheField>
    <cacheField name="体积2" numFmtId="0">
      <sharedItems containsBlank="1" count="84">
        <s v="29.79 x 26.01 x 3.30 cm"/>
        <s v="17.78 x 10.16 x 2.03 cm"/>
        <s v="2.54 x 2.54 x 2.54 cm"/>
        <s v="10.16 x 10.16 x 0.25 cm"/>
        <s v="35.05 x 25.40 x 2.03 cm"/>
        <s v="26.49 x 25.50 x 6.60 cm"/>
        <s v="37.08 x 33.02 x 0.97 cm"/>
        <s v="29.21 x 20.32 x 0.25 cm"/>
        <s v="24.89 x 19.51 x 2.01 cm"/>
        <s v="14.99 x 9.91 x 5.08 cm"/>
        <s v="34.90 x 27.51 x 2.21 cm"/>
        <s v="24.69 x 19.41 x 4.70 cm"/>
        <s v="31.50 x 26.29 x 1.60 cm"/>
        <s v="19.61 x 17.20 x 3.30 cm"/>
        <s v="24.41 x 22.50 x 3.30 cm"/>
        <s v="19.20 x 18.80 x 5.99 cm"/>
        <s v="19.99 x 10.01 x 5.00 cm"/>
        <s v="30.20 x 23.09 x 3.20 cm"/>
        <s v="34.01 x 24.10 x 2.79 cm"/>
        <s v="21.01 x 26.01 x 0.99 cm"/>
        <s v="24.61 x 17.50 x 3.00 cm"/>
        <s v="40.64 x 43.18 x 1.27 cm"/>
        <s v="19.99 x 18.01 x 0.99 cm"/>
        <s v="26.19 x 22.50 x 3.71 cm"/>
        <s v="22.50 x 13.21 x 5.79 cm"/>
        <s v="21.01 x 16.00 x 0.99 cm"/>
        <s v="19.20 x 16.89 x 6.60 cm"/>
        <s v="37.08 x 33.02 x 1.02 cm"/>
        <s v="27.10 x 21.69 x 5.79 cm"/>
        <s v="21.69 x 19.99 x 3.20 cm"/>
        <s v="25.81 x 25.50 x 5.69 cm"/>
        <s v="19.71 x 18.01 x 5.00 cm"/>
        <s v="24.69 x 21.79 x 3.00 cm"/>
        <s v=""/>
        <s v="29.59 x 7.49 x 2.90 cm"/>
        <s v="18.69 x 17.09 x 3.10 cm"/>
        <s v="24.21 x 16.79 x 4.39 cm"/>
        <s v="27.10 x 24.21 x 5.31 cm"/>
        <s v="24.21 x 21.49 x 4.29 cm"/>
        <s v="24.99 x 24.99 x 2.01 cm"/>
        <s v="41.50 x 17.20 x 3.40 cm"/>
        <s v="19.56 x 14.99 x 4.32 cm"/>
        <s v="20.50 x 12.60 x 5.00 cm"/>
        <s v="18.80 x 16.76 x 3.05 cm"/>
        <s v="31.80 x 24.51 x 5.11 cm"/>
        <s v="127.00 x 101.60 x 101.60 cm"/>
        <s v="18.21 x 10.31 x 7.19 cm"/>
        <s v="5.08 x 2.54 x 0.25 cm"/>
        <s v="21.41 x 20.09 x 3.91 cm"/>
        <s v="30.71 x 17.20 x 5.51 cm"/>
        <s v="35.20 x 26.59 x 3.40 cm"/>
        <s v="27.10 x 26.29 x 4.70 cm"/>
        <s v="21.41 x 14.10 x 4.29 cm"/>
        <s v="30.61 x 15.90 x 3.81 cm"/>
        <s v="19.00 x 17.20 x 3.30 cm"/>
        <s v="18.01 x 9.50 x 7.01 cm"/>
        <s v="28.70 x 24.61 x 1.80 cm"/>
        <s v="24.31 x 20.90 x 5.89 cm"/>
        <s v="26.90 x 14.71 x 7.39 cm"/>
        <s v="14.99 x 14.99 x 2.03 cm"/>
        <s v="32.28 x 25.81 x 2.01 cm"/>
        <s v="27.00 x 24.00 x 1.52 cm"/>
        <s v="19.99 x 18.01 x 3.00 cm"/>
        <s v="27.61 x 17.40 x 4.29 cm"/>
        <s v="30.00 x 19.99 x 1.19 cm"/>
        <s v="17.78 x 20.32 x 1.02 cm"/>
        <s v="30.81 x 23.70 x 3.10 cm"/>
        <s v="31.29 x 22.61 x 4.50 cm"/>
        <s v="19.51 x 15.21 x 4.90 cm"/>
        <s v="24.00 x 16.41 x 4.29 cm"/>
        <s v="26.11 x 20.09 x 3.71 cm"/>
        <s v="34.70 x 28.50 x 3.20 cm"/>
        <s v="17.78 x 5.08 x 22.86 cm"/>
        <s v="22.30 x 19.81 x 4.19 cm"/>
        <s v="21.31 x 21.21 x 4.19 cm"/>
        <s v="1.27 x 1.02 x 0.76 cm"/>
        <s v="28.70 x 22.50 x 2.90 cm"/>
        <s v="35.20 x 25.91 x 5.00 cm"/>
        <s v="26.01 x 22.00 x 2.01 cm"/>
        <s v="19.99 x 19.99 x 1.50 cm"/>
        <s v="15.01 x 10.01 x 0.79 cm"/>
        <s v="40.01 x 30.00 x 1.91 cm"/>
        <s v="34.01 x 29.11 x 5.00 cm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0"/>
    <x v="1"/>
    <x v="1"/>
    <x v="0"/>
    <x v="1"/>
    <x v="0"/>
    <x v="1"/>
    <x v="0"/>
    <x v="1"/>
    <x v="1"/>
    <x v="1"/>
    <x v="1"/>
    <x v="1"/>
    <x v="1"/>
    <x v="0"/>
    <x v="1"/>
    <x v="0"/>
    <x v="0"/>
    <x v="0"/>
    <x v="0"/>
    <x v="1"/>
    <x v="1"/>
    <x v="1"/>
    <x v="1"/>
    <x v="1"/>
  </r>
  <r>
    <x v="0"/>
    <x v="2"/>
    <x v="2"/>
    <x v="2"/>
    <x v="2"/>
    <x v="2"/>
    <x v="2"/>
    <x v="2"/>
    <x v="2"/>
    <x v="2"/>
    <x v="0"/>
    <x v="0"/>
    <x v="2"/>
    <x v="2"/>
    <x v="2"/>
    <x v="2"/>
    <x v="2"/>
    <x v="2"/>
    <x v="2"/>
    <x v="2"/>
    <x v="2"/>
    <x v="2"/>
    <x v="2"/>
    <x v="2"/>
    <x v="0"/>
    <x v="1"/>
    <x v="2"/>
    <x v="2"/>
    <x v="2"/>
    <x v="2"/>
    <x v="2"/>
    <x v="2"/>
    <x v="2"/>
    <x v="0"/>
    <x v="2"/>
    <x v="2"/>
    <x v="0"/>
    <x v="1"/>
    <x v="0"/>
    <x v="2"/>
    <x v="0"/>
    <x v="0"/>
    <x v="2"/>
    <x v="2"/>
    <x v="0"/>
    <x v="0"/>
    <x v="1"/>
    <x v="0"/>
    <x v="0"/>
    <x v="0"/>
    <x v="0"/>
    <x v="0"/>
    <x v="0"/>
    <x v="2"/>
    <x v="2"/>
    <x v="2"/>
    <x v="2"/>
    <x v="2"/>
  </r>
  <r>
    <x v="0"/>
    <x v="3"/>
    <x v="3"/>
    <x v="3"/>
    <x v="3"/>
    <x v="3"/>
    <x v="3"/>
    <x v="3"/>
    <x v="3"/>
    <x v="3"/>
    <x v="0"/>
    <x v="0"/>
    <x v="3"/>
    <x v="3"/>
    <x v="3"/>
    <x v="3"/>
    <x v="3"/>
    <x v="3"/>
    <x v="3"/>
    <x v="3"/>
    <x v="3"/>
    <x v="3"/>
    <x v="3"/>
    <x v="3"/>
    <x v="0"/>
    <x v="0"/>
    <x v="1"/>
    <x v="3"/>
    <x v="3"/>
    <x v="3"/>
    <x v="3"/>
    <x v="3"/>
    <x v="3"/>
    <x v="0"/>
    <x v="3"/>
    <x v="3"/>
    <x v="0"/>
    <x v="1"/>
    <x v="0"/>
    <x v="3"/>
    <x v="0"/>
    <x v="0"/>
    <x v="3"/>
    <x v="3"/>
    <x v="1"/>
    <x v="0"/>
    <x v="1"/>
    <x v="0"/>
    <x v="1"/>
    <x v="0"/>
    <x v="0"/>
    <x v="0"/>
    <x v="0"/>
    <x v="3"/>
    <x v="3"/>
    <x v="3"/>
    <x v="3"/>
    <x v="3"/>
  </r>
  <r>
    <x v="0"/>
    <x v="4"/>
    <x v="0"/>
    <x v="4"/>
    <x v="4"/>
    <x v="4"/>
    <x v="4"/>
    <x v="4"/>
    <x v="4"/>
    <x v="4"/>
    <x v="0"/>
    <x v="0"/>
    <x v="4"/>
    <x v="4"/>
    <x v="4"/>
    <x v="3"/>
    <x v="4"/>
    <x v="4"/>
    <x v="4"/>
    <x v="4"/>
    <x v="4"/>
    <x v="4"/>
    <x v="4"/>
    <x v="1"/>
    <x v="0"/>
    <x v="0"/>
    <x v="3"/>
    <x v="4"/>
    <x v="4"/>
    <x v="4"/>
    <x v="4"/>
    <x v="4"/>
    <x v="4"/>
    <x v="0"/>
    <x v="4"/>
    <x v="4"/>
    <x v="0"/>
    <x v="0"/>
    <x v="1"/>
    <x v="4"/>
    <x v="0"/>
    <x v="0"/>
    <x v="4"/>
    <x v="4"/>
    <x v="0"/>
    <x v="0"/>
    <x v="1"/>
    <x v="0"/>
    <x v="0"/>
    <x v="0"/>
    <x v="0"/>
    <x v="0"/>
    <x v="0"/>
    <x v="4"/>
    <x v="4"/>
    <x v="4"/>
    <x v="4"/>
    <x v="4"/>
  </r>
  <r>
    <x v="0"/>
    <x v="5"/>
    <x v="4"/>
    <x v="5"/>
    <x v="5"/>
    <x v="5"/>
    <x v="5"/>
    <x v="5"/>
    <x v="5"/>
    <x v="5"/>
    <x v="0"/>
    <x v="0"/>
    <x v="5"/>
    <x v="5"/>
    <x v="5"/>
    <x v="3"/>
    <x v="5"/>
    <x v="5"/>
    <x v="5"/>
    <x v="5"/>
    <x v="1"/>
    <x v="5"/>
    <x v="5"/>
    <x v="3"/>
    <x v="0"/>
    <x v="0"/>
    <x v="4"/>
    <x v="5"/>
    <x v="5"/>
    <x v="5"/>
    <x v="5"/>
    <x v="5"/>
    <x v="5"/>
    <x v="0"/>
    <x v="5"/>
    <x v="5"/>
    <x v="0"/>
    <x v="2"/>
    <x v="0"/>
    <x v="5"/>
    <x v="0"/>
    <x v="0"/>
    <x v="5"/>
    <x v="5"/>
    <x v="0"/>
    <x v="0"/>
    <x v="1"/>
    <x v="0"/>
    <x v="1"/>
    <x v="0"/>
    <x v="0"/>
    <x v="0"/>
    <x v="0"/>
    <x v="5"/>
    <x v="5"/>
    <x v="5"/>
    <x v="5"/>
    <x v="5"/>
  </r>
  <r>
    <x v="0"/>
    <x v="6"/>
    <x v="5"/>
    <x v="3"/>
    <x v="6"/>
    <x v="6"/>
    <x v="6"/>
    <x v="6"/>
    <x v="6"/>
    <x v="6"/>
    <x v="0"/>
    <x v="0"/>
    <x v="6"/>
    <x v="6"/>
    <x v="6"/>
    <x v="2"/>
    <x v="6"/>
    <x v="6"/>
    <x v="6"/>
    <x v="6"/>
    <x v="5"/>
    <x v="6"/>
    <x v="6"/>
    <x v="4"/>
    <x v="0"/>
    <x v="0"/>
    <x v="5"/>
    <x v="6"/>
    <x v="6"/>
    <x v="4"/>
    <x v="6"/>
    <x v="1"/>
    <x v="6"/>
    <x v="0"/>
    <x v="6"/>
    <x v="6"/>
    <x v="0"/>
    <x v="3"/>
    <x v="0"/>
    <x v="6"/>
    <x v="0"/>
    <x v="0"/>
    <x v="6"/>
    <x v="6"/>
    <x v="0"/>
    <x v="0"/>
    <x v="1"/>
    <x v="0"/>
    <x v="1"/>
    <x v="0"/>
    <x v="0"/>
    <x v="0"/>
    <x v="0"/>
    <x v="6"/>
    <x v="3"/>
    <x v="3"/>
    <x v="3"/>
    <x v="3"/>
  </r>
  <r>
    <x v="0"/>
    <x v="7"/>
    <x v="6"/>
    <x v="6"/>
    <x v="7"/>
    <x v="7"/>
    <x v="7"/>
    <x v="7"/>
    <x v="7"/>
    <x v="7"/>
    <x v="0"/>
    <x v="0"/>
    <x v="7"/>
    <x v="7"/>
    <x v="7"/>
    <x v="3"/>
    <x v="7"/>
    <x v="7"/>
    <x v="7"/>
    <x v="7"/>
    <x v="3"/>
    <x v="7"/>
    <x v="7"/>
    <x v="5"/>
    <x v="0"/>
    <x v="2"/>
    <x v="6"/>
    <x v="7"/>
    <x v="7"/>
    <x v="2"/>
    <x v="7"/>
    <x v="6"/>
    <x v="7"/>
    <x v="0"/>
    <x v="7"/>
    <x v="7"/>
    <x v="0"/>
    <x v="1"/>
    <x v="0"/>
    <x v="7"/>
    <x v="0"/>
    <x v="0"/>
    <x v="7"/>
    <x v="7"/>
    <x v="1"/>
    <x v="0"/>
    <x v="1"/>
    <x v="0"/>
    <x v="0"/>
    <x v="0"/>
    <x v="1"/>
    <x v="0"/>
    <x v="0"/>
    <x v="0"/>
    <x v="0"/>
    <x v="0"/>
    <x v="6"/>
    <x v="6"/>
  </r>
  <r>
    <x v="0"/>
    <x v="8"/>
    <x v="7"/>
    <x v="7"/>
    <x v="1"/>
    <x v="1"/>
    <x v="8"/>
    <x v="8"/>
    <x v="8"/>
    <x v="8"/>
    <x v="0"/>
    <x v="0"/>
    <x v="8"/>
    <x v="8"/>
    <x v="8"/>
    <x v="4"/>
    <x v="8"/>
    <x v="8"/>
    <x v="8"/>
    <x v="8"/>
    <x v="0"/>
    <x v="8"/>
    <x v="8"/>
    <x v="6"/>
    <x v="0"/>
    <x v="0"/>
    <x v="7"/>
    <x v="8"/>
    <x v="8"/>
    <x v="1"/>
    <x v="8"/>
    <x v="7"/>
    <x v="8"/>
    <x v="0"/>
    <x v="8"/>
    <x v="8"/>
    <x v="0"/>
    <x v="4"/>
    <x v="0"/>
    <x v="1"/>
    <x v="0"/>
    <x v="1"/>
    <x v="1"/>
    <x v="1"/>
    <x v="0"/>
    <x v="0"/>
    <x v="1"/>
    <x v="0"/>
    <x v="0"/>
    <x v="0"/>
    <x v="0"/>
    <x v="0"/>
    <x v="0"/>
    <x v="0"/>
    <x v="6"/>
    <x v="6"/>
    <x v="7"/>
    <x v="7"/>
  </r>
  <r>
    <x v="0"/>
    <x v="9"/>
    <x v="8"/>
    <x v="8"/>
    <x v="0"/>
    <x v="0"/>
    <x v="9"/>
    <x v="9"/>
    <x v="9"/>
    <x v="9"/>
    <x v="0"/>
    <x v="0"/>
    <x v="9"/>
    <x v="9"/>
    <x v="9"/>
    <x v="1"/>
    <x v="9"/>
    <x v="9"/>
    <x v="9"/>
    <x v="9"/>
    <x v="3"/>
    <x v="9"/>
    <x v="9"/>
    <x v="0"/>
    <x v="0"/>
    <x v="0"/>
    <x v="0"/>
    <x v="9"/>
    <x v="9"/>
    <x v="2"/>
    <x v="9"/>
    <x v="8"/>
    <x v="9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7"/>
    <x v="7"/>
    <x v="8"/>
    <x v="8"/>
  </r>
  <r>
    <x v="0"/>
    <x v="10"/>
    <x v="9"/>
    <x v="9"/>
    <x v="8"/>
    <x v="8"/>
    <x v="10"/>
    <x v="10"/>
    <x v="10"/>
    <x v="10"/>
    <x v="0"/>
    <x v="0"/>
    <x v="10"/>
    <x v="10"/>
    <x v="10"/>
    <x v="3"/>
    <x v="10"/>
    <x v="10"/>
    <x v="10"/>
    <x v="10"/>
    <x v="6"/>
    <x v="10"/>
    <x v="10"/>
    <x v="3"/>
    <x v="0"/>
    <x v="0"/>
    <x v="8"/>
    <x v="10"/>
    <x v="3"/>
    <x v="2"/>
    <x v="3"/>
    <x v="2"/>
    <x v="10"/>
    <x v="0"/>
    <x v="9"/>
    <x v="9"/>
    <x v="0"/>
    <x v="0"/>
    <x v="0"/>
    <x v="8"/>
    <x v="0"/>
    <x v="0"/>
    <x v="8"/>
    <x v="8"/>
    <x v="1"/>
    <x v="0"/>
    <x v="0"/>
    <x v="0"/>
    <x v="0"/>
    <x v="0"/>
    <x v="1"/>
    <x v="0"/>
    <x v="0"/>
    <x v="7"/>
    <x v="0"/>
    <x v="0"/>
    <x v="9"/>
    <x v="9"/>
  </r>
  <r>
    <x v="0"/>
    <x v="11"/>
    <x v="10"/>
    <x v="10"/>
    <x v="9"/>
    <x v="9"/>
    <x v="11"/>
    <x v="11"/>
    <x v="11"/>
    <x v="11"/>
    <x v="0"/>
    <x v="0"/>
    <x v="11"/>
    <x v="11"/>
    <x v="11"/>
    <x v="5"/>
    <x v="11"/>
    <x v="11"/>
    <x v="11"/>
    <x v="11"/>
    <x v="5"/>
    <x v="11"/>
    <x v="11"/>
    <x v="0"/>
    <x v="0"/>
    <x v="0"/>
    <x v="0"/>
    <x v="11"/>
    <x v="10"/>
    <x v="6"/>
    <x v="0"/>
    <x v="0"/>
    <x v="11"/>
    <x v="0"/>
    <x v="10"/>
    <x v="10"/>
    <x v="0"/>
    <x v="1"/>
    <x v="0"/>
    <x v="9"/>
    <x v="0"/>
    <x v="0"/>
    <x v="9"/>
    <x v="9"/>
    <x v="1"/>
    <x v="0"/>
    <x v="1"/>
    <x v="0"/>
    <x v="0"/>
    <x v="0"/>
    <x v="0"/>
    <x v="0"/>
    <x v="0"/>
    <x v="0"/>
    <x v="8"/>
    <x v="8"/>
    <x v="10"/>
    <x v="10"/>
  </r>
  <r>
    <x v="0"/>
    <x v="12"/>
    <x v="11"/>
    <x v="11"/>
    <x v="10"/>
    <x v="10"/>
    <x v="12"/>
    <x v="12"/>
    <x v="12"/>
    <x v="12"/>
    <x v="0"/>
    <x v="0"/>
    <x v="12"/>
    <x v="12"/>
    <x v="12"/>
    <x v="3"/>
    <x v="12"/>
    <x v="12"/>
    <x v="12"/>
    <x v="12"/>
    <x v="1"/>
    <x v="12"/>
    <x v="12"/>
    <x v="7"/>
    <x v="0"/>
    <x v="0"/>
    <x v="9"/>
    <x v="12"/>
    <x v="11"/>
    <x v="6"/>
    <x v="10"/>
    <x v="1"/>
    <x v="12"/>
    <x v="0"/>
    <x v="11"/>
    <x v="11"/>
    <x v="0"/>
    <x v="5"/>
    <x v="1"/>
    <x v="10"/>
    <x v="0"/>
    <x v="0"/>
    <x v="10"/>
    <x v="10"/>
    <x v="1"/>
    <x v="0"/>
    <x v="1"/>
    <x v="0"/>
    <x v="0"/>
    <x v="0"/>
    <x v="0"/>
    <x v="0"/>
    <x v="0"/>
    <x v="8"/>
    <x v="9"/>
    <x v="9"/>
    <x v="11"/>
    <x v="11"/>
  </r>
  <r>
    <x v="0"/>
    <x v="13"/>
    <x v="0"/>
    <x v="12"/>
    <x v="0"/>
    <x v="0"/>
    <x v="13"/>
    <x v="13"/>
    <x v="13"/>
    <x v="13"/>
    <x v="0"/>
    <x v="0"/>
    <x v="13"/>
    <x v="13"/>
    <x v="13"/>
    <x v="5"/>
    <x v="13"/>
    <x v="13"/>
    <x v="13"/>
    <x v="13"/>
    <x v="1"/>
    <x v="13"/>
    <x v="13"/>
    <x v="2"/>
    <x v="0"/>
    <x v="0"/>
    <x v="0"/>
    <x v="13"/>
    <x v="12"/>
    <x v="6"/>
    <x v="6"/>
    <x v="9"/>
    <x v="13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0"/>
    <x v="10"/>
    <x v="12"/>
    <x v="12"/>
  </r>
  <r>
    <x v="0"/>
    <x v="14"/>
    <x v="0"/>
    <x v="13"/>
    <x v="11"/>
    <x v="11"/>
    <x v="14"/>
    <x v="14"/>
    <x v="14"/>
    <x v="14"/>
    <x v="0"/>
    <x v="0"/>
    <x v="14"/>
    <x v="14"/>
    <x v="14"/>
    <x v="5"/>
    <x v="14"/>
    <x v="14"/>
    <x v="14"/>
    <x v="14"/>
    <x v="2"/>
    <x v="14"/>
    <x v="14"/>
    <x v="0"/>
    <x v="0"/>
    <x v="0"/>
    <x v="1"/>
    <x v="14"/>
    <x v="13"/>
    <x v="2"/>
    <x v="11"/>
    <x v="10"/>
    <x v="14"/>
    <x v="0"/>
    <x v="12"/>
    <x v="12"/>
    <x v="0"/>
    <x v="1"/>
    <x v="0"/>
    <x v="11"/>
    <x v="0"/>
    <x v="0"/>
    <x v="11"/>
    <x v="11"/>
    <x v="0"/>
    <x v="0"/>
    <x v="0"/>
    <x v="0"/>
    <x v="0"/>
    <x v="0"/>
    <x v="0"/>
    <x v="0"/>
    <x v="0"/>
    <x v="0"/>
    <x v="7"/>
    <x v="7"/>
    <x v="13"/>
    <x v="13"/>
  </r>
  <r>
    <x v="0"/>
    <x v="15"/>
    <x v="9"/>
    <x v="9"/>
    <x v="12"/>
    <x v="12"/>
    <x v="15"/>
    <x v="15"/>
    <x v="15"/>
    <x v="15"/>
    <x v="1"/>
    <x v="0"/>
    <x v="15"/>
    <x v="15"/>
    <x v="15"/>
    <x v="6"/>
    <x v="15"/>
    <x v="15"/>
    <x v="15"/>
    <x v="15"/>
    <x v="7"/>
    <x v="15"/>
    <x v="15"/>
    <x v="8"/>
    <x v="0"/>
    <x v="0"/>
    <x v="10"/>
    <x v="15"/>
    <x v="14"/>
    <x v="6"/>
    <x v="12"/>
    <x v="0"/>
    <x v="15"/>
    <x v="0"/>
    <x v="13"/>
    <x v="13"/>
    <x v="0"/>
    <x v="0"/>
    <x v="0"/>
    <x v="12"/>
    <x v="0"/>
    <x v="0"/>
    <x v="12"/>
    <x v="12"/>
    <x v="1"/>
    <x v="1"/>
    <x v="1"/>
    <x v="0"/>
    <x v="0"/>
    <x v="0"/>
    <x v="1"/>
    <x v="0"/>
    <x v="0"/>
    <x v="1"/>
    <x v="11"/>
    <x v="11"/>
    <x v="14"/>
    <x v="14"/>
  </r>
  <r>
    <x v="0"/>
    <x v="16"/>
    <x v="12"/>
    <x v="14"/>
    <x v="13"/>
    <x v="13"/>
    <x v="16"/>
    <x v="16"/>
    <x v="16"/>
    <x v="16"/>
    <x v="0"/>
    <x v="0"/>
    <x v="16"/>
    <x v="16"/>
    <x v="16"/>
    <x v="5"/>
    <x v="16"/>
    <x v="16"/>
    <x v="16"/>
    <x v="16"/>
    <x v="3"/>
    <x v="16"/>
    <x v="16"/>
    <x v="2"/>
    <x v="0"/>
    <x v="0"/>
    <x v="0"/>
    <x v="16"/>
    <x v="15"/>
    <x v="0"/>
    <x v="13"/>
    <x v="11"/>
    <x v="16"/>
    <x v="0"/>
    <x v="14"/>
    <x v="14"/>
    <x v="0"/>
    <x v="6"/>
    <x v="0"/>
    <x v="13"/>
    <x v="0"/>
    <x v="0"/>
    <x v="13"/>
    <x v="13"/>
    <x v="1"/>
    <x v="1"/>
    <x v="1"/>
    <x v="0"/>
    <x v="0"/>
    <x v="0"/>
    <x v="1"/>
    <x v="0"/>
    <x v="1"/>
    <x v="1"/>
    <x v="12"/>
    <x v="12"/>
    <x v="15"/>
    <x v="15"/>
  </r>
  <r>
    <x v="0"/>
    <x v="17"/>
    <x v="13"/>
    <x v="15"/>
    <x v="14"/>
    <x v="14"/>
    <x v="17"/>
    <x v="17"/>
    <x v="17"/>
    <x v="17"/>
    <x v="0"/>
    <x v="0"/>
    <x v="17"/>
    <x v="17"/>
    <x v="17"/>
    <x v="5"/>
    <x v="17"/>
    <x v="17"/>
    <x v="17"/>
    <x v="17"/>
    <x v="7"/>
    <x v="1"/>
    <x v="17"/>
    <x v="1"/>
    <x v="0"/>
    <x v="0"/>
    <x v="10"/>
    <x v="17"/>
    <x v="16"/>
    <x v="2"/>
    <x v="14"/>
    <x v="12"/>
    <x v="17"/>
    <x v="0"/>
    <x v="15"/>
    <x v="15"/>
    <x v="0"/>
    <x v="0"/>
    <x v="0"/>
    <x v="14"/>
    <x v="0"/>
    <x v="0"/>
    <x v="14"/>
    <x v="14"/>
    <x v="1"/>
    <x v="0"/>
    <x v="1"/>
    <x v="0"/>
    <x v="0"/>
    <x v="0"/>
    <x v="1"/>
    <x v="0"/>
    <x v="0"/>
    <x v="9"/>
    <x v="13"/>
    <x v="13"/>
    <x v="16"/>
    <x v="16"/>
  </r>
  <r>
    <x v="0"/>
    <x v="18"/>
    <x v="14"/>
    <x v="16"/>
    <x v="15"/>
    <x v="15"/>
    <x v="18"/>
    <x v="18"/>
    <x v="18"/>
    <x v="18"/>
    <x v="0"/>
    <x v="0"/>
    <x v="18"/>
    <x v="18"/>
    <x v="18"/>
    <x v="5"/>
    <x v="18"/>
    <x v="18"/>
    <x v="18"/>
    <x v="18"/>
    <x v="3"/>
    <x v="17"/>
    <x v="18"/>
    <x v="9"/>
    <x v="0"/>
    <x v="3"/>
    <x v="11"/>
    <x v="18"/>
    <x v="17"/>
    <x v="6"/>
    <x v="15"/>
    <x v="0"/>
    <x v="18"/>
    <x v="0"/>
    <x v="16"/>
    <x v="16"/>
    <x v="0"/>
    <x v="2"/>
    <x v="0"/>
    <x v="15"/>
    <x v="0"/>
    <x v="0"/>
    <x v="15"/>
    <x v="15"/>
    <x v="0"/>
    <x v="0"/>
    <x v="1"/>
    <x v="0"/>
    <x v="1"/>
    <x v="0"/>
    <x v="0"/>
    <x v="0"/>
    <x v="0"/>
    <x v="0"/>
    <x v="14"/>
    <x v="14"/>
    <x v="17"/>
    <x v="17"/>
  </r>
  <r>
    <x v="0"/>
    <x v="19"/>
    <x v="15"/>
    <x v="17"/>
    <x v="16"/>
    <x v="16"/>
    <x v="19"/>
    <x v="19"/>
    <x v="19"/>
    <x v="19"/>
    <x v="0"/>
    <x v="0"/>
    <x v="19"/>
    <x v="19"/>
    <x v="19"/>
    <x v="5"/>
    <x v="19"/>
    <x v="19"/>
    <x v="19"/>
    <x v="19"/>
    <x v="8"/>
    <x v="18"/>
    <x v="19"/>
    <x v="10"/>
    <x v="0"/>
    <x v="0"/>
    <x v="12"/>
    <x v="19"/>
    <x v="18"/>
    <x v="6"/>
    <x v="16"/>
    <x v="0"/>
    <x v="19"/>
    <x v="0"/>
    <x v="17"/>
    <x v="17"/>
    <x v="0"/>
    <x v="5"/>
    <x v="0"/>
    <x v="16"/>
    <x v="0"/>
    <x v="0"/>
    <x v="16"/>
    <x v="16"/>
    <x v="1"/>
    <x v="0"/>
    <x v="1"/>
    <x v="0"/>
    <x v="0"/>
    <x v="0"/>
    <x v="0"/>
    <x v="0"/>
    <x v="0"/>
    <x v="0"/>
    <x v="14"/>
    <x v="14"/>
    <x v="18"/>
    <x v="18"/>
  </r>
  <r>
    <x v="0"/>
    <x v="20"/>
    <x v="8"/>
    <x v="18"/>
    <x v="17"/>
    <x v="17"/>
    <x v="20"/>
    <x v="20"/>
    <x v="20"/>
    <x v="20"/>
    <x v="0"/>
    <x v="0"/>
    <x v="20"/>
    <x v="20"/>
    <x v="20"/>
    <x v="5"/>
    <x v="20"/>
    <x v="20"/>
    <x v="20"/>
    <x v="20"/>
    <x v="6"/>
    <x v="19"/>
    <x v="8"/>
    <x v="11"/>
    <x v="0"/>
    <x v="0"/>
    <x v="0"/>
    <x v="20"/>
    <x v="19"/>
    <x v="2"/>
    <x v="17"/>
    <x v="6"/>
    <x v="20"/>
    <x v="0"/>
    <x v="18"/>
    <x v="18"/>
    <x v="0"/>
    <x v="1"/>
    <x v="0"/>
    <x v="17"/>
    <x v="0"/>
    <x v="0"/>
    <x v="17"/>
    <x v="17"/>
    <x v="1"/>
    <x v="0"/>
    <x v="0"/>
    <x v="0"/>
    <x v="0"/>
    <x v="0"/>
    <x v="0"/>
    <x v="0"/>
    <x v="0"/>
    <x v="0"/>
    <x v="15"/>
    <x v="15"/>
    <x v="19"/>
    <x v="19"/>
  </r>
  <r>
    <x v="0"/>
    <x v="21"/>
    <x v="0"/>
    <x v="19"/>
    <x v="18"/>
    <x v="18"/>
    <x v="21"/>
    <x v="21"/>
    <x v="21"/>
    <x v="21"/>
    <x v="0"/>
    <x v="0"/>
    <x v="21"/>
    <x v="21"/>
    <x v="21"/>
    <x v="5"/>
    <x v="21"/>
    <x v="21"/>
    <x v="21"/>
    <x v="21"/>
    <x v="8"/>
    <x v="20"/>
    <x v="20"/>
    <x v="12"/>
    <x v="1"/>
    <x v="0"/>
    <x v="1"/>
    <x v="21"/>
    <x v="20"/>
    <x v="2"/>
    <x v="18"/>
    <x v="1"/>
    <x v="21"/>
    <x v="0"/>
    <x v="19"/>
    <x v="19"/>
    <x v="0"/>
    <x v="0"/>
    <x v="0"/>
    <x v="18"/>
    <x v="0"/>
    <x v="2"/>
    <x v="18"/>
    <x v="18"/>
    <x v="1"/>
    <x v="1"/>
    <x v="1"/>
    <x v="0"/>
    <x v="0"/>
    <x v="0"/>
    <x v="0"/>
    <x v="0"/>
    <x v="0"/>
    <x v="1"/>
    <x v="16"/>
    <x v="16"/>
    <x v="20"/>
    <x v="20"/>
  </r>
  <r>
    <x v="0"/>
    <x v="22"/>
    <x v="0"/>
    <x v="20"/>
    <x v="11"/>
    <x v="11"/>
    <x v="22"/>
    <x v="22"/>
    <x v="22"/>
    <x v="22"/>
    <x v="0"/>
    <x v="0"/>
    <x v="22"/>
    <x v="22"/>
    <x v="22"/>
    <x v="5"/>
    <x v="22"/>
    <x v="22"/>
    <x v="22"/>
    <x v="22"/>
    <x v="8"/>
    <x v="21"/>
    <x v="21"/>
    <x v="0"/>
    <x v="2"/>
    <x v="0"/>
    <x v="0"/>
    <x v="22"/>
    <x v="21"/>
    <x v="2"/>
    <x v="19"/>
    <x v="13"/>
    <x v="22"/>
    <x v="0"/>
    <x v="20"/>
    <x v="20"/>
    <x v="0"/>
    <x v="7"/>
    <x v="0"/>
    <x v="19"/>
    <x v="0"/>
    <x v="0"/>
    <x v="19"/>
    <x v="19"/>
    <x v="1"/>
    <x v="0"/>
    <x v="0"/>
    <x v="0"/>
    <x v="0"/>
    <x v="0"/>
    <x v="0"/>
    <x v="0"/>
    <x v="0"/>
    <x v="0"/>
    <x v="17"/>
    <x v="17"/>
    <x v="21"/>
    <x v="21"/>
  </r>
  <r>
    <x v="0"/>
    <x v="23"/>
    <x v="9"/>
    <x v="9"/>
    <x v="12"/>
    <x v="12"/>
    <x v="23"/>
    <x v="23"/>
    <x v="23"/>
    <x v="23"/>
    <x v="0"/>
    <x v="0"/>
    <x v="23"/>
    <x v="23"/>
    <x v="23"/>
    <x v="7"/>
    <x v="23"/>
    <x v="23"/>
    <x v="23"/>
    <x v="23"/>
    <x v="7"/>
    <x v="22"/>
    <x v="22"/>
    <x v="13"/>
    <x v="0"/>
    <x v="0"/>
    <x v="13"/>
    <x v="23"/>
    <x v="22"/>
    <x v="0"/>
    <x v="20"/>
    <x v="1"/>
    <x v="23"/>
    <x v="0"/>
    <x v="21"/>
    <x v="21"/>
    <x v="0"/>
    <x v="8"/>
    <x v="0"/>
    <x v="12"/>
    <x v="0"/>
    <x v="0"/>
    <x v="12"/>
    <x v="12"/>
    <x v="1"/>
    <x v="1"/>
    <x v="1"/>
    <x v="0"/>
    <x v="0"/>
    <x v="0"/>
    <x v="1"/>
    <x v="0"/>
    <x v="0"/>
    <x v="1"/>
    <x v="18"/>
    <x v="18"/>
    <x v="22"/>
    <x v="22"/>
  </r>
  <r>
    <x v="0"/>
    <x v="24"/>
    <x v="9"/>
    <x v="9"/>
    <x v="19"/>
    <x v="19"/>
    <x v="24"/>
    <x v="24"/>
    <x v="24"/>
    <x v="24"/>
    <x v="2"/>
    <x v="0"/>
    <x v="24"/>
    <x v="24"/>
    <x v="24"/>
    <x v="8"/>
    <x v="24"/>
    <x v="24"/>
    <x v="24"/>
    <x v="24"/>
    <x v="1"/>
    <x v="23"/>
    <x v="23"/>
    <x v="14"/>
    <x v="0"/>
    <x v="0"/>
    <x v="1"/>
    <x v="24"/>
    <x v="23"/>
    <x v="5"/>
    <x v="21"/>
    <x v="14"/>
    <x v="24"/>
    <x v="0"/>
    <x v="22"/>
    <x v="22"/>
    <x v="0"/>
    <x v="0"/>
    <x v="0"/>
    <x v="20"/>
    <x v="0"/>
    <x v="0"/>
    <x v="20"/>
    <x v="20"/>
    <x v="1"/>
    <x v="0"/>
    <x v="0"/>
    <x v="0"/>
    <x v="0"/>
    <x v="0"/>
    <x v="1"/>
    <x v="0"/>
    <x v="0"/>
    <x v="2"/>
    <x v="8"/>
    <x v="8"/>
    <x v="23"/>
    <x v="23"/>
  </r>
  <r>
    <x v="0"/>
    <x v="25"/>
    <x v="16"/>
    <x v="21"/>
    <x v="20"/>
    <x v="20"/>
    <x v="25"/>
    <x v="25"/>
    <x v="25"/>
    <x v="25"/>
    <x v="0"/>
    <x v="0"/>
    <x v="25"/>
    <x v="25"/>
    <x v="25"/>
    <x v="1"/>
    <x v="25"/>
    <x v="25"/>
    <x v="25"/>
    <x v="25"/>
    <x v="1"/>
    <x v="24"/>
    <x v="24"/>
    <x v="5"/>
    <x v="0"/>
    <x v="0"/>
    <x v="14"/>
    <x v="25"/>
    <x v="24"/>
    <x v="2"/>
    <x v="22"/>
    <x v="0"/>
    <x v="25"/>
    <x v="0"/>
    <x v="23"/>
    <x v="23"/>
    <x v="0"/>
    <x v="8"/>
    <x v="0"/>
    <x v="21"/>
    <x v="0"/>
    <x v="0"/>
    <x v="21"/>
    <x v="21"/>
    <x v="1"/>
    <x v="0"/>
    <x v="1"/>
    <x v="0"/>
    <x v="0"/>
    <x v="0"/>
    <x v="0"/>
    <x v="0"/>
    <x v="0"/>
    <x v="0"/>
    <x v="19"/>
    <x v="19"/>
    <x v="24"/>
    <x v="24"/>
  </r>
  <r>
    <x v="0"/>
    <x v="26"/>
    <x v="17"/>
    <x v="22"/>
    <x v="17"/>
    <x v="17"/>
    <x v="26"/>
    <x v="26"/>
    <x v="26"/>
    <x v="26"/>
    <x v="0"/>
    <x v="0"/>
    <x v="26"/>
    <x v="26"/>
    <x v="26"/>
    <x v="5"/>
    <x v="26"/>
    <x v="26"/>
    <x v="26"/>
    <x v="26"/>
    <x v="3"/>
    <x v="25"/>
    <x v="25"/>
    <x v="11"/>
    <x v="0"/>
    <x v="0"/>
    <x v="0"/>
    <x v="26"/>
    <x v="23"/>
    <x v="6"/>
    <x v="23"/>
    <x v="1"/>
    <x v="26"/>
    <x v="0"/>
    <x v="24"/>
    <x v="24"/>
    <x v="0"/>
    <x v="0"/>
    <x v="0"/>
    <x v="17"/>
    <x v="0"/>
    <x v="0"/>
    <x v="17"/>
    <x v="17"/>
    <x v="1"/>
    <x v="0"/>
    <x v="1"/>
    <x v="0"/>
    <x v="0"/>
    <x v="0"/>
    <x v="0"/>
    <x v="0"/>
    <x v="0"/>
    <x v="0"/>
    <x v="20"/>
    <x v="20"/>
    <x v="25"/>
    <x v="25"/>
  </r>
  <r>
    <x v="0"/>
    <x v="27"/>
    <x v="9"/>
    <x v="9"/>
    <x v="21"/>
    <x v="21"/>
    <x v="27"/>
    <x v="27"/>
    <x v="27"/>
    <x v="27"/>
    <x v="3"/>
    <x v="0"/>
    <x v="27"/>
    <x v="27"/>
    <x v="27"/>
    <x v="9"/>
    <x v="27"/>
    <x v="27"/>
    <x v="27"/>
    <x v="27"/>
    <x v="7"/>
    <x v="26"/>
    <x v="26"/>
    <x v="5"/>
    <x v="0"/>
    <x v="0"/>
    <x v="0"/>
    <x v="27"/>
    <x v="25"/>
    <x v="0"/>
    <x v="24"/>
    <x v="11"/>
    <x v="27"/>
    <x v="0"/>
    <x v="14"/>
    <x v="14"/>
    <x v="0"/>
    <x v="0"/>
    <x v="0"/>
    <x v="22"/>
    <x v="0"/>
    <x v="0"/>
    <x v="22"/>
    <x v="22"/>
    <x v="1"/>
    <x v="1"/>
    <x v="1"/>
    <x v="0"/>
    <x v="1"/>
    <x v="0"/>
    <x v="1"/>
    <x v="0"/>
    <x v="0"/>
    <x v="1"/>
    <x v="9"/>
    <x v="9"/>
    <x v="26"/>
    <x v="26"/>
  </r>
  <r>
    <x v="0"/>
    <x v="28"/>
    <x v="4"/>
    <x v="23"/>
    <x v="7"/>
    <x v="7"/>
    <x v="28"/>
    <x v="28"/>
    <x v="28"/>
    <x v="28"/>
    <x v="0"/>
    <x v="0"/>
    <x v="28"/>
    <x v="28"/>
    <x v="28"/>
    <x v="1"/>
    <x v="28"/>
    <x v="28"/>
    <x v="28"/>
    <x v="28"/>
    <x v="1"/>
    <x v="24"/>
    <x v="27"/>
    <x v="5"/>
    <x v="0"/>
    <x v="0"/>
    <x v="0"/>
    <x v="28"/>
    <x v="26"/>
    <x v="6"/>
    <x v="25"/>
    <x v="15"/>
    <x v="28"/>
    <x v="0"/>
    <x v="25"/>
    <x v="25"/>
    <x v="0"/>
    <x v="0"/>
    <x v="0"/>
    <x v="7"/>
    <x v="0"/>
    <x v="0"/>
    <x v="7"/>
    <x v="7"/>
    <x v="1"/>
    <x v="0"/>
    <x v="1"/>
    <x v="0"/>
    <x v="0"/>
    <x v="0"/>
    <x v="1"/>
    <x v="0"/>
    <x v="0"/>
    <x v="0"/>
    <x v="21"/>
    <x v="21"/>
    <x v="27"/>
    <x v="27"/>
  </r>
  <r>
    <x v="0"/>
    <x v="29"/>
    <x v="6"/>
    <x v="24"/>
    <x v="22"/>
    <x v="22"/>
    <x v="29"/>
    <x v="29"/>
    <x v="29"/>
    <x v="29"/>
    <x v="0"/>
    <x v="0"/>
    <x v="29"/>
    <x v="29"/>
    <x v="29"/>
    <x v="3"/>
    <x v="29"/>
    <x v="29"/>
    <x v="29"/>
    <x v="29"/>
    <x v="7"/>
    <x v="27"/>
    <x v="20"/>
    <x v="15"/>
    <x v="0"/>
    <x v="0"/>
    <x v="15"/>
    <x v="23"/>
    <x v="27"/>
    <x v="5"/>
    <x v="26"/>
    <x v="16"/>
    <x v="29"/>
    <x v="0"/>
    <x v="26"/>
    <x v="26"/>
    <x v="0"/>
    <x v="0"/>
    <x v="0"/>
    <x v="23"/>
    <x v="0"/>
    <x v="0"/>
    <x v="23"/>
    <x v="23"/>
    <x v="1"/>
    <x v="1"/>
    <x v="1"/>
    <x v="0"/>
    <x v="1"/>
    <x v="0"/>
    <x v="1"/>
    <x v="0"/>
    <x v="0"/>
    <x v="1"/>
    <x v="11"/>
    <x v="11"/>
    <x v="28"/>
    <x v="28"/>
  </r>
  <r>
    <x v="0"/>
    <x v="30"/>
    <x v="0"/>
    <x v="25"/>
    <x v="23"/>
    <x v="23"/>
    <x v="30"/>
    <x v="30"/>
    <x v="30"/>
    <x v="30"/>
    <x v="0"/>
    <x v="0"/>
    <x v="30"/>
    <x v="30"/>
    <x v="30"/>
    <x v="1"/>
    <x v="30"/>
    <x v="30"/>
    <x v="30"/>
    <x v="30"/>
    <x v="5"/>
    <x v="11"/>
    <x v="28"/>
    <x v="0"/>
    <x v="0"/>
    <x v="0"/>
    <x v="0"/>
    <x v="29"/>
    <x v="6"/>
    <x v="2"/>
    <x v="19"/>
    <x v="1"/>
    <x v="12"/>
    <x v="0"/>
    <x v="27"/>
    <x v="27"/>
    <x v="0"/>
    <x v="7"/>
    <x v="0"/>
    <x v="24"/>
    <x v="0"/>
    <x v="0"/>
    <x v="24"/>
    <x v="24"/>
    <x v="0"/>
    <x v="0"/>
    <x v="0"/>
    <x v="0"/>
    <x v="1"/>
    <x v="0"/>
    <x v="0"/>
    <x v="0"/>
    <x v="0"/>
    <x v="0"/>
    <x v="12"/>
    <x v="12"/>
    <x v="29"/>
    <x v="29"/>
  </r>
  <r>
    <x v="0"/>
    <x v="31"/>
    <x v="9"/>
    <x v="9"/>
    <x v="24"/>
    <x v="24"/>
    <x v="31"/>
    <x v="31"/>
    <x v="31"/>
    <x v="31"/>
    <x v="0"/>
    <x v="0"/>
    <x v="31"/>
    <x v="31"/>
    <x v="31"/>
    <x v="9"/>
    <x v="31"/>
    <x v="31"/>
    <x v="31"/>
    <x v="31"/>
    <x v="7"/>
    <x v="28"/>
    <x v="29"/>
    <x v="16"/>
    <x v="0"/>
    <x v="0"/>
    <x v="2"/>
    <x v="30"/>
    <x v="11"/>
    <x v="2"/>
    <x v="27"/>
    <x v="1"/>
    <x v="30"/>
    <x v="0"/>
    <x v="28"/>
    <x v="28"/>
    <x v="0"/>
    <x v="0"/>
    <x v="0"/>
    <x v="25"/>
    <x v="0"/>
    <x v="0"/>
    <x v="25"/>
    <x v="25"/>
    <x v="1"/>
    <x v="0"/>
    <x v="1"/>
    <x v="0"/>
    <x v="0"/>
    <x v="0"/>
    <x v="1"/>
    <x v="0"/>
    <x v="0"/>
    <x v="10"/>
    <x v="11"/>
    <x v="11"/>
    <x v="30"/>
    <x v="30"/>
  </r>
  <r>
    <x v="0"/>
    <x v="32"/>
    <x v="6"/>
    <x v="26"/>
    <x v="25"/>
    <x v="25"/>
    <x v="32"/>
    <x v="32"/>
    <x v="32"/>
    <x v="32"/>
    <x v="0"/>
    <x v="0"/>
    <x v="32"/>
    <x v="32"/>
    <x v="32"/>
    <x v="5"/>
    <x v="32"/>
    <x v="32"/>
    <x v="32"/>
    <x v="32"/>
    <x v="6"/>
    <x v="29"/>
    <x v="30"/>
    <x v="16"/>
    <x v="3"/>
    <x v="0"/>
    <x v="0"/>
    <x v="31"/>
    <x v="28"/>
    <x v="6"/>
    <x v="28"/>
    <x v="1"/>
    <x v="30"/>
    <x v="0"/>
    <x v="29"/>
    <x v="29"/>
    <x v="0"/>
    <x v="7"/>
    <x v="0"/>
    <x v="26"/>
    <x v="0"/>
    <x v="0"/>
    <x v="26"/>
    <x v="26"/>
    <x v="1"/>
    <x v="1"/>
    <x v="1"/>
    <x v="0"/>
    <x v="1"/>
    <x v="0"/>
    <x v="1"/>
    <x v="0"/>
    <x v="0"/>
    <x v="1"/>
    <x v="22"/>
    <x v="22"/>
    <x v="31"/>
    <x v="31"/>
  </r>
  <r>
    <x v="0"/>
    <x v="33"/>
    <x v="18"/>
    <x v="27"/>
    <x v="26"/>
    <x v="26"/>
    <x v="33"/>
    <x v="33"/>
    <x v="33"/>
    <x v="33"/>
    <x v="0"/>
    <x v="0"/>
    <x v="33"/>
    <x v="33"/>
    <x v="33"/>
    <x v="3"/>
    <x v="31"/>
    <x v="33"/>
    <x v="33"/>
    <x v="33"/>
    <x v="1"/>
    <x v="30"/>
    <x v="30"/>
    <x v="17"/>
    <x v="0"/>
    <x v="0"/>
    <x v="0"/>
    <x v="32"/>
    <x v="29"/>
    <x v="6"/>
    <x v="29"/>
    <x v="1"/>
    <x v="31"/>
    <x v="0"/>
    <x v="30"/>
    <x v="30"/>
    <x v="0"/>
    <x v="8"/>
    <x v="1"/>
    <x v="27"/>
    <x v="0"/>
    <x v="0"/>
    <x v="27"/>
    <x v="27"/>
    <x v="1"/>
    <x v="0"/>
    <x v="1"/>
    <x v="0"/>
    <x v="1"/>
    <x v="0"/>
    <x v="0"/>
    <x v="0"/>
    <x v="0"/>
    <x v="11"/>
    <x v="23"/>
    <x v="23"/>
    <x v="32"/>
    <x v="32"/>
  </r>
  <r>
    <x v="0"/>
    <x v="34"/>
    <x v="9"/>
    <x v="9"/>
    <x v="2"/>
    <x v="2"/>
    <x v="34"/>
    <x v="34"/>
    <x v="34"/>
    <x v="34"/>
    <x v="0"/>
    <x v="0"/>
    <x v="34"/>
    <x v="34"/>
    <x v="34"/>
    <x v="10"/>
    <x v="33"/>
    <x v="34"/>
    <x v="34"/>
    <x v="34"/>
    <x v="9"/>
    <x v="31"/>
    <x v="31"/>
    <x v="18"/>
    <x v="0"/>
    <x v="0"/>
    <x v="16"/>
    <x v="33"/>
    <x v="30"/>
    <x v="6"/>
    <x v="30"/>
    <x v="1"/>
    <x v="32"/>
    <x v="0"/>
    <x v="31"/>
    <x v="31"/>
    <x v="0"/>
    <x v="0"/>
    <x v="0"/>
    <x v="2"/>
    <x v="0"/>
    <x v="0"/>
    <x v="2"/>
    <x v="2"/>
    <x v="1"/>
    <x v="1"/>
    <x v="1"/>
    <x v="0"/>
    <x v="0"/>
    <x v="0"/>
    <x v="1"/>
    <x v="0"/>
    <x v="0"/>
    <x v="1"/>
    <x v="24"/>
    <x v="24"/>
    <x v="2"/>
    <x v="2"/>
  </r>
  <r>
    <x v="0"/>
    <x v="35"/>
    <x v="19"/>
    <x v="28"/>
    <x v="27"/>
    <x v="27"/>
    <x v="35"/>
    <x v="35"/>
    <x v="35"/>
    <x v="35"/>
    <x v="0"/>
    <x v="0"/>
    <x v="35"/>
    <x v="35"/>
    <x v="35"/>
    <x v="3"/>
    <x v="34"/>
    <x v="35"/>
    <x v="35"/>
    <x v="35"/>
    <x v="7"/>
    <x v="32"/>
    <x v="32"/>
    <x v="19"/>
    <x v="0"/>
    <x v="0"/>
    <x v="0"/>
    <x v="34"/>
    <x v="31"/>
    <x v="2"/>
    <x v="31"/>
    <x v="6"/>
    <x v="33"/>
    <x v="0"/>
    <x v="32"/>
    <x v="32"/>
    <x v="0"/>
    <x v="4"/>
    <x v="0"/>
    <x v="28"/>
    <x v="0"/>
    <x v="0"/>
    <x v="28"/>
    <x v="28"/>
    <x v="1"/>
    <x v="0"/>
    <x v="1"/>
    <x v="0"/>
    <x v="1"/>
    <x v="0"/>
    <x v="0"/>
    <x v="0"/>
    <x v="0"/>
    <x v="0"/>
    <x v="25"/>
    <x v="25"/>
    <x v="33"/>
    <x v="33"/>
  </r>
  <r>
    <x v="0"/>
    <x v="36"/>
    <x v="9"/>
    <x v="9"/>
    <x v="28"/>
    <x v="28"/>
    <x v="36"/>
    <x v="36"/>
    <x v="36"/>
    <x v="36"/>
    <x v="0"/>
    <x v="0"/>
    <x v="36"/>
    <x v="36"/>
    <x v="36"/>
    <x v="5"/>
    <x v="35"/>
    <x v="36"/>
    <x v="36"/>
    <x v="36"/>
    <x v="6"/>
    <x v="33"/>
    <x v="33"/>
    <x v="20"/>
    <x v="0"/>
    <x v="0"/>
    <x v="0"/>
    <x v="35"/>
    <x v="32"/>
    <x v="6"/>
    <x v="32"/>
    <x v="2"/>
    <x v="34"/>
    <x v="0"/>
    <x v="33"/>
    <x v="33"/>
    <x v="0"/>
    <x v="0"/>
    <x v="0"/>
    <x v="29"/>
    <x v="0"/>
    <x v="0"/>
    <x v="29"/>
    <x v="29"/>
    <x v="1"/>
    <x v="1"/>
    <x v="0"/>
    <x v="0"/>
    <x v="1"/>
    <x v="0"/>
    <x v="1"/>
    <x v="0"/>
    <x v="0"/>
    <x v="1"/>
    <x v="26"/>
    <x v="26"/>
    <x v="34"/>
    <x v="34"/>
  </r>
  <r>
    <x v="0"/>
    <x v="37"/>
    <x v="0"/>
    <x v="29"/>
    <x v="29"/>
    <x v="29"/>
    <x v="37"/>
    <x v="37"/>
    <x v="37"/>
    <x v="37"/>
    <x v="0"/>
    <x v="0"/>
    <x v="37"/>
    <x v="37"/>
    <x v="37"/>
    <x v="1"/>
    <x v="36"/>
    <x v="37"/>
    <x v="37"/>
    <x v="37"/>
    <x v="3"/>
    <x v="34"/>
    <x v="34"/>
    <x v="17"/>
    <x v="2"/>
    <x v="0"/>
    <x v="0"/>
    <x v="36"/>
    <x v="17"/>
    <x v="6"/>
    <x v="33"/>
    <x v="0"/>
    <x v="35"/>
    <x v="0"/>
    <x v="34"/>
    <x v="34"/>
    <x v="0"/>
    <x v="1"/>
    <x v="0"/>
    <x v="30"/>
    <x v="0"/>
    <x v="0"/>
    <x v="30"/>
    <x v="30"/>
    <x v="1"/>
    <x v="0"/>
    <x v="0"/>
    <x v="0"/>
    <x v="0"/>
    <x v="0"/>
    <x v="0"/>
    <x v="0"/>
    <x v="0"/>
    <x v="0"/>
    <x v="0"/>
    <x v="0"/>
    <x v="35"/>
    <x v="35"/>
  </r>
  <r>
    <x v="0"/>
    <x v="38"/>
    <x v="17"/>
    <x v="30"/>
    <x v="30"/>
    <x v="30"/>
    <x v="38"/>
    <x v="38"/>
    <x v="38"/>
    <x v="38"/>
    <x v="0"/>
    <x v="0"/>
    <x v="38"/>
    <x v="38"/>
    <x v="38"/>
    <x v="3"/>
    <x v="37"/>
    <x v="38"/>
    <x v="38"/>
    <x v="38"/>
    <x v="7"/>
    <x v="35"/>
    <x v="35"/>
    <x v="0"/>
    <x v="0"/>
    <x v="0"/>
    <x v="17"/>
    <x v="37"/>
    <x v="23"/>
    <x v="4"/>
    <x v="34"/>
    <x v="17"/>
    <x v="36"/>
    <x v="0"/>
    <x v="35"/>
    <x v="35"/>
    <x v="0"/>
    <x v="0"/>
    <x v="0"/>
    <x v="31"/>
    <x v="0"/>
    <x v="0"/>
    <x v="31"/>
    <x v="31"/>
    <x v="1"/>
    <x v="1"/>
    <x v="0"/>
    <x v="0"/>
    <x v="1"/>
    <x v="0"/>
    <x v="0"/>
    <x v="0"/>
    <x v="0"/>
    <x v="1"/>
    <x v="27"/>
    <x v="27"/>
    <x v="36"/>
    <x v="36"/>
  </r>
  <r>
    <x v="0"/>
    <x v="39"/>
    <x v="20"/>
    <x v="31"/>
    <x v="31"/>
    <x v="31"/>
    <x v="39"/>
    <x v="39"/>
    <x v="39"/>
    <x v="39"/>
    <x v="0"/>
    <x v="0"/>
    <x v="39"/>
    <x v="39"/>
    <x v="39"/>
    <x v="5"/>
    <x v="38"/>
    <x v="39"/>
    <x v="39"/>
    <x v="39"/>
    <x v="7"/>
    <x v="36"/>
    <x v="36"/>
    <x v="21"/>
    <x v="0"/>
    <x v="0"/>
    <x v="18"/>
    <x v="38"/>
    <x v="32"/>
    <x v="7"/>
    <x v="20"/>
    <x v="1"/>
    <x v="37"/>
    <x v="0"/>
    <x v="36"/>
    <x v="36"/>
    <x v="0"/>
    <x v="9"/>
    <x v="1"/>
    <x v="32"/>
    <x v="0"/>
    <x v="1"/>
    <x v="32"/>
    <x v="32"/>
    <x v="1"/>
    <x v="1"/>
    <x v="1"/>
    <x v="0"/>
    <x v="0"/>
    <x v="0"/>
    <x v="0"/>
    <x v="0"/>
    <x v="0"/>
    <x v="1"/>
    <x v="11"/>
    <x v="11"/>
    <x v="37"/>
    <x v="37"/>
  </r>
  <r>
    <x v="0"/>
    <x v="40"/>
    <x v="21"/>
    <x v="32"/>
    <x v="27"/>
    <x v="27"/>
    <x v="40"/>
    <x v="40"/>
    <x v="40"/>
    <x v="40"/>
    <x v="0"/>
    <x v="0"/>
    <x v="40"/>
    <x v="40"/>
    <x v="40"/>
    <x v="5"/>
    <x v="39"/>
    <x v="40"/>
    <x v="40"/>
    <x v="40"/>
    <x v="7"/>
    <x v="37"/>
    <x v="37"/>
    <x v="22"/>
    <x v="0"/>
    <x v="0"/>
    <x v="19"/>
    <x v="39"/>
    <x v="23"/>
    <x v="0"/>
    <x v="35"/>
    <x v="18"/>
    <x v="38"/>
    <x v="0"/>
    <x v="37"/>
    <x v="37"/>
    <x v="0"/>
    <x v="8"/>
    <x v="0"/>
    <x v="28"/>
    <x v="0"/>
    <x v="0"/>
    <x v="28"/>
    <x v="28"/>
    <x v="1"/>
    <x v="0"/>
    <x v="0"/>
    <x v="0"/>
    <x v="1"/>
    <x v="0"/>
    <x v="0"/>
    <x v="0"/>
    <x v="0"/>
    <x v="0"/>
    <x v="28"/>
    <x v="28"/>
    <x v="38"/>
    <x v="38"/>
  </r>
  <r>
    <x v="0"/>
    <x v="41"/>
    <x v="22"/>
    <x v="33"/>
    <x v="32"/>
    <x v="32"/>
    <x v="41"/>
    <x v="41"/>
    <x v="41"/>
    <x v="41"/>
    <x v="0"/>
    <x v="0"/>
    <x v="41"/>
    <x v="41"/>
    <x v="41"/>
    <x v="5"/>
    <x v="40"/>
    <x v="41"/>
    <x v="41"/>
    <x v="41"/>
    <x v="1"/>
    <x v="38"/>
    <x v="34"/>
    <x v="23"/>
    <x v="0"/>
    <x v="0"/>
    <x v="0"/>
    <x v="40"/>
    <x v="29"/>
    <x v="0"/>
    <x v="25"/>
    <x v="6"/>
    <x v="39"/>
    <x v="0"/>
    <x v="38"/>
    <x v="38"/>
    <x v="0"/>
    <x v="8"/>
    <x v="0"/>
    <x v="33"/>
    <x v="0"/>
    <x v="0"/>
    <x v="33"/>
    <x v="33"/>
    <x v="1"/>
    <x v="0"/>
    <x v="1"/>
    <x v="0"/>
    <x v="1"/>
    <x v="0"/>
    <x v="0"/>
    <x v="0"/>
    <x v="0"/>
    <x v="0"/>
    <x v="29"/>
    <x v="29"/>
    <x v="33"/>
    <x v="33"/>
  </r>
  <r>
    <x v="0"/>
    <x v="42"/>
    <x v="9"/>
    <x v="9"/>
    <x v="33"/>
    <x v="33"/>
    <x v="42"/>
    <x v="42"/>
    <x v="42"/>
    <x v="42"/>
    <x v="4"/>
    <x v="0"/>
    <x v="42"/>
    <x v="42"/>
    <x v="42"/>
    <x v="11"/>
    <x v="41"/>
    <x v="42"/>
    <x v="42"/>
    <x v="42"/>
    <x v="7"/>
    <x v="39"/>
    <x v="38"/>
    <x v="11"/>
    <x v="0"/>
    <x v="0"/>
    <x v="0"/>
    <x v="41"/>
    <x v="22"/>
    <x v="1"/>
    <x v="36"/>
    <x v="16"/>
    <x v="40"/>
    <x v="0"/>
    <x v="39"/>
    <x v="39"/>
    <x v="0"/>
    <x v="4"/>
    <x v="0"/>
    <x v="34"/>
    <x v="0"/>
    <x v="0"/>
    <x v="34"/>
    <x v="34"/>
    <x v="1"/>
    <x v="1"/>
    <x v="1"/>
    <x v="0"/>
    <x v="0"/>
    <x v="0"/>
    <x v="1"/>
    <x v="0"/>
    <x v="0"/>
    <x v="1"/>
    <x v="29"/>
    <x v="29"/>
    <x v="33"/>
    <x v="33"/>
  </r>
  <r>
    <x v="0"/>
    <x v="43"/>
    <x v="17"/>
    <x v="34"/>
    <x v="34"/>
    <x v="34"/>
    <x v="43"/>
    <x v="43"/>
    <x v="43"/>
    <x v="43"/>
    <x v="0"/>
    <x v="0"/>
    <x v="43"/>
    <x v="43"/>
    <x v="43"/>
    <x v="4"/>
    <x v="42"/>
    <x v="43"/>
    <x v="43"/>
    <x v="43"/>
    <x v="1"/>
    <x v="1"/>
    <x v="39"/>
    <x v="1"/>
    <x v="0"/>
    <x v="0"/>
    <x v="10"/>
    <x v="33"/>
    <x v="33"/>
    <x v="5"/>
    <x v="37"/>
    <x v="16"/>
    <x v="41"/>
    <x v="0"/>
    <x v="40"/>
    <x v="40"/>
    <x v="0"/>
    <x v="5"/>
    <x v="1"/>
    <x v="35"/>
    <x v="0"/>
    <x v="0"/>
    <x v="35"/>
    <x v="35"/>
    <x v="0"/>
    <x v="0"/>
    <x v="1"/>
    <x v="0"/>
    <x v="0"/>
    <x v="0"/>
    <x v="0"/>
    <x v="0"/>
    <x v="0"/>
    <x v="12"/>
    <x v="30"/>
    <x v="30"/>
    <x v="39"/>
    <x v="39"/>
  </r>
  <r>
    <x v="0"/>
    <x v="44"/>
    <x v="0"/>
    <x v="35"/>
    <x v="35"/>
    <x v="35"/>
    <x v="44"/>
    <x v="44"/>
    <x v="44"/>
    <x v="44"/>
    <x v="0"/>
    <x v="0"/>
    <x v="44"/>
    <x v="44"/>
    <x v="44"/>
    <x v="3"/>
    <x v="43"/>
    <x v="44"/>
    <x v="44"/>
    <x v="44"/>
    <x v="5"/>
    <x v="25"/>
    <x v="34"/>
    <x v="11"/>
    <x v="0"/>
    <x v="0"/>
    <x v="15"/>
    <x v="42"/>
    <x v="34"/>
    <x v="2"/>
    <x v="38"/>
    <x v="2"/>
    <x v="42"/>
    <x v="0"/>
    <x v="41"/>
    <x v="41"/>
    <x v="0"/>
    <x v="0"/>
    <x v="0"/>
    <x v="36"/>
    <x v="0"/>
    <x v="0"/>
    <x v="36"/>
    <x v="36"/>
    <x v="1"/>
    <x v="0"/>
    <x v="0"/>
    <x v="0"/>
    <x v="1"/>
    <x v="0"/>
    <x v="0"/>
    <x v="0"/>
    <x v="1"/>
    <x v="0"/>
    <x v="27"/>
    <x v="27"/>
    <x v="40"/>
    <x v="40"/>
  </r>
  <r>
    <x v="0"/>
    <x v="45"/>
    <x v="23"/>
    <x v="36"/>
    <x v="36"/>
    <x v="36"/>
    <x v="45"/>
    <x v="45"/>
    <x v="45"/>
    <x v="45"/>
    <x v="0"/>
    <x v="0"/>
    <x v="45"/>
    <x v="45"/>
    <x v="45"/>
    <x v="5"/>
    <x v="44"/>
    <x v="45"/>
    <x v="45"/>
    <x v="45"/>
    <x v="1"/>
    <x v="40"/>
    <x v="40"/>
    <x v="24"/>
    <x v="0"/>
    <x v="0"/>
    <x v="20"/>
    <x v="43"/>
    <x v="35"/>
    <x v="2"/>
    <x v="39"/>
    <x v="1"/>
    <x v="43"/>
    <x v="0"/>
    <x v="42"/>
    <x v="42"/>
    <x v="0"/>
    <x v="2"/>
    <x v="0"/>
    <x v="37"/>
    <x v="0"/>
    <x v="0"/>
    <x v="37"/>
    <x v="37"/>
    <x v="1"/>
    <x v="0"/>
    <x v="1"/>
    <x v="0"/>
    <x v="0"/>
    <x v="0"/>
    <x v="0"/>
    <x v="0"/>
    <x v="0"/>
    <x v="0"/>
    <x v="31"/>
    <x v="31"/>
    <x v="41"/>
    <x v="41"/>
  </r>
  <r>
    <x v="0"/>
    <x v="46"/>
    <x v="24"/>
    <x v="37"/>
    <x v="37"/>
    <x v="37"/>
    <x v="46"/>
    <x v="46"/>
    <x v="46"/>
    <x v="46"/>
    <x v="0"/>
    <x v="0"/>
    <x v="46"/>
    <x v="46"/>
    <x v="46"/>
    <x v="3"/>
    <x v="45"/>
    <x v="46"/>
    <x v="46"/>
    <x v="46"/>
    <x v="7"/>
    <x v="31"/>
    <x v="4"/>
    <x v="25"/>
    <x v="0"/>
    <x v="0"/>
    <x v="21"/>
    <x v="44"/>
    <x v="36"/>
    <x v="5"/>
    <x v="40"/>
    <x v="16"/>
    <x v="44"/>
    <x v="0"/>
    <x v="43"/>
    <x v="43"/>
    <x v="0"/>
    <x v="10"/>
    <x v="0"/>
    <x v="38"/>
    <x v="0"/>
    <x v="0"/>
    <x v="38"/>
    <x v="38"/>
    <x v="1"/>
    <x v="0"/>
    <x v="1"/>
    <x v="1"/>
    <x v="1"/>
    <x v="0"/>
    <x v="0"/>
    <x v="0"/>
    <x v="0"/>
    <x v="0"/>
    <x v="29"/>
    <x v="29"/>
    <x v="33"/>
    <x v="33"/>
  </r>
  <r>
    <x v="0"/>
    <x v="47"/>
    <x v="8"/>
    <x v="38"/>
    <x v="38"/>
    <x v="38"/>
    <x v="47"/>
    <x v="47"/>
    <x v="47"/>
    <x v="47"/>
    <x v="0"/>
    <x v="0"/>
    <x v="47"/>
    <x v="47"/>
    <x v="47"/>
    <x v="3"/>
    <x v="46"/>
    <x v="47"/>
    <x v="47"/>
    <x v="47"/>
    <x v="6"/>
    <x v="41"/>
    <x v="41"/>
    <x v="25"/>
    <x v="0"/>
    <x v="0"/>
    <x v="0"/>
    <x v="45"/>
    <x v="37"/>
    <x v="7"/>
    <x v="41"/>
    <x v="2"/>
    <x v="45"/>
    <x v="0"/>
    <x v="44"/>
    <x v="44"/>
    <x v="0"/>
    <x v="11"/>
    <x v="0"/>
    <x v="39"/>
    <x v="0"/>
    <x v="0"/>
    <x v="39"/>
    <x v="39"/>
    <x v="1"/>
    <x v="1"/>
    <x v="1"/>
    <x v="1"/>
    <x v="1"/>
    <x v="0"/>
    <x v="1"/>
    <x v="0"/>
    <x v="0"/>
    <x v="1"/>
    <x v="12"/>
    <x v="12"/>
    <x v="42"/>
    <x v="42"/>
  </r>
  <r>
    <x v="0"/>
    <x v="48"/>
    <x v="25"/>
    <x v="39"/>
    <x v="36"/>
    <x v="36"/>
    <x v="48"/>
    <x v="48"/>
    <x v="48"/>
    <x v="48"/>
    <x v="0"/>
    <x v="0"/>
    <x v="48"/>
    <x v="48"/>
    <x v="48"/>
    <x v="3"/>
    <x v="47"/>
    <x v="47"/>
    <x v="48"/>
    <x v="48"/>
    <x v="1"/>
    <x v="42"/>
    <x v="8"/>
    <x v="26"/>
    <x v="0"/>
    <x v="2"/>
    <x v="7"/>
    <x v="46"/>
    <x v="38"/>
    <x v="2"/>
    <x v="42"/>
    <x v="13"/>
    <x v="46"/>
    <x v="0"/>
    <x v="45"/>
    <x v="45"/>
    <x v="0"/>
    <x v="2"/>
    <x v="0"/>
    <x v="37"/>
    <x v="0"/>
    <x v="0"/>
    <x v="37"/>
    <x v="37"/>
    <x v="1"/>
    <x v="0"/>
    <x v="1"/>
    <x v="0"/>
    <x v="0"/>
    <x v="0"/>
    <x v="0"/>
    <x v="0"/>
    <x v="0"/>
    <x v="13"/>
    <x v="32"/>
    <x v="32"/>
    <x v="43"/>
    <x v="43"/>
  </r>
  <r>
    <x v="0"/>
    <x v="49"/>
    <x v="26"/>
    <x v="40"/>
    <x v="28"/>
    <x v="28"/>
    <x v="49"/>
    <x v="49"/>
    <x v="49"/>
    <x v="49"/>
    <x v="0"/>
    <x v="0"/>
    <x v="49"/>
    <x v="49"/>
    <x v="49"/>
    <x v="5"/>
    <x v="48"/>
    <x v="48"/>
    <x v="49"/>
    <x v="49"/>
    <x v="3"/>
    <x v="43"/>
    <x v="42"/>
    <x v="27"/>
    <x v="0"/>
    <x v="4"/>
    <x v="0"/>
    <x v="47"/>
    <x v="39"/>
    <x v="2"/>
    <x v="43"/>
    <x v="19"/>
    <x v="47"/>
    <x v="0"/>
    <x v="33"/>
    <x v="33"/>
    <x v="0"/>
    <x v="0"/>
    <x v="0"/>
    <x v="29"/>
    <x v="0"/>
    <x v="0"/>
    <x v="29"/>
    <x v="29"/>
    <x v="1"/>
    <x v="0"/>
    <x v="1"/>
    <x v="0"/>
    <x v="1"/>
    <x v="0"/>
    <x v="1"/>
    <x v="0"/>
    <x v="0"/>
    <x v="0"/>
    <x v="32"/>
    <x v="32"/>
    <x v="44"/>
    <x v="44"/>
  </r>
  <r>
    <x v="0"/>
    <x v="50"/>
    <x v="27"/>
    <x v="41"/>
    <x v="39"/>
    <x v="39"/>
    <x v="50"/>
    <x v="50"/>
    <x v="50"/>
    <x v="50"/>
    <x v="0"/>
    <x v="0"/>
    <x v="50"/>
    <x v="50"/>
    <x v="50"/>
    <x v="3"/>
    <x v="49"/>
    <x v="49"/>
    <x v="50"/>
    <x v="50"/>
    <x v="7"/>
    <x v="35"/>
    <x v="43"/>
    <x v="17"/>
    <x v="0"/>
    <x v="0"/>
    <x v="0"/>
    <x v="48"/>
    <x v="40"/>
    <x v="6"/>
    <x v="44"/>
    <x v="1"/>
    <x v="31"/>
    <x v="0"/>
    <x v="46"/>
    <x v="46"/>
    <x v="0"/>
    <x v="8"/>
    <x v="0"/>
    <x v="40"/>
    <x v="0"/>
    <x v="0"/>
    <x v="40"/>
    <x v="40"/>
    <x v="1"/>
    <x v="0"/>
    <x v="1"/>
    <x v="0"/>
    <x v="1"/>
    <x v="0"/>
    <x v="0"/>
    <x v="0"/>
    <x v="0"/>
    <x v="14"/>
    <x v="33"/>
    <x v="33"/>
    <x v="45"/>
    <x v="45"/>
  </r>
  <r>
    <x v="0"/>
    <x v="51"/>
    <x v="28"/>
    <x v="42"/>
    <x v="40"/>
    <x v="40"/>
    <x v="51"/>
    <x v="51"/>
    <x v="51"/>
    <x v="51"/>
    <x v="0"/>
    <x v="0"/>
    <x v="51"/>
    <x v="51"/>
    <x v="51"/>
    <x v="3"/>
    <x v="50"/>
    <x v="50"/>
    <x v="51"/>
    <x v="51"/>
    <x v="1"/>
    <x v="44"/>
    <x v="34"/>
    <x v="2"/>
    <x v="0"/>
    <x v="5"/>
    <x v="22"/>
    <x v="49"/>
    <x v="29"/>
    <x v="2"/>
    <x v="45"/>
    <x v="13"/>
    <x v="48"/>
    <x v="0"/>
    <x v="47"/>
    <x v="47"/>
    <x v="0"/>
    <x v="12"/>
    <x v="0"/>
    <x v="41"/>
    <x v="0"/>
    <x v="0"/>
    <x v="41"/>
    <x v="41"/>
    <x v="1"/>
    <x v="0"/>
    <x v="1"/>
    <x v="0"/>
    <x v="0"/>
    <x v="0"/>
    <x v="0"/>
    <x v="0"/>
    <x v="0"/>
    <x v="0"/>
    <x v="14"/>
    <x v="14"/>
    <x v="46"/>
    <x v="46"/>
  </r>
  <r>
    <x v="0"/>
    <x v="52"/>
    <x v="29"/>
    <x v="43"/>
    <x v="7"/>
    <x v="7"/>
    <x v="52"/>
    <x v="52"/>
    <x v="52"/>
    <x v="52"/>
    <x v="0"/>
    <x v="0"/>
    <x v="52"/>
    <x v="52"/>
    <x v="52"/>
    <x v="1"/>
    <x v="51"/>
    <x v="51"/>
    <x v="52"/>
    <x v="52"/>
    <x v="7"/>
    <x v="28"/>
    <x v="44"/>
    <x v="16"/>
    <x v="0"/>
    <x v="0"/>
    <x v="0"/>
    <x v="50"/>
    <x v="29"/>
    <x v="1"/>
    <x v="45"/>
    <x v="16"/>
    <x v="49"/>
    <x v="0"/>
    <x v="48"/>
    <x v="48"/>
    <x v="0"/>
    <x v="0"/>
    <x v="0"/>
    <x v="7"/>
    <x v="0"/>
    <x v="0"/>
    <x v="7"/>
    <x v="7"/>
    <x v="1"/>
    <x v="1"/>
    <x v="1"/>
    <x v="0"/>
    <x v="0"/>
    <x v="0"/>
    <x v="1"/>
    <x v="0"/>
    <x v="0"/>
    <x v="1"/>
    <x v="10"/>
    <x v="10"/>
    <x v="6"/>
    <x v="6"/>
  </r>
  <r>
    <x v="0"/>
    <x v="53"/>
    <x v="5"/>
    <x v="44"/>
    <x v="39"/>
    <x v="39"/>
    <x v="53"/>
    <x v="53"/>
    <x v="53"/>
    <x v="53"/>
    <x v="0"/>
    <x v="0"/>
    <x v="53"/>
    <x v="53"/>
    <x v="53"/>
    <x v="5"/>
    <x v="52"/>
    <x v="52"/>
    <x v="53"/>
    <x v="53"/>
    <x v="7"/>
    <x v="45"/>
    <x v="45"/>
    <x v="6"/>
    <x v="0"/>
    <x v="0"/>
    <x v="0"/>
    <x v="51"/>
    <x v="3"/>
    <x v="6"/>
    <x v="3"/>
    <x v="0"/>
    <x v="50"/>
    <x v="0"/>
    <x v="49"/>
    <x v="49"/>
    <x v="0"/>
    <x v="0"/>
    <x v="1"/>
    <x v="40"/>
    <x v="0"/>
    <x v="0"/>
    <x v="40"/>
    <x v="40"/>
    <x v="1"/>
    <x v="0"/>
    <x v="1"/>
    <x v="0"/>
    <x v="1"/>
    <x v="0"/>
    <x v="0"/>
    <x v="0"/>
    <x v="0"/>
    <x v="0"/>
    <x v="27"/>
    <x v="27"/>
    <x v="47"/>
    <x v="47"/>
  </r>
  <r>
    <x v="0"/>
    <x v="54"/>
    <x v="9"/>
    <x v="9"/>
    <x v="30"/>
    <x v="30"/>
    <x v="54"/>
    <x v="54"/>
    <x v="54"/>
    <x v="54"/>
    <x v="0"/>
    <x v="0"/>
    <x v="54"/>
    <x v="54"/>
    <x v="54"/>
    <x v="3"/>
    <x v="53"/>
    <x v="53"/>
    <x v="54"/>
    <x v="54"/>
    <x v="9"/>
    <x v="31"/>
    <x v="46"/>
    <x v="28"/>
    <x v="0"/>
    <x v="0"/>
    <x v="0"/>
    <x v="52"/>
    <x v="41"/>
    <x v="8"/>
    <x v="46"/>
    <x v="17"/>
    <x v="36"/>
    <x v="0"/>
    <x v="50"/>
    <x v="50"/>
    <x v="0"/>
    <x v="0"/>
    <x v="0"/>
    <x v="31"/>
    <x v="0"/>
    <x v="0"/>
    <x v="31"/>
    <x v="31"/>
    <x v="1"/>
    <x v="1"/>
    <x v="1"/>
    <x v="0"/>
    <x v="1"/>
    <x v="0"/>
    <x v="1"/>
    <x v="0"/>
    <x v="0"/>
    <x v="1"/>
    <x v="29"/>
    <x v="29"/>
    <x v="33"/>
    <x v="33"/>
  </r>
  <r>
    <x v="0"/>
    <x v="55"/>
    <x v="17"/>
    <x v="45"/>
    <x v="25"/>
    <x v="25"/>
    <x v="55"/>
    <x v="55"/>
    <x v="55"/>
    <x v="55"/>
    <x v="0"/>
    <x v="0"/>
    <x v="55"/>
    <x v="55"/>
    <x v="55"/>
    <x v="5"/>
    <x v="54"/>
    <x v="54"/>
    <x v="55"/>
    <x v="55"/>
    <x v="7"/>
    <x v="46"/>
    <x v="47"/>
    <x v="29"/>
    <x v="4"/>
    <x v="0"/>
    <x v="0"/>
    <x v="53"/>
    <x v="24"/>
    <x v="6"/>
    <x v="47"/>
    <x v="10"/>
    <x v="51"/>
    <x v="0"/>
    <x v="51"/>
    <x v="51"/>
    <x v="0"/>
    <x v="0"/>
    <x v="0"/>
    <x v="26"/>
    <x v="0"/>
    <x v="0"/>
    <x v="26"/>
    <x v="26"/>
    <x v="1"/>
    <x v="0"/>
    <x v="1"/>
    <x v="0"/>
    <x v="1"/>
    <x v="0"/>
    <x v="1"/>
    <x v="0"/>
    <x v="0"/>
    <x v="0"/>
    <x v="34"/>
    <x v="22"/>
    <x v="48"/>
    <x v="48"/>
  </r>
  <r>
    <x v="0"/>
    <x v="56"/>
    <x v="9"/>
    <x v="9"/>
    <x v="41"/>
    <x v="41"/>
    <x v="56"/>
    <x v="56"/>
    <x v="56"/>
    <x v="56"/>
    <x v="0"/>
    <x v="0"/>
    <x v="56"/>
    <x v="56"/>
    <x v="56"/>
    <x v="5"/>
    <x v="55"/>
    <x v="55"/>
    <x v="56"/>
    <x v="56"/>
    <x v="7"/>
    <x v="47"/>
    <x v="48"/>
    <x v="30"/>
    <x v="0"/>
    <x v="0"/>
    <x v="0"/>
    <x v="54"/>
    <x v="42"/>
    <x v="7"/>
    <x v="48"/>
    <x v="20"/>
    <x v="52"/>
    <x v="0"/>
    <x v="52"/>
    <x v="52"/>
    <x v="0"/>
    <x v="5"/>
    <x v="0"/>
    <x v="42"/>
    <x v="0"/>
    <x v="0"/>
    <x v="42"/>
    <x v="42"/>
    <x v="1"/>
    <x v="1"/>
    <x v="1"/>
    <x v="0"/>
    <x v="0"/>
    <x v="0"/>
    <x v="1"/>
    <x v="0"/>
    <x v="0"/>
    <x v="1"/>
    <x v="35"/>
    <x v="34"/>
    <x v="49"/>
    <x v="49"/>
  </r>
  <r>
    <x v="0"/>
    <x v="57"/>
    <x v="9"/>
    <x v="9"/>
    <x v="31"/>
    <x v="31"/>
    <x v="57"/>
    <x v="57"/>
    <x v="57"/>
    <x v="57"/>
    <x v="0"/>
    <x v="0"/>
    <x v="57"/>
    <x v="57"/>
    <x v="57"/>
    <x v="3"/>
    <x v="56"/>
    <x v="56"/>
    <x v="57"/>
    <x v="57"/>
    <x v="7"/>
    <x v="48"/>
    <x v="16"/>
    <x v="31"/>
    <x v="0"/>
    <x v="0"/>
    <x v="0"/>
    <x v="55"/>
    <x v="36"/>
    <x v="4"/>
    <x v="1"/>
    <x v="1"/>
    <x v="53"/>
    <x v="0"/>
    <x v="53"/>
    <x v="53"/>
    <x v="0"/>
    <x v="0"/>
    <x v="1"/>
    <x v="32"/>
    <x v="0"/>
    <x v="1"/>
    <x v="32"/>
    <x v="32"/>
    <x v="1"/>
    <x v="0"/>
    <x v="1"/>
    <x v="0"/>
    <x v="1"/>
    <x v="0"/>
    <x v="1"/>
    <x v="0"/>
    <x v="0"/>
    <x v="15"/>
    <x v="29"/>
    <x v="29"/>
    <x v="33"/>
    <x v="33"/>
  </r>
  <r>
    <x v="0"/>
    <x v="58"/>
    <x v="9"/>
    <x v="9"/>
    <x v="42"/>
    <x v="42"/>
    <x v="58"/>
    <x v="58"/>
    <x v="58"/>
    <x v="58"/>
    <x v="0"/>
    <x v="0"/>
    <x v="58"/>
    <x v="58"/>
    <x v="58"/>
    <x v="3"/>
    <x v="57"/>
    <x v="57"/>
    <x v="58"/>
    <x v="58"/>
    <x v="9"/>
    <x v="31"/>
    <x v="49"/>
    <x v="9"/>
    <x v="0"/>
    <x v="0"/>
    <x v="23"/>
    <x v="56"/>
    <x v="43"/>
    <x v="0"/>
    <x v="49"/>
    <x v="21"/>
    <x v="54"/>
    <x v="0"/>
    <x v="54"/>
    <x v="54"/>
    <x v="0"/>
    <x v="3"/>
    <x v="0"/>
    <x v="43"/>
    <x v="0"/>
    <x v="0"/>
    <x v="43"/>
    <x v="43"/>
    <x v="1"/>
    <x v="1"/>
    <x v="1"/>
    <x v="0"/>
    <x v="1"/>
    <x v="0"/>
    <x v="1"/>
    <x v="0"/>
    <x v="0"/>
    <x v="1"/>
    <x v="36"/>
    <x v="35"/>
    <x v="50"/>
    <x v="50"/>
  </r>
  <r>
    <x v="0"/>
    <x v="59"/>
    <x v="30"/>
    <x v="46"/>
    <x v="36"/>
    <x v="36"/>
    <x v="59"/>
    <x v="59"/>
    <x v="59"/>
    <x v="59"/>
    <x v="0"/>
    <x v="0"/>
    <x v="59"/>
    <x v="59"/>
    <x v="59"/>
    <x v="3"/>
    <x v="58"/>
    <x v="58"/>
    <x v="59"/>
    <x v="59"/>
    <x v="9"/>
    <x v="31"/>
    <x v="38"/>
    <x v="24"/>
    <x v="5"/>
    <x v="0"/>
    <x v="24"/>
    <x v="57"/>
    <x v="44"/>
    <x v="8"/>
    <x v="50"/>
    <x v="16"/>
    <x v="55"/>
    <x v="0"/>
    <x v="55"/>
    <x v="55"/>
    <x v="0"/>
    <x v="0"/>
    <x v="0"/>
    <x v="37"/>
    <x v="0"/>
    <x v="0"/>
    <x v="37"/>
    <x v="37"/>
    <x v="1"/>
    <x v="1"/>
    <x v="1"/>
    <x v="0"/>
    <x v="1"/>
    <x v="0"/>
    <x v="0"/>
    <x v="0"/>
    <x v="0"/>
    <x v="1"/>
    <x v="37"/>
    <x v="36"/>
    <x v="51"/>
    <x v="51"/>
  </r>
  <r>
    <x v="0"/>
    <x v="60"/>
    <x v="9"/>
    <x v="9"/>
    <x v="18"/>
    <x v="18"/>
    <x v="60"/>
    <x v="60"/>
    <x v="60"/>
    <x v="60"/>
    <x v="3"/>
    <x v="0"/>
    <x v="60"/>
    <x v="60"/>
    <x v="60"/>
    <x v="9"/>
    <x v="10"/>
    <x v="59"/>
    <x v="60"/>
    <x v="60"/>
    <x v="1"/>
    <x v="49"/>
    <x v="50"/>
    <x v="12"/>
    <x v="0"/>
    <x v="0"/>
    <x v="15"/>
    <x v="58"/>
    <x v="37"/>
    <x v="0"/>
    <x v="51"/>
    <x v="1"/>
    <x v="21"/>
    <x v="0"/>
    <x v="56"/>
    <x v="56"/>
    <x v="0"/>
    <x v="13"/>
    <x v="0"/>
    <x v="18"/>
    <x v="0"/>
    <x v="2"/>
    <x v="18"/>
    <x v="18"/>
    <x v="1"/>
    <x v="1"/>
    <x v="1"/>
    <x v="0"/>
    <x v="0"/>
    <x v="0"/>
    <x v="1"/>
    <x v="0"/>
    <x v="0"/>
    <x v="1"/>
    <x v="38"/>
    <x v="37"/>
    <x v="52"/>
    <x v="52"/>
  </r>
  <r>
    <x v="0"/>
    <x v="61"/>
    <x v="9"/>
    <x v="9"/>
    <x v="43"/>
    <x v="43"/>
    <x v="61"/>
    <x v="61"/>
    <x v="61"/>
    <x v="61"/>
    <x v="0"/>
    <x v="0"/>
    <x v="61"/>
    <x v="61"/>
    <x v="61"/>
    <x v="5"/>
    <x v="59"/>
    <x v="60"/>
    <x v="61"/>
    <x v="61"/>
    <x v="9"/>
    <x v="31"/>
    <x v="1"/>
    <x v="32"/>
    <x v="0"/>
    <x v="0"/>
    <x v="13"/>
    <x v="59"/>
    <x v="45"/>
    <x v="7"/>
    <x v="52"/>
    <x v="22"/>
    <x v="56"/>
    <x v="0"/>
    <x v="57"/>
    <x v="57"/>
    <x v="0"/>
    <x v="3"/>
    <x v="1"/>
    <x v="44"/>
    <x v="0"/>
    <x v="0"/>
    <x v="44"/>
    <x v="44"/>
    <x v="1"/>
    <x v="0"/>
    <x v="0"/>
    <x v="0"/>
    <x v="1"/>
    <x v="0"/>
    <x v="1"/>
    <x v="0"/>
    <x v="0"/>
    <x v="16"/>
    <x v="32"/>
    <x v="32"/>
    <x v="53"/>
    <x v="53"/>
  </r>
  <r>
    <x v="0"/>
    <x v="62"/>
    <x v="9"/>
    <x v="9"/>
    <x v="5"/>
    <x v="5"/>
    <x v="62"/>
    <x v="62"/>
    <x v="62"/>
    <x v="62"/>
    <x v="0"/>
    <x v="0"/>
    <x v="62"/>
    <x v="62"/>
    <x v="62"/>
    <x v="3"/>
    <x v="60"/>
    <x v="61"/>
    <x v="62"/>
    <x v="62"/>
    <x v="9"/>
    <x v="31"/>
    <x v="51"/>
    <x v="14"/>
    <x v="0"/>
    <x v="0"/>
    <x v="25"/>
    <x v="60"/>
    <x v="41"/>
    <x v="2"/>
    <x v="53"/>
    <x v="17"/>
    <x v="36"/>
    <x v="0"/>
    <x v="58"/>
    <x v="58"/>
    <x v="0"/>
    <x v="0"/>
    <x v="0"/>
    <x v="5"/>
    <x v="0"/>
    <x v="0"/>
    <x v="5"/>
    <x v="5"/>
    <x v="1"/>
    <x v="0"/>
    <x v="1"/>
    <x v="0"/>
    <x v="1"/>
    <x v="0"/>
    <x v="1"/>
    <x v="0"/>
    <x v="0"/>
    <x v="17"/>
    <x v="29"/>
    <x v="29"/>
    <x v="33"/>
    <x v="33"/>
  </r>
  <r>
    <x v="0"/>
    <x v="63"/>
    <x v="0"/>
    <x v="15"/>
    <x v="11"/>
    <x v="11"/>
    <x v="63"/>
    <x v="63"/>
    <x v="63"/>
    <x v="63"/>
    <x v="0"/>
    <x v="0"/>
    <x v="63"/>
    <x v="63"/>
    <x v="63"/>
    <x v="3"/>
    <x v="56"/>
    <x v="62"/>
    <x v="63"/>
    <x v="63"/>
    <x v="1"/>
    <x v="50"/>
    <x v="52"/>
    <x v="11"/>
    <x v="0"/>
    <x v="0"/>
    <x v="0"/>
    <x v="61"/>
    <x v="36"/>
    <x v="2"/>
    <x v="54"/>
    <x v="1"/>
    <x v="26"/>
    <x v="0"/>
    <x v="59"/>
    <x v="59"/>
    <x v="0"/>
    <x v="0"/>
    <x v="0"/>
    <x v="11"/>
    <x v="0"/>
    <x v="0"/>
    <x v="11"/>
    <x v="11"/>
    <x v="1"/>
    <x v="1"/>
    <x v="1"/>
    <x v="0"/>
    <x v="0"/>
    <x v="0"/>
    <x v="0"/>
    <x v="0"/>
    <x v="0"/>
    <x v="1"/>
    <x v="23"/>
    <x v="23"/>
    <x v="54"/>
    <x v="54"/>
  </r>
  <r>
    <x v="0"/>
    <x v="64"/>
    <x v="9"/>
    <x v="9"/>
    <x v="44"/>
    <x v="44"/>
    <x v="64"/>
    <x v="64"/>
    <x v="51"/>
    <x v="64"/>
    <x v="0"/>
    <x v="0"/>
    <x v="64"/>
    <x v="64"/>
    <x v="64"/>
    <x v="3"/>
    <x v="58"/>
    <x v="63"/>
    <x v="64"/>
    <x v="64"/>
    <x v="7"/>
    <x v="51"/>
    <x v="53"/>
    <x v="0"/>
    <x v="0"/>
    <x v="0"/>
    <x v="26"/>
    <x v="62"/>
    <x v="40"/>
    <x v="0"/>
    <x v="55"/>
    <x v="13"/>
    <x v="22"/>
    <x v="0"/>
    <x v="60"/>
    <x v="60"/>
    <x v="0"/>
    <x v="5"/>
    <x v="0"/>
    <x v="45"/>
    <x v="0"/>
    <x v="0"/>
    <x v="45"/>
    <x v="45"/>
    <x v="1"/>
    <x v="0"/>
    <x v="1"/>
    <x v="0"/>
    <x v="0"/>
    <x v="0"/>
    <x v="1"/>
    <x v="0"/>
    <x v="0"/>
    <x v="18"/>
    <x v="14"/>
    <x v="14"/>
    <x v="55"/>
    <x v="55"/>
  </r>
  <r>
    <x v="0"/>
    <x v="65"/>
    <x v="9"/>
    <x v="9"/>
    <x v="2"/>
    <x v="2"/>
    <x v="65"/>
    <x v="65"/>
    <x v="64"/>
    <x v="65"/>
    <x v="0"/>
    <x v="0"/>
    <x v="65"/>
    <x v="65"/>
    <x v="65"/>
    <x v="3"/>
    <x v="10"/>
    <x v="64"/>
    <x v="65"/>
    <x v="65"/>
    <x v="1"/>
    <x v="13"/>
    <x v="21"/>
    <x v="2"/>
    <x v="0"/>
    <x v="0"/>
    <x v="2"/>
    <x v="63"/>
    <x v="46"/>
    <x v="2"/>
    <x v="56"/>
    <x v="20"/>
    <x v="57"/>
    <x v="0"/>
    <x v="61"/>
    <x v="61"/>
    <x v="0"/>
    <x v="0"/>
    <x v="0"/>
    <x v="2"/>
    <x v="0"/>
    <x v="0"/>
    <x v="2"/>
    <x v="2"/>
    <x v="0"/>
    <x v="1"/>
    <x v="1"/>
    <x v="0"/>
    <x v="0"/>
    <x v="0"/>
    <x v="1"/>
    <x v="0"/>
    <x v="0"/>
    <x v="1"/>
    <x v="39"/>
    <x v="38"/>
    <x v="56"/>
    <x v="56"/>
  </r>
  <r>
    <x v="0"/>
    <x v="66"/>
    <x v="9"/>
    <x v="9"/>
    <x v="45"/>
    <x v="45"/>
    <x v="66"/>
    <x v="66"/>
    <x v="65"/>
    <x v="66"/>
    <x v="0"/>
    <x v="0"/>
    <x v="66"/>
    <x v="66"/>
    <x v="66"/>
    <x v="3"/>
    <x v="61"/>
    <x v="65"/>
    <x v="66"/>
    <x v="66"/>
    <x v="9"/>
    <x v="31"/>
    <x v="54"/>
    <x v="33"/>
    <x v="0"/>
    <x v="0"/>
    <x v="27"/>
    <x v="64"/>
    <x v="47"/>
    <x v="2"/>
    <x v="57"/>
    <x v="23"/>
    <x v="58"/>
    <x v="0"/>
    <x v="62"/>
    <x v="62"/>
    <x v="0"/>
    <x v="7"/>
    <x v="0"/>
    <x v="46"/>
    <x v="0"/>
    <x v="0"/>
    <x v="46"/>
    <x v="46"/>
    <x v="1"/>
    <x v="1"/>
    <x v="1"/>
    <x v="0"/>
    <x v="0"/>
    <x v="0"/>
    <x v="1"/>
    <x v="0"/>
    <x v="0"/>
    <x v="1"/>
    <x v="40"/>
    <x v="39"/>
    <x v="57"/>
    <x v="57"/>
  </r>
  <r>
    <x v="0"/>
    <x v="67"/>
    <x v="9"/>
    <x v="9"/>
    <x v="46"/>
    <x v="46"/>
    <x v="67"/>
    <x v="67"/>
    <x v="66"/>
    <x v="67"/>
    <x v="0"/>
    <x v="0"/>
    <x v="67"/>
    <x v="67"/>
    <x v="67"/>
    <x v="5"/>
    <x v="62"/>
    <x v="66"/>
    <x v="67"/>
    <x v="67"/>
    <x v="9"/>
    <x v="31"/>
    <x v="55"/>
    <x v="34"/>
    <x v="0"/>
    <x v="0"/>
    <x v="0"/>
    <x v="65"/>
    <x v="48"/>
    <x v="0"/>
    <x v="58"/>
    <x v="7"/>
    <x v="59"/>
    <x v="0"/>
    <x v="63"/>
    <x v="63"/>
    <x v="0"/>
    <x v="8"/>
    <x v="1"/>
    <x v="47"/>
    <x v="0"/>
    <x v="0"/>
    <x v="47"/>
    <x v="47"/>
    <x v="1"/>
    <x v="1"/>
    <x v="1"/>
    <x v="0"/>
    <x v="1"/>
    <x v="0"/>
    <x v="1"/>
    <x v="0"/>
    <x v="0"/>
    <x v="1"/>
    <x v="8"/>
    <x v="8"/>
    <x v="45"/>
    <x v="45"/>
  </r>
  <r>
    <x v="0"/>
    <x v="68"/>
    <x v="9"/>
    <x v="9"/>
    <x v="47"/>
    <x v="47"/>
    <x v="68"/>
    <x v="68"/>
    <x v="67"/>
    <x v="68"/>
    <x v="0"/>
    <x v="0"/>
    <x v="68"/>
    <x v="68"/>
    <x v="68"/>
    <x v="3"/>
    <x v="63"/>
    <x v="67"/>
    <x v="68"/>
    <x v="68"/>
    <x v="1"/>
    <x v="52"/>
    <x v="21"/>
    <x v="35"/>
    <x v="0"/>
    <x v="0"/>
    <x v="15"/>
    <x v="66"/>
    <x v="22"/>
    <x v="2"/>
    <x v="59"/>
    <x v="0"/>
    <x v="60"/>
    <x v="0"/>
    <x v="64"/>
    <x v="64"/>
    <x v="0"/>
    <x v="0"/>
    <x v="0"/>
    <x v="48"/>
    <x v="0"/>
    <x v="0"/>
    <x v="48"/>
    <x v="48"/>
    <x v="1"/>
    <x v="0"/>
    <x v="1"/>
    <x v="0"/>
    <x v="0"/>
    <x v="0"/>
    <x v="1"/>
    <x v="0"/>
    <x v="0"/>
    <x v="19"/>
    <x v="36"/>
    <x v="35"/>
    <x v="58"/>
    <x v="58"/>
  </r>
  <r>
    <x v="0"/>
    <x v="69"/>
    <x v="9"/>
    <x v="9"/>
    <x v="48"/>
    <x v="48"/>
    <x v="69"/>
    <x v="69"/>
    <x v="68"/>
    <x v="69"/>
    <x v="0"/>
    <x v="0"/>
    <x v="69"/>
    <x v="69"/>
    <x v="69"/>
    <x v="12"/>
    <x v="64"/>
    <x v="68"/>
    <x v="69"/>
    <x v="69"/>
    <x v="7"/>
    <x v="26"/>
    <x v="56"/>
    <x v="5"/>
    <x v="0"/>
    <x v="0"/>
    <x v="0"/>
    <x v="67"/>
    <x v="37"/>
    <x v="5"/>
    <x v="60"/>
    <x v="13"/>
    <x v="61"/>
    <x v="0"/>
    <x v="65"/>
    <x v="65"/>
    <x v="0"/>
    <x v="14"/>
    <x v="1"/>
    <x v="49"/>
    <x v="0"/>
    <x v="0"/>
    <x v="49"/>
    <x v="49"/>
    <x v="1"/>
    <x v="1"/>
    <x v="0"/>
    <x v="0"/>
    <x v="1"/>
    <x v="0"/>
    <x v="1"/>
    <x v="0"/>
    <x v="0"/>
    <x v="1"/>
    <x v="29"/>
    <x v="29"/>
    <x v="59"/>
    <x v="59"/>
  </r>
  <r>
    <x v="0"/>
    <x v="70"/>
    <x v="17"/>
    <x v="25"/>
    <x v="49"/>
    <x v="49"/>
    <x v="70"/>
    <x v="70"/>
    <x v="69"/>
    <x v="70"/>
    <x v="0"/>
    <x v="0"/>
    <x v="70"/>
    <x v="70"/>
    <x v="70"/>
    <x v="3"/>
    <x v="65"/>
    <x v="69"/>
    <x v="70"/>
    <x v="70"/>
    <x v="7"/>
    <x v="53"/>
    <x v="57"/>
    <x v="36"/>
    <x v="0"/>
    <x v="0"/>
    <x v="28"/>
    <x v="68"/>
    <x v="41"/>
    <x v="1"/>
    <x v="61"/>
    <x v="24"/>
    <x v="62"/>
    <x v="0"/>
    <x v="66"/>
    <x v="66"/>
    <x v="0"/>
    <x v="14"/>
    <x v="0"/>
    <x v="50"/>
    <x v="0"/>
    <x v="0"/>
    <x v="50"/>
    <x v="50"/>
    <x v="1"/>
    <x v="0"/>
    <x v="1"/>
    <x v="0"/>
    <x v="0"/>
    <x v="0"/>
    <x v="0"/>
    <x v="0"/>
    <x v="1"/>
    <x v="0"/>
    <x v="40"/>
    <x v="39"/>
    <x v="60"/>
    <x v="60"/>
  </r>
  <r>
    <x v="0"/>
    <x v="71"/>
    <x v="9"/>
    <x v="9"/>
    <x v="50"/>
    <x v="50"/>
    <x v="71"/>
    <x v="71"/>
    <x v="70"/>
    <x v="71"/>
    <x v="0"/>
    <x v="0"/>
    <x v="71"/>
    <x v="71"/>
    <x v="71"/>
    <x v="3"/>
    <x v="61"/>
    <x v="70"/>
    <x v="71"/>
    <x v="71"/>
    <x v="1"/>
    <x v="54"/>
    <x v="58"/>
    <x v="37"/>
    <x v="0"/>
    <x v="0"/>
    <x v="19"/>
    <x v="69"/>
    <x v="33"/>
    <x v="6"/>
    <x v="8"/>
    <x v="2"/>
    <x v="63"/>
    <x v="0"/>
    <x v="67"/>
    <x v="67"/>
    <x v="0"/>
    <x v="14"/>
    <x v="0"/>
    <x v="51"/>
    <x v="0"/>
    <x v="0"/>
    <x v="51"/>
    <x v="51"/>
    <x v="1"/>
    <x v="1"/>
    <x v="1"/>
    <x v="0"/>
    <x v="0"/>
    <x v="0"/>
    <x v="1"/>
    <x v="0"/>
    <x v="0"/>
    <x v="1"/>
    <x v="41"/>
    <x v="40"/>
    <x v="61"/>
    <x v="61"/>
  </r>
  <r>
    <x v="0"/>
    <x v="72"/>
    <x v="9"/>
    <x v="9"/>
    <x v="51"/>
    <x v="51"/>
    <x v="72"/>
    <x v="72"/>
    <x v="71"/>
    <x v="72"/>
    <x v="0"/>
    <x v="0"/>
    <x v="72"/>
    <x v="72"/>
    <x v="72"/>
    <x v="13"/>
    <x v="66"/>
    <x v="71"/>
    <x v="72"/>
    <x v="72"/>
    <x v="7"/>
    <x v="55"/>
    <x v="7"/>
    <x v="2"/>
    <x v="0"/>
    <x v="0"/>
    <x v="5"/>
    <x v="70"/>
    <x v="49"/>
    <x v="2"/>
    <x v="62"/>
    <x v="18"/>
    <x v="64"/>
    <x v="0"/>
    <x v="68"/>
    <x v="68"/>
    <x v="0"/>
    <x v="7"/>
    <x v="0"/>
    <x v="52"/>
    <x v="0"/>
    <x v="0"/>
    <x v="52"/>
    <x v="52"/>
    <x v="1"/>
    <x v="0"/>
    <x v="1"/>
    <x v="0"/>
    <x v="0"/>
    <x v="0"/>
    <x v="1"/>
    <x v="0"/>
    <x v="0"/>
    <x v="20"/>
    <x v="12"/>
    <x v="12"/>
    <x v="62"/>
    <x v="62"/>
  </r>
  <r>
    <x v="0"/>
    <x v="73"/>
    <x v="9"/>
    <x v="9"/>
    <x v="52"/>
    <x v="52"/>
    <x v="73"/>
    <x v="73"/>
    <x v="72"/>
    <x v="73"/>
    <x v="0"/>
    <x v="0"/>
    <x v="73"/>
    <x v="73"/>
    <x v="73"/>
    <x v="3"/>
    <x v="67"/>
    <x v="72"/>
    <x v="73"/>
    <x v="73"/>
    <x v="9"/>
    <x v="31"/>
    <x v="59"/>
    <x v="5"/>
    <x v="0"/>
    <x v="0"/>
    <x v="28"/>
    <x v="71"/>
    <x v="40"/>
    <x v="2"/>
    <x v="14"/>
    <x v="16"/>
    <x v="65"/>
    <x v="0"/>
    <x v="69"/>
    <x v="69"/>
    <x v="0"/>
    <x v="0"/>
    <x v="0"/>
    <x v="53"/>
    <x v="0"/>
    <x v="0"/>
    <x v="53"/>
    <x v="53"/>
    <x v="1"/>
    <x v="0"/>
    <x v="1"/>
    <x v="0"/>
    <x v="0"/>
    <x v="0"/>
    <x v="1"/>
    <x v="0"/>
    <x v="0"/>
    <x v="21"/>
    <x v="29"/>
    <x v="29"/>
    <x v="33"/>
    <x v="33"/>
  </r>
  <r>
    <x v="0"/>
    <x v="74"/>
    <x v="9"/>
    <x v="9"/>
    <x v="53"/>
    <x v="53"/>
    <x v="74"/>
    <x v="74"/>
    <x v="73"/>
    <x v="74"/>
    <x v="0"/>
    <x v="0"/>
    <x v="74"/>
    <x v="74"/>
    <x v="74"/>
    <x v="1"/>
    <x v="68"/>
    <x v="73"/>
    <x v="74"/>
    <x v="74"/>
    <x v="1"/>
    <x v="38"/>
    <x v="34"/>
    <x v="23"/>
    <x v="0"/>
    <x v="0"/>
    <x v="0"/>
    <x v="72"/>
    <x v="50"/>
    <x v="3"/>
    <x v="63"/>
    <x v="0"/>
    <x v="66"/>
    <x v="0"/>
    <x v="0"/>
    <x v="0"/>
    <x v="0"/>
    <x v="0"/>
    <x v="0"/>
    <x v="54"/>
    <x v="0"/>
    <x v="0"/>
    <x v="54"/>
    <x v="54"/>
    <x v="1"/>
    <x v="1"/>
    <x v="1"/>
    <x v="0"/>
    <x v="0"/>
    <x v="0"/>
    <x v="1"/>
    <x v="0"/>
    <x v="0"/>
    <x v="1"/>
    <x v="24"/>
    <x v="24"/>
    <x v="63"/>
    <x v="63"/>
  </r>
  <r>
    <x v="0"/>
    <x v="75"/>
    <x v="9"/>
    <x v="9"/>
    <x v="13"/>
    <x v="13"/>
    <x v="75"/>
    <x v="75"/>
    <x v="74"/>
    <x v="75"/>
    <x v="0"/>
    <x v="0"/>
    <x v="75"/>
    <x v="75"/>
    <x v="75"/>
    <x v="5"/>
    <x v="69"/>
    <x v="74"/>
    <x v="75"/>
    <x v="75"/>
    <x v="9"/>
    <x v="31"/>
    <x v="4"/>
    <x v="5"/>
    <x v="0"/>
    <x v="0"/>
    <x v="0"/>
    <x v="73"/>
    <x v="49"/>
    <x v="1"/>
    <x v="64"/>
    <x v="1"/>
    <x v="67"/>
    <x v="0"/>
    <x v="24"/>
    <x v="24"/>
    <x v="0"/>
    <x v="0"/>
    <x v="0"/>
    <x v="13"/>
    <x v="0"/>
    <x v="0"/>
    <x v="13"/>
    <x v="13"/>
    <x v="1"/>
    <x v="1"/>
    <x v="1"/>
    <x v="0"/>
    <x v="0"/>
    <x v="0"/>
    <x v="1"/>
    <x v="0"/>
    <x v="0"/>
    <x v="1"/>
    <x v="42"/>
    <x v="41"/>
    <x v="64"/>
    <x v="64"/>
  </r>
  <r>
    <x v="0"/>
    <x v="76"/>
    <x v="9"/>
    <x v="9"/>
    <x v="54"/>
    <x v="54"/>
    <x v="76"/>
    <x v="76"/>
    <x v="75"/>
    <x v="76"/>
    <x v="0"/>
    <x v="0"/>
    <x v="76"/>
    <x v="76"/>
    <x v="76"/>
    <x v="14"/>
    <x v="70"/>
    <x v="75"/>
    <x v="76"/>
    <x v="76"/>
    <x v="7"/>
    <x v="56"/>
    <x v="60"/>
    <x v="34"/>
    <x v="0"/>
    <x v="0"/>
    <x v="29"/>
    <x v="74"/>
    <x v="26"/>
    <x v="6"/>
    <x v="65"/>
    <x v="17"/>
    <x v="36"/>
    <x v="0"/>
    <x v="70"/>
    <x v="70"/>
    <x v="0"/>
    <x v="15"/>
    <x v="1"/>
    <x v="55"/>
    <x v="0"/>
    <x v="1"/>
    <x v="55"/>
    <x v="55"/>
    <x v="1"/>
    <x v="1"/>
    <x v="1"/>
    <x v="1"/>
    <x v="1"/>
    <x v="0"/>
    <x v="1"/>
    <x v="0"/>
    <x v="0"/>
    <x v="1"/>
    <x v="43"/>
    <x v="42"/>
    <x v="65"/>
    <x v="65"/>
  </r>
  <r>
    <x v="0"/>
    <x v="77"/>
    <x v="9"/>
    <x v="9"/>
    <x v="55"/>
    <x v="55"/>
    <x v="77"/>
    <x v="77"/>
    <x v="76"/>
    <x v="77"/>
    <x v="0"/>
    <x v="0"/>
    <x v="77"/>
    <x v="77"/>
    <x v="77"/>
    <x v="5"/>
    <x v="71"/>
    <x v="76"/>
    <x v="77"/>
    <x v="77"/>
    <x v="7"/>
    <x v="51"/>
    <x v="45"/>
    <x v="5"/>
    <x v="0"/>
    <x v="0"/>
    <x v="0"/>
    <x v="13"/>
    <x v="23"/>
    <x v="3"/>
    <x v="66"/>
    <x v="0"/>
    <x v="11"/>
    <x v="0"/>
    <x v="71"/>
    <x v="71"/>
    <x v="0"/>
    <x v="0"/>
    <x v="0"/>
    <x v="56"/>
    <x v="0"/>
    <x v="0"/>
    <x v="56"/>
    <x v="56"/>
    <x v="1"/>
    <x v="1"/>
    <x v="1"/>
    <x v="0"/>
    <x v="1"/>
    <x v="0"/>
    <x v="1"/>
    <x v="0"/>
    <x v="0"/>
    <x v="1"/>
    <x v="5"/>
    <x v="5"/>
    <x v="66"/>
    <x v="66"/>
  </r>
  <r>
    <x v="0"/>
    <x v="78"/>
    <x v="31"/>
    <x v="40"/>
    <x v="28"/>
    <x v="28"/>
    <x v="49"/>
    <x v="78"/>
    <x v="77"/>
    <x v="78"/>
    <x v="0"/>
    <x v="0"/>
    <x v="78"/>
    <x v="78"/>
    <x v="78"/>
    <x v="5"/>
    <x v="72"/>
    <x v="77"/>
    <x v="78"/>
    <x v="78"/>
    <x v="1"/>
    <x v="57"/>
    <x v="61"/>
    <x v="27"/>
    <x v="0"/>
    <x v="2"/>
    <x v="0"/>
    <x v="75"/>
    <x v="22"/>
    <x v="2"/>
    <x v="67"/>
    <x v="16"/>
    <x v="68"/>
    <x v="0"/>
    <x v="72"/>
    <x v="72"/>
    <x v="0"/>
    <x v="0"/>
    <x v="0"/>
    <x v="29"/>
    <x v="0"/>
    <x v="0"/>
    <x v="29"/>
    <x v="29"/>
    <x v="1"/>
    <x v="0"/>
    <x v="1"/>
    <x v="0"/>
    <x v="1"/>
    <x v="0"/>
    <x v="0"/>
    <x v="0"/>
    <x v="0"/>
    <x v="0"/>
    <x v="38"/>
    <x v="37"/>
    <x v="67"/>
    <x v="67"/>
  </r>
  <r>
    <x v="0"/>
    <x v="79"/>
    <x v="9"/>
    <x v="9"/>
    <x v="56"/>
    <x v="56"/>
    <x v="78"/>
    <x v="79"/>
    <x v="78"/>
    <x v="79"/>
    <x v="0"/>
    <x v="0"/>
    <x v="79"/>
    <x v="79"/>
    <x v="79"/>
    <x v="3"/>
    <x v="73"/>
    <x v="78"/>
    <x v="79"/>
    <x v="79"/>
    <x v="9"/>
    <x v="31"/>
    <x v="62"/>
    <x v="5"/>
    <x v="0"/>
    <x v="0"/>
    <x v="0"/>
    <x v="76"/>
    <x v="16"/>
    <x v="2"/>
    <x v="68"/>
    <x v="1"/>
    <x v="67"/>
    <x v="0"/>
    <x v="73"/>
    <x v="73"/>
    <x v="0"/>
    <x v="0"/>
    <x v="0"/>
    <x v="57"/>
    <x v="0"/>
    <x v="0"/>
    <x v="57"/>
    <x v="57"/>
    <x v="1"/>
    <x v="1"/>
    <x v="1"/>
    <x v="0"/>
    <x v="1"/>
    <x v="0"/>
    <x v="1"/>
    <x v="0"/>
    <x v="0"/>
    <x v="1"/>
    <x v="44"/>
    <x v="43"/>
    <x v="68"/>
    <x v="68"/>
  </r>
  <r>
    <x v="0"/>
    <x v="80"/>
    <x v="9"/>
    <x v="9"/>
    <x v="57"/>
    <x v="57"/>
    <x v="79"/>
    <x v="80"/>
    <x v="79"/>
    <x v="80"/>
    <x v="0"/>
    <x v="0"/>
    <x v="80"/>
    <x v="80"/>
    <x v="80"/>
    <x v="5"/>
    <x v="74"/>
    <x v="79"/>
    <x v="80"/>
    <x v="80"/>
    <x v="1"/>
    <x v="50"/>
    <x v="63"/>
    <x v="11"/>
    <x v="0"/>
    <x v="0"/>
    <x v="0"/>
    <x v="77"/>
    <x v="40"/>
    <x v="2"/>
    <x v="69"/>
    <x v="1"/>
    <x v="26"/>
    <x v="0"/>
    <x v="74"/>
    <x v="74"/>
    <x v="0"/>
    <x v="1"/>
    <x v="0"/>
    <x v="58"/>
    <x v="0"/>
    <x v="0"/>
    <x v="58"/>
    <x v="58"/>
    <x v="1"/>
    <x v="1"/>
    <x v="1"/>
    <x v="0"/>
    <x v="0"/>
    <x v="0"/>
    <x v="1"/>
    <x v="0"/>
    <x v="0"/>
    <x v="1"/>
    <x v="12"/>
    <x v="12"/>
    <x v="69"/>
    <x v="69"/>
  </r>
  <r>
    <x v="0"/>
    <x v="81"/>
    <x v="9"/>
    <x v="9"/>
    <x v="58"/>
    <x v="58"/>
    <x v="80"/>
    <x v="81"/>
    <x v="80"/>
    <x v="81"/>
    <x v="0"/>
    <x v="0"/>
    <x v="81"/>
    <x v="81"/>
    <x v="81"/>
    <x v="3"/>
    <x v="75"/>
    <x v="80"/>
    <x v="81"/>
    <x v="81"/>
    <x v="7"/>
    <x v="58"/>
    <x v="32"/>
    <x v="38"/>
    <x v="0"/>
    <x v="0"/>
    <x v="15"/>
    <x v="78"/>
    <x v="29"/>
    <x v="6"/>
    <x v="70"/>
    <x v="16"/>
    <x v="69"/>
    <x v="0"/>
    <x v="75"/>
    <x v="75"/>
    <x v="0"/>
    <x v="8"/>
    <x v="0"/>
    <x v="59"/>
    <x v="0"/>
    <x v="0"/>
    <x v="59"/>
    <x v="59"/>
    <x v="1"/>
    <x v="0"/>
    <x v="1"/>
    <x v="0"/>
    <x v="0"/>
    <x v="0"/>
    <x v="1"/>
    <x v="0"/>
    <x v="0"/>
    <x v="22"/>
    <x v="5"/>
    <x v="5"/>
    <x v="70"/>
    <x v="70"/>
  </r>
  <r>
    <x v="0"/>
    <x v="82"/>
    <x v="9"/>
    <x v="9"/>
    <x v="59"/>
    <x v="59"/>
    <x v="81"/>
    <x v="82"/>
    <x v="81"/>
    <x v="82"/>
    <x v="0"/>
    <x v="0"/>
    <x v="82"/>
    <x v="82"/>
    <x v="82"/>
    <x v="5"/>
    <x v="76"/>
    <x v="81"/>
    <x v="82"/>
    <x v="82"/>
    <x v="9"/>
    <x v="31"/>
    <x v="28"/>
    <x v="23"/>
    <x v="0"/>
    <x v="0"/>
    <x v="10"/>
    <x v="79"/>
    <x v="23"/>
    <x v="6"/>
    <x v="71"/>
    <x v="1"/>
    <x v="70"/>
    <x v="0"/>
    <x v="76"/>
    <x v="76"/>
    <x v="0"/>
    <x v="0"/>
    <x v="0"/>
    <x v="60"/>
    <x v="0"/>
    <x v="0"/>
    <x v="60"/>
    <x v="60"/>
    <x v="1"/>
    <x v="0"/>
    <x v="1"/>
    <x v="0"/>
    <x v="0"/>
    <x v="0"/>
    <x v="1"/>
    <x v="0"/>
    <x v="0"/>
    <x v="23"/>
    <x v="24"/>
    <x v="24"/>
    <x v="71"/>
    <x v="71"/>
  </r>
  <r>
    <x v="0"/>
    <x v="83"/>
    <x v="9"/>
    <x v="9"/>
    <x v="60"/>
    <x v="60"/>
    <x v="82"/>
    <x v="83"/>
    <x v="82"/>
    <x v="83"/>
    <x v="0"/>
    <x v="0"/>
    <x v="83"/>
    <x v="83"/>
    <x v="83"/>
    <x v="3"/>
    <x v="77"/>
    <x v="82"/>
    <x v="83"/>
    <x v="83"/>
    <x v="7"/>
    <x v="59"/>
    <x v="63"/>
    <x v="39"/>
    <x v="0"/>
    <x v="0"/>
    <x v="30"/>
    <x v="80"/>
    <x v="38"/>
    <x v="2"/>
    <x v="72"/>
    <x v="19"/>
    <x v="71"/>
    <x v="0"/>
    <x v="77"/>
    <x v="77"/>
    <x v="0"/>
    <x v="4"/>
    <x v="0"/>
    <x v="61"/>
    <x v="0"/>
    <x v="1"/>
    <x v="61"/>
    <x v="61"/>
    <x v="1"/>
    <x v="1"/>
    <x v="1"/>
    <x v="0"/>
    <x v="1"/>
    <x v="0"/>
    <x v="1"/>
    <x v="0"/>
    <x v="0"/>
    <x v="1"/>
    <x v="45"/>
    <x v="44"/>
    <x v="72"/>
    <x v="72"/>
  </r>
  <r>
    <x v="0"/>
    <x v="84"/>
    <x v="9"/>
    <x v="9"/>
    <x v="61"/>
    <x v="61"/>
    <x v="83"/>
    <x v="84"/>
    <x v="83"/>
    <x v="84"/>
    <x v="0"/>
    <x v="0"/>
    <x v="84"/>
    <x v="84"/>
    <x v="84"/>
    <x v="1"/>
    <x v="78"/>
    <x v="83"/>
    <x v="84"/>
    <x v="84"/>
    <x v="9"/>
    <x v="31"/>
    <x v="64"/>
    <x v="17"/>
    <x v="0"/>
    <x v="0"/>
    <x v="1"/>
    <x v="81"/>
    <x v="32"/>
    <x v="0"/>
    <x v="52"/>
    <x v="6"/>
    <x v="72"/>
    <x v="0"/>
    <x v="19"/>
    <x v="19"/>
    <x v="0"/>
    <x v="0"/>
    <x v="0"/>
    <x v="62"/>
    <x v="0"/>
    <x v="0"/>
    <x v="62"/>
    <x v="62"/>
    <x v="1"/>
    <x v="1"/>
    <x v="1"/>
    <x v="0"/>
    <x v="0"/>
    <x v="0"/>
    <x v="1"/>
    <x v="0"/>
    <x v="0"/>
    <x v="1"/>
    <x v="12"/>
    <x v="12"/>
    <x v="2"/>
    <x v="2"/>
  </r>
  <r>
    <x v="0"/>
    <x v="85"/>
    <x v="9"/>
    <x v="9"/>
    <x v="1"/>
    <x v="1"/>
    <x v="84"/>
    <x v="85"/>
    <x v="84"/>
    <x v="85"/>
    <x v="0"/>
    <x v="0"/>
    <x v="85"/>
    <x v="85"/>
    <x v="85"/>
    <x v="5"/>
    <x v="79"/>
    <x v="83"/>
    <x v="85"/>
    <x v="85"/>
    <x v="9"/>
    <x v="31"/>
    <x v="65"/>
    <x v="0"/>
    <x v="0"/>
    <x v="0"/>
    <x v="0"/>
    <x v="82"/>
    <x v="51"/>
    <x v="0"/>
    <x v="73"/>
    <x v="6"/>
    <x v="73"/>
    <x v="0"/>
    <x v="78"/>
    <x v="78"/>
    <x v="0"/>
    <x v="0"/>
    <x v="0"/>
    <x v="1"/>
    <x v="0"/>
    <x v="1"/>
    <x v="1"/>
    <x v="1"/>
    <x v="1"/>
    <x v="1"/>
    <x v="1"/>
    <x v="0"/>
    <x v="0"/>
    <x v="0"/>
    <x v="1"/>
    <x v="0"/>
    <x v="0"/>
    <x v="1"/>
    <x v="29"/>
    <x v="29"/>
    <x v="33"/>
    <x v="33"/>
  </r>
  <r>
    <x v="0"/>
    <x v="86"/>
    <x v="9"/>
    <x v="9"/>
    <x v="27"/>
    <x v="27"/>
    <x v="85"/>
    <x v="86"/>
    <x v="85"/>
    <x v="86"/>
    <x v="0"/>
    <x v="0"/>
    <x v="86"/>
    <x v="86"/>
    <x v="86"/>
    <x v="5"/>
    <x v="80"/>
    <x v="84"/>
    <x v="86"/>
    <x v="86"/>
    <x v="9"/>
    <x v="31"/>
    <x v="31"/>
    <x v="22"/>
    <x v="0"/>
    <x v="0"/>
    <x v="27"/>
    <x v="83"/>
    <x v="41"/>
    <x v="0"/>
    <x v="74"/>
    <x v="0"/>
    <x v="60"/>
    <x v="0"/>
    <x v="30"/>
    <x v="30"/>
    <x v="0"/>
    <x v="16"/>
    <x v="0"/>
    <x v="28"/>
    <x v="0"/>
    <x v="0"/>
    <x v="28"/>
    <x v="28"/>
    <x v="1"/>
    <x v="1"/>
    <x v="1"/>
    <x v="1"/>
    <x v="1"/>
    <x v="0"/>
    <x v="1"/>
    <x v="0"/>
    <x v="0"/>
    <x v="1"/>
    <x v="13"/>
    <x v="13"/>
    <x v="73"/>
    <x v="73"/>
  </r>
  <r>
    <x v="0"/>
    <x v="87"/>
    <x v="9"/>
    <x v="9"/>
    <x v="58"/>
    <x v="58"/>
    <x v="86"/>
    <x v="87"/>
    <x v="86"/>
    <x v="87"/>
    <x v="0"/>
    <x v="0"/>
    <x v="87"/>
    <x v="87"/>
    <x v="87"/>
    <x v="3"/>
    <x v="81"/>
    <x v="85"/>
    <x v="87"/>
    <x v="87"/>
    <x v="9"/>
    <x v="31"/>
    <x v="27"/>
    <x v="5"/>
    <x v="0"/>
    <x v="0"/>
    <x v="28"/>
    <x v="84"/>
    <x v="33"/>
    <x v="0"/>
    <x v="75"/>
    <x v="16"/>
    <x v="65"/>
    <x v="0"/>
    <x v="79"/>
    <x v="79"/>
    <x v="0"/>
    <x v="0"/>
    <x v="0"/>
    <x v="59"/>
    <x v="0"/>
    <x v="0"/>
    <x v="59"/>
    <x v="59"/>
    <x v="1"/>
    <x v="0"/>
    <x v="1"/>
    <x v="0"/>
    <x v="0"/>
    <x v="0"/>
    <x v="1"/>
    <x v="0"/>
    <x v="0"/>
    <x v="24"/>
    <x v="46"/>
    <x v="45"/>
    <x v="74"/>
    <x v="74"/>
  </r>
  <r>
    <x v="0"/>
    <x v="88"/>
    <x v="9"/>
    <x v="9"/>
    <x v="35"/>
    <x v="35"/>
    <x v="87"/>
    <x v="88"/>
    <x v="87"/>
    <x v="88"/>
    <x v="0"/>
    <x v="0"/>
    <x v="88"/>
    <x v="88"/>
    <x v="88"/>
    <x v="3"/>
    <x v="82"/>
    <x v="86"/>
    <x v="88"/>
    <x v="88"/>
    <x v="9"/>
    <x v="31"/>
    <x v="63"/>
    <x v="23"/>
    <x v="0"/>
    <x v="0"/>
    <x v="28"/>
    <x v="85"/>
    <x v="49"/>
    <x v="0"/>
    <x v="76"/>
    <x v="1"/>
    <x v="70"/>
    <x v="0"/>
    <x v="80"/>
    <x v="80"/>
    <x v="0"/>
    <x v="0"/>
    <x v="0"/>
    <x v="36"/>
    <x v="0"/>
    <x v="0"/>
    <x v="36"/>
    <x v="36"/>
    <x v="1"/>
    <x v="1"/>
    <x v="1"/>
    <x v="0"/>
    <x v="0"/>
    <x v="0"/>
    <x v="1"/>
    <x v="0"/>
    <x v="0"/>
    <x v="1"/>
    <x v="47"/>
    <x v="46"/>
    <x v="75"/>
    <x v="75"/>
  </r>
  <r>
    <x v="0"/>
    <x v="89"/>
    <x v="9"/>
    <x v="9"/>
    <x v="62"/>
    <x v="62"/>
    <x v="88"/>
    <x v="89"/>
    <x v="88"/>
    <x v="89"/>
    <x v="0"/>
    <x v="0"/>
    <x v="89"/>
    <x v="89"/>
    <x v="89"/>
    <x v="1"/>
    <x v="83"/>
    <x v="87"/>
    <x v="89"/>
    <x v="89"/>
    <x v="1"/>
    <x v="24"/>
    <x v="66"/>
    <x v="5"/>
    <x v="0"/>
    <x v="0"/>
    <x v="0"/>
    <x v="86"/>
    <x v="36"/>
    <x v="6"/>
    <x v="77"/>
    <x v="6"/>
    <x v="7"/>
    <x v="0"/>
    <x v="24"/>
    <x v="24"/>
    <x v="0"/>
    <x v="0"/>
    <x v="0"/>
    <x v="63"/>
    <x v="0"/>
    <x v="0"/>
    <x v="63"/>
    <x v="63"/>
    <x v="1"/>
    <x v="1"/>
    <x v="1"/>
    <x v="0"/>
    <x v="0"/>
    <x v="0"/>
    <x v="1"/>
    <x v="0"/>
    <x v="0"/>
    <x v="1"/>
    <x v="37"/>
    <x v="36"/>
    <x v="76"/>
    <x v="76"/>
  </r>
  <r>
    <x v="0"/>
    <x v="90"/>
    <x v="9"/>
    <x v="9"/>
    <x v="23"/>
    <x v="23"/>
    <x v="89"/>
    <x v="90"/>
    <x v="89"/>
    <x v="90"/>
    <x v="0"/>
    <x v="0"/>
    <x v="90"/>
    <x v="90"/>
    <x v="90"/>
    <x v="5"/>
    <x v="84"/>
    <x v="88"/>
    <x v="90"/>
    <x v="90"/>
    <x v="9"/>
    <x v="31"/>
    <x v="64"/>
    <x v="40"/>
    <x v="0"/>
    <x v="0"/>
    <x v="0"/>
    <x v="87"/>
    <x v="42"/>
    <x v="0"/>
    <x v="78"/>
    <x v="6"/>
    <x v="73"/>
    <x v="0"/>
    <x v="81"/>
    <x v="81"/>
    <x v="0"/>
    <x v="17"/>
    <x v="0"/>
    <x v="24"/>
    <x v="0"/>
    <x v="0"/>
    <x v="24"/>
    <x v="24"/>
    <x v="1"/>
    <x v="1"/>
    <x v="0"/>
    <x v="1"/>
    <x v="1"/>
    <x v="0"/>
    <x v="1"/>
    <x v="0"/>
    <x v="0"/>
    <x v="1"/>
    <x v="29"/>
    <x v="29"/>
    <x v="33"/>
    <x v="33"/>
  </r>
  <r>
    <x v="0"/>
    <x v="91"/>
    <x v="9"/>
    <x v="9"/>
    <x v="63"/>
    <x v="63"/>
    <x v="90"/>
    <x v="91"/>
    <x v="90"/>
    <x v="91"/>
    <x v="0"/>
    <x v="0"/>
    <x v="91"/>
    <x v="91"/>
    <x v="91"/>
    <x v="3"/>
    <x v="85"/>
    <x v="89"/>
    <x v="91"/>
    <x v="91"/>
    <x v="7"/>
    <x v="60"/>
    <x v="34"/>
    <x v="41"/>
    <x v="0"/>
    <x v="0"/>
    <x v="0"/>
    <x v="88"/>
    <x v="40"/>
    <x v="2"/>
    <x v="26"/>
    <x v="16"/>
    <x v="74"/>
    <x v="0"/>
    <x v="82"/>
    <x v="82"/>
    <x v="0"/>
    <x v="8"/>
    <x v="0"/>
    <x v="64"/>
    <x v="0"/>
    <x v="0"/>
    <x v="64"/>
    <x v="64"/>
    <x v="1"/>
    <x v="1"/>
    <x v="1"/>
    <x v="1"/>
    <x v="1"/>
    <x v="0"/>
    <x v="1"/>
    <x v="0"/>
    <x v="0"/>
    <x v="1"/>
    <x v="48"/>
    <x v="47"/>
    <x v="77"/>
    <x v="77"/>
  </r>
  <r>
    <x v="0"/>
    <x v="92"/>
    <x v="9"/>
    <x v="9"/>
    <x v="27"/>
    <x v="27"/>
    <x v="91"/>
    <x v="92"/>
    <x v="91"/>
    <x v="92"/>
    <x v="0"/>
    <x v="0"/>
    <x v="92"/>
    <x v="92"/>
    <x v="92"/>
    <x v="2"/>
    <x v="86"/>
    <x v="90"/>
    <x v="92"/>
    <x v="92"/>
    <x v="7"/>
    <x v="37"/>
    <x v="32"/>
    <x v="22"/>
    <x v="0"/>
    <x v="0"/>
    <x v="27"/>
    <x v="89"/>
    <x v="22"/>
    <x v="2"/>
    <x v="79"/>
    <x v="0"/>
    <x v="60"/>
    <x v="0"/>
    <x v="83"/>
    <x v="83"/>
    <x v="0"/>
    <x v="0"/>
    <x v="0"/>
    <x v="28"/>
    <x v="0"/>
    <x v="0"/>
    <x v="28"/>
    <x v="28"/>
    <x v="1"/>
    <x v="0"/>
    <x v="1"/>
    <x v="1"/>
    <x v="1"/>
    <x v="0"/>
    <x v="1"/>
    <x v="0"/>
    <x v="0"/>
    <x v="25"/>
    <x v="11"/>
    <x v="11"/>
    <x v="78"/>
    <x v="78"/>
  </r>
  <r>
    <x v="0"/>
    <x v="93"/>
    <x v="9"/>
    <x v="9"/>
    <x v="8"/>
    <x v="8"/>
    <x v="92"/>
    <x v="93"/>
    <x v="92"/>
    <x v="93"/>
    <x v="0"/>
    <x v="0"/>
    <x v="93"/>
    <x v="93"/>
    <x v="93"/>
    <x v="5"/>
    <x v="87"/>
    <x v="91"/>
    <x v="93"/>
    <x v="93"/>
    <x v="7"/>
    <x v="61"/>
    <x v="67"/>
    <x v="42"/>
    <x v="0"/>
    <x v="0"/>
    <x v="0"/>
    <x v="90"/>
    <x v="40"/>
    <x v="0"/>
    <x v="80"/>
    <x v="16"/>
    <x v="75"/>
    <x v="0"/>
    <x v="84"/>
    <x v="84"/>
    <x v="0"/>
    <x v="0"/>
    <x v="0"/>
    <x v="8"/>
    <x v="0"/>
    <x v="0"/>
    <x v="8"/>
    <x v="8"/>
    <x v="1"/>
    <x v="1"/>
    <x v="1"/>
    <x v="0"/>
    <x v="0"/>
    <x v="0"/>
    <x v="1"/>
    <x v="0"/>
    <x v="0"/>
    <x v="1"/>
    <x v="12"/>
    <x v="12"/>
    <x v="79"/>
    <x v="79"/>
  </r>
  <r>
    <x v="0"/>
    <x v="94"/>
    <x v="9"/>
    <x v="9"/>
    <x v="64"/>
    <x v="64"/>
    <x v="93"/>
    <x v="94"/>
    <x v="93"/>
    <x v="94"/>
    <x v="0"/>
    <x v="0"/>
    <x v="94"/>
    <x v="94"/>
    <x v="94"/>
    <x v="5"/>
    <x v="88"/>
    <x v="92"/>
    <x v="94"/>
    <x v="94"/>
    <x v="9"/>
    <x v="31"/>
    <x v="47"/>
    <x v="5"/>
    <x v="0"/>
    <x v="0"/>
    <x v="5"/>
    <x v="91"/>
    <x v="45"/>
    <x v="6"/>
    <x v="81"/>
    <x v="16"/>
    <x v="65"/>
    <x v="0"/>
    <x v="85"/>
    <x v="85"/>
    <x v="0"/>
    <x v="0"/>
    <x v="0"/>
    <x v="65"/>
    <x v="0"/>
    <x v="0"/>
    <x v="65"/>
    <x v="65"/>
    <x v="1"/>
    <x v="1"/>
    <x v="1"/>
    <x v="0"/>
    <x v="0"/>
    <x v="0"/>
    <x v="1"/>
    <x v="0"/>
    <x v="0"/>
    <x v="1"/>
    <x v="39"/>
    <x v="38"/>
    <x v="80"/>
    <x v="80"/>
  </r>
  <r>
    <x v="0"/>
    <x v="95"/>
    <x v="9"/>
    <x v="9"/>
    <x v="49"/>
    <x v="49"/>
    <x v="94"/>
    <x v="95"/>
    <x v="94"/>
    <x v="95"/>
    <x v="0"/>
    <x v="0"/>
    <x v="95"/>
    <x v="95"/>
    <x v="95"/>
    <x v="3"/>
    <x v="89"/>
    <x v="93"/>
    <x v="95"/>
    <x v="95"/>
    <x v="9"/>
    <x v="31"/>
    <x v="53"/>
    <x v="30"/>
    <x v="0"/>
    <x v="0"/>
    <x v="13"/>
    <x v="92"/>
    <x v="26"/>
    <x v="0"/>
    <x v="66"/>
    <x v="0"/>
    <x v="76"/>
    <x v="0"/>
    <x v="86"/>
    <x v="86"/>
    <x v="0"/>
    <x v="14"/>
    <x v="0"/>
    <x v="66"/>
    <x v="0"/>
    <x v="0"/>
    <x v="66"/>
    <x v="66"/>
    <x v="1"/>
    <x v="1"/>
    <x v="1"/>
    <x v="0"/>
    <x v="0"/>
    <x v="0"/>
    <x v="1"/>
    <x v="0"/>
    <x v="0"/>
    <x v="1"/>
    <x v="49"/>
    <x v="48"/>
    <x v="81"/>
    <x v="81"/>
  </r>
  <r>
    <x v="0"/>
    <x v="96"/>
    <x v="9"/>
    <x v="9"/>
    <x v="65"/>
    <x v="65"/>
    <x v="95"/>
    <x v="96"/>
    <x v="95"/>
    <x v="96"/>
    <x v="0"/>
    <x v="0"/>
    <x v="96"/>
    <x v="96"/>
    <x v="96"/>
    <x v="5"/>
    <x v="90"/>
    <x v="94"/>
    <x v="96"/>
    <x v="96"/>
    <x v="9"/>
    <x v="31"/>
    <x v="4"/>
    <x v="0"/>
    <x v="0"/>
    <x v="0"/>
    <x v="0"/>
    <x v="93"/>
    <x v="52"/>
    <x v="0"/>
    <x v="36"/>
    <x v="25"/>
    <x v="77"/>
    <x v="0"/>
    <x v="87"/>
    <x v="87"/>
    <x v="0"/>
    <x v="0"/>
    <x v="0"/>
    <x v="67"/>
    <x v="0"/>
    <x v="0"/>
    <x v="67"/>
    <x v="67"/>
    <x v="1"/>
    <x v="1"/>
    <x v="1"/>
    <x v="0"/>
    <x v="0"/>
    <x v="0"/>
    <x v="1"/>
    <x v="0"/>
    <x v="0"/>
    <x v="1"/>
    <x v="29"/>
    <x v="29"/>
    <x v="33"/>
    <x v="33"/>
  </r>
  <r>
    <x v="0"/>
    <x v="97"/>
    <x v="9"/>
    <x v="9"/>
    <x v="66"/>
    <x v="66"/>
    <x v="96"/>
    <x v="97"/>
    <x v="96"/>
    <x v="97"/>
    <x v="0"/>
    <x v="0"/>
    <x v="97"/>
    <x v="97"/>
    <x v="97"/>
    <x v="3"/>
    <x v="89"/>
    <x v="95"/>
    <x v="97"/>
    <x v="97"/>
    <x v="9"/>
    <x v="31"/>
    <x v="63"/>
    <x v="41"/>
    <x v="0"/>
    <x v="0"/>
    <x v="1"/>
    <x v="94"/>
    <x v="33"/>
    <x v="0"/>
    <x v="82"/>
    <x v="19"/>
    <x v="78"/>
    <x v="0"/>
    <x v="88"/>
    <x v="88"/>
    <x v="0"/>
    <x v="0"/>
    <x v="0"/>
    <x v="68"/>
    <x v="0"/>
    <x v="1"/>
    <x v="68"/>
    <x v="68"/>
    <x v="1"/>
    <x v="0"/>
    <x v="0"/>
    <x v="0"/>
    <x v="1"/>
    <x v="0"/>
    <x v="1"/>
    <x v="0"/>
    <x v="0"/>
    <x v="26"/>
    <x v="11"/>
    <x v="11"/>
    <x v="82"/>
    <x v="82"/>
  </r>
  <r>
    <x v="0"/>
    <x v="98"/>
    <x v="9"/>
    <x v="9"/>
    <x v="67"/>
    <x v="67"/>
    <x v="97"/>
    <x v="98"/>
    <x v="97"/>
    <x v="98"/>
    <x v="0"/>
    <x v="0"/>
    <x v="98"/>
    <x v="98"/>
    <x v="98"/>
    <x v="3"/>
    <x v="82"/>
    <x v="96"/>
    <x v="98"/>
    <x v="98"/>
    <x v="7"/>
    <x v="26"/>
    <x v="68"/>
    <x v="5"/>
    <x v="0"/>
    <x v="0"/>
    <x v="18"/>
    <x v="95"/>
    <x v="48"/>
    <x v="6"/>
    <x v="83"/>
    <x v="19"/>
    <x v="79"/>
    <x v="0"/>
    <x v="89"/>
    <x v="89"/>
    <x v="0"/>
    <x v="0"/>
    <x v="0"/>
    <x v="7"/>
    <x v="0"/>
    <x v="0"/>
    <x v="7"/>
    <x v="7"/>
    <x v="1"/>
    <x v="1"/>
    <x v="1"/>
    <x v="0"/>
    <x v="0"/>
    <x v="0"/>
    <x v="1"/>
    <x v="0"/>
    <x v="0"/>
    <x v="1"/>
    <x v="8"/>
    <x v="8"/>
    <x v="6"/>
    <x v="6"/>
  </r>
  <r>
    <x v="0"/>
    <x v="99"/>
    <x v="9"/>
    <x v="9"/>
    <x v="27"/>
    <x v="27"/>
    <x v="98"/>
    <x v="99"/>
    <x v="98"/>
    <x v="99"/>
    <x v="0"/>
    <x v="0"/>
    <x v="99"/>
    <x v="99"/>
    <x v="99"/>
    <x v="3"/>
    <x v="91"/>
    <x v="97"/>
    <x v="99"/>
    <x v="99"/>
    <x v="9"/>
    <x v="31"/>
    <x v="69"/>
    <x v="22"/>
    <x v="0"/>
    <x v="0"/>
    <x v="0"/>
    <x v="96"/>
    <x v="33"/>
    <x v="2"/>
    <x v="84"/>
    <x v="18"/>
    <x v="38"/>
    <x v="0"/>
    <x v="90"/>
    <x v="90"/>
    <x v="0"/>
    <x v="18"/>
    <x v="0"/>
    <x v="28"/>
    <x v="0"/>
    <x v="0"/>
    <x v="28"/>
    <x v="28"/>
    <x v="1"/>
    <x v="1"/>
    <x v="1"/>
    <x v="1"/>
    <x v="1"/>
    <x v="0"/>
    <x v="1"/>
    <x v="0"/>
    <x v="0"/>
    <x v="1"/>
    <x v="50"/>
    <x v="49"/>
    <x v="33"/>
    <x v="33"/>
  </r>
  <r>
    <x v="1"/>
    <x v="100"/>
    <x v="32"/>
    <x v="47"/>
    <x v="68"/>
    <x v="68"/>
    <x v="99"/>
    <x v="100"/>
    <x v="99"/>
    <x v="100"/>
    <x v="5"/>
    <x v="1"/>
    <x v="100"/>
    <x v="100"/>
    <x v="100"/>
    <x v="15"/>
    <x v="92"/>
    <x v="98"/>
    <x v="100"/>
    <x v="100"/>
    <x v="10"/>
    <x v="62"/>
    <x v="70"/>
    <x v="43"/>
    <x v="0"/>
    <x v="0"/>
    <x v="0"/>
    <x v="97"/>
    <x v="53"/>
    <x v="9"/>
    <x v="85"/>
    <x v="17"/>
    <x v="80"/>
    <x v="0"/>
    <x v="91"/>
    <x v="91"/>
    <x v="1"/>
    <x v="19"/>
    <x v="2"/>
    <x v="69"/>
    <x v="1"/>
    <x v="3"/>
    <x v="69"/>
    <x v="69"/>
    <x v="2"/>
    <x v="2"/>
    <x v="2"/>
    <x v="2"/>
    <x v="2"/>
    <x v="1"/>
    <x v="2"/>
    <x v="1"/>
    <x v="2"/>
    <x v="1"/>
    <x v="29"/>
    <x v="50"/>
    <x v="33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B73" firstHeaderRow="1" firstDataRow="1" firstDataCol="1"/>
  <pivotFields count="58">
    <pivotField compact="0" showAll="0">
      <items count="3">
        <item x="0"/>
        <item x="1"/>
        <item t="default"/>
      </items>
    </pivotField>
    <pivotField dataField="1" compact="0" showAll="0">
      <items count="102">
        <item x="8"/>
        <item x="2"/>
        <item x="43"/>
        <item x="12"/>
        <item x="48"/>
        <item x="45"/>
        <item x="76"/>
        <item x="72"/>
        <item x="92"/>
        <item x="83"/>
        <item x="51"/>
        <item x="6"/>
        <item x="4"/>
        <item x="39"/>
        <item x="34"/>
        <item x="82"/>
        <item x="94"/>
        <item x="98"/>
        <item x="53"/>
        <item x="19"/>
        <item x="17"/>
        <item x="68"/>
        <item x="57"/>
        <item x="50"/>
        <item x="3"/>
        <item x="18"/>
        <item x="5"/>
        <item x="10"/>
        <item x="87"/>
        <item x="29"/>
        <item x="25"/>
        <item x="95"/>
        <item x="70"/>
        <item x="97"/>
        <item x="66"/>
        <item x="33"/>
        <item x="64"/>
        <item x="59"/>
        <item x="81"/>
        <item x="40"/>
        <item x="73"/>
        <item x="44"/>
        <item x="65"/>
        <item x="62"/>
        <item x="61"/>
        <item x="71"/>
        <item x="86"/>
        <item x="7"/>
        <item x="31"/>
        <item x="58"/>
        <item x="24"/>
        <item x="77"/>
        <item x="47"/>
        <item x="14"/>
        <item x="38"/>
        <item x="15"/>
        <item x="91"/>
        <item x="46"/>
        <item x="78"/>
        <item x="23"/>
        <item x="79"/>
        <item x="27"/>
        <item x="16"/>
        <item x="32"/>
        <item x="35"/>
        <item x="84"/>
        <item x="80"/>
        <item x="9"/>
        <item x="93"/>
        <item x="52"/>
        <item x="13"/>
        <item x="11"/>
        <item x="49"/>
        <item x="55"/>
        <item x="96"/>
        <item x="20"/>
        <item x="75"/>
        <item x="89"/>
        <item x="26"/>
        <item x="74"/>
        <item x="22"/>
        <item x="0"/>
        <item x="42"/>
        <item x="37"/>
        <item x="56"/>
        <item x="30"/>
        <item x="88"/>
        <item x="28"/>
        <item x="85"/>
        <item x="21"/>
        <item x="41"/>
        <item x="69"/>
        <item x="99"/>
        <item x="60"/>
        <item x="36"/>
        <item x="67"/>
        <item x="54"/>
        <item x="63"/>
        <item x="90"/>
        <item x="1"/>
        <item x="100"/>
        <item t="default"/>
      </items>
    </pivotField>
    <pivotField compact="0" showAll="0"/>
    <pivotField compact="0" showAll="0"/>
    <pivotField axis="axisRow" compact="0" sortType="descending" showAll="0">
      <items count="70">
        <item x="54"/>
        <item x="22"/>
        <item x="26"/>
        <item x="36"/>
        <item x="41"/>
        <item x="49"/>
        <item x="23"/>
        <item x="12"/>
        <item x="66"/>
        <item x="59"/>
        <item x="8"/>
        <item x="39"/>
        <item x="17"/>
        <item x="62"/>
        <item x="48"/>
        <item x="27"/>
        <item x="42"/>
        <item x="64"/>
        <item x="11"/>
        <item x="32"/>
        <item x="61"/>
        <item x="2"/>
        <item x="35"/>
        <item x="29"/>
        <item x="21"/>
        <item x="52"/>
        <item x="37"/>
        <item x="53"/>
        <item x="9"/>
        <item x="10"/>
        <item x="58"/>
        <item x="51"/>
        <item x="20"/>
        <item x="63"/>
        <item x="7"/>
        <item x="55"/>
        <item x="46"/>
        <item x="25"/>
        <item x="31"/>
        <item x="16"/>
        <item x="65"/>
        <item x="15"/>
        <item x="57"/>
        <item x="18"/>
        <item x="24"/>
        <item x="28"/>
        <item x="0"/>
        <item x="40"/>
        <item x="38"/>
        <item x="60"/>
        <item x="5"/>
        <item x="13"/>
        <item x="4"/>
        <item x="1"/>
        <item x="33"/>
        <item x="30"/>
        <item x="6"/>
        <item x="50"/>
        <item x="19"/>
        <item x="56"/>
        <item x="67"/>
        <item x="47"/>
        <item x="45"/>
        <item x="44"/>
        <item x="43"/>
        <item x="14"/>
        <item x="34"/>
        <item x="3"/>
        <item x="6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70">
    <i>
      <x v="15"/>
    </i>
    <i>
      <x v="53"/>
    </i>
    <i>
      <x v="46"/>
    </i>
    <i>
      <x v="45"/>
    </i>
    <i>
      <x v="34"/>
    </i>
    <i>
      <x v="21"/>
    </i>
    <i>
      <x v="18"/>
    </i>
    <i>
      <x v="3"/>
    </i>
    <i>
      <x v="55"/>
    </i>
    <i>
      <x v="51"/>
    </i>
    <i>
      <x v="50"/>
    </i>
    <i>
      <x v="43"/>
    </i>
    <i>
      <x v="38"/>
    </i>
    <i>
      <x v="37"/>
    </i>
    <i>
      <x v="30"/>
    </i>
    <i>
      <x v="22"/>
    </i>
    <i>
      <x v="12"/>
    </i>
    <i>
      <x v="11"/>
    </i>
    <i>
      <x v="10"/>
    </i>
    <i>
      <x v="7"/>
    </i>
    <i>
      <x v="6"/>
    </i>
    <i>
      <x v="5"/>
    </i>
    <i>
      <x v="67"/>
    </i>
    <i>
      <x v="66"/>
    </i>
    <i>
      <x v="65"/>
    </i>
    <i>
      <x v="64"/>
    </i>
    <i>
      <x v="63"/>
    </i>
    <i>
      <x v="62"/>
    </i>
    <i>
      <x v="61"/>
    </i>
    <i>
      <x v="60"/>
    </i>
    <i>
      <x v="59"/>
    </i>
    <i>
      <x v="58"/>
    </i>
    <i>
      <x v="57"/>
    </i>
    <i>
      <x v="56"/>
    </i>
    <i>
      <x v="54"/>
    </i>
    <i>
      <x v="52"/>
    </i>
    <i>
      <x v="49"/>
    </i>
    <i>
      <x v="48"/>
    </i>
    <i>
      <x v="47"/>
    </i>
    <i>
      <x v="44"/>
    </i>
    <i>
      <x v="42"/>
    </i>
    <i>
      <x v="41"/>
    </i>
    <i>
      <x v="40"/>
    </i>
    <i>
      <x v="39"/>
    </i>
    <i>
      <x v="36"/>
    </i>
    <i>
      <x v="35"/>
    </i>
    <i>
      <x v="33"/>
    </i>
    <i>
      <x v="32"/>
    </i>
    <i>
      <x v="31"/>
    </i>
    <i>
      <x v="29"/>
    </i>
    <i>
      <x v="28"/>
    </i>
    <i>
      <x v="27"/>
    </i>
    <i>
      <x v="26"/>
    </i>
    <i>
      <x v="25"/>
    </i>
    <i>
      <x v="24"/>
    </i>
    <i>
      <x v="23"/>
    </i>
    <i>
      <x v="20"/>
    </i>
    <i>
      <x v="19"/>
    </i>
    <i>
      <x v="17"/>
    </i>
    <i>
      <x v="16"/>
    </i>
    <i>
      <x v="14"/>
    </i>
    <i>
      <x v="13"/>
    </i>
    <i>
      <x v="9"/>
    </i>
    <i>
      <x v="8"/>
    </i>
    <i>
      <x v="4"/>
    </i>
    <i>
      <x v="2"/>
    </i>
    <i>
      <x v="1"/>
    </i>
    <i>
      <x/>
    </i>
    <i>
      <x v="68"/>
    </i>
    <i t="grand">
      <x/>
    </i>
  </rowItems>
  <colItems count="1">
    <i/>
  </colItems>
  <dataFields count="1">
    <dataField name="计数项:ASIN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images-na.ssl-images-amazon.com/images/I/61vDzM3w97L._AC_US600_.jpg" TargetMode="External"/><Relationship Id="rId98" Type="http://schemas.openxmlformats.org/officeDocument/2006/relationships/hyperlink" Target="https://www.amazon.com/dp/B0771GMVRT?psc=1" TargetMode="External"/><Relationship Id="rId97" Type="http://schemas.openxmlformats.org/officeDocument/2006/relationships/hyperlink" Target="https://www.amazon.com/stores/StelleAthletica/page/92A01961-B5D1-4EA4-A438-84B406B2808B?ref_=ast_bln&amp;store_ref=bl_ast_dp_brandLogo_sto" TargetMode="External"/><Relationship Id="rId96" Type="http://schemas.openxmlformats.org/officeDocument/2006/relationships/hyperlink" Target="https://www.amazon.com/dp/B0771GMVRT" TargetMode="External"/><Relationship Id="rId95" Type="http://schemas.openxmlformats.org/officeDocument/2006/relationships/hyperlink" Target="https://www.amazon.com/gp/help/seller/at-a-glance.html/ref=dp_merchant_link?seller=A1FKJ6TBSHW1EW" TargetMode="External"/><Relationship Id="rId94" Type="http://schemas.openxmlformats.org/officeDocument/2006/relationships/hyperlink" Target="https://www.amazon.com/dp/B098DGLK8Y" TargetMode="External"/><Relationship Id="rId93" Type="http://schemas.openxmlformats.org/officeDocument/2006/relationships/hyperlink" Target="https://images-na.ssl-images-amazon.com/images/I/61S6phic62L._AC_US600_.jpg" TargetMode="External"/><Relationship Id="rId92" Type="http://schemas.openxmlformats.org/officeDocument/2006/relationships/hyperlink" Target="https://www.amazon.com/dp/B099PPF92T?psc=1" TargetMode="External"/><Relationship Id="rId91" Type="http://schemas.openxmlformats.org/officeDocument/2006/relationships/hyperlink" Target="https://www.amazon.com/stores/MCEDAR/page/225ADAA0-EEC7-42A2-9054-3F6BD95CBE76?ref_=ast_bln&amp;store_ref=bl_ast_dp_brandLogo_sto" TargetMode="External"/><Relationship Id="rId90" Type="http://schemas.openxmlformats.org/officeDocument/2006/relationships/hyperlink" Target="https://www.amazon.com/dp/B099PPF92T" TargetMode="External"/><Relationship Id="rId9" Type="http://schemas.openxmlformats.org/officeDocument/2006/relationships/hyperlink" Target="https://www.amazon.com/dp/B08KWCB219" TargetMode="External"/><Relationship Id="rId89" Type="http://schemas.openxmlformats.org/officeDocument/2006/relationships/hyperlink" Target="https://www.amazon.com/dp/B0D31R2HRF" TargetMode="External"/><Relationship Id="rId88" Type="http://schemas.openxmlformats.org/officeDocument/2006/relationships/hyperlink" Target="https://m.media-amazon.com/images/I/41ol4DcCmSL._AC_SR600,600_.jpg" TargetMode="External"/><Relationship Id="rId87" Type="http://schemas.openxmlformats.org/officeDocument/2006/relationships/hyperlink" Target="https://www.amazon.com/dp/B0CR9XYTGS?psc=1" TargetMode="External"/><Relationship Id="rId86" Type="http://schemas.openxmlformats.org/officeDocument/2006/relationships/hyperlink" Target="https://www.amazon.com/dp/B0CR9XYTGS" TargetMode="External"/><Relationship Id="rId85" Type="http://schemas.openxmlformats.org/officeDocument/2006/relationships/hyperlink" Target="https://www.amazon.com/gp/help/seller/at-a-glance.html/ref=dp_merchant_link?seller=A23H347ORJGANQ" TargetMode="External"/><Relationship Id="rId84" Type="http://schemas.openxmlformats.org/officeDocument/2006/relationships/hyperlink" Target="https://www.amazon.com/dp/B0D461G79C" TargetMode="External"/><Relationship Id="rId83" Type="http://schemas.openxmlformats.org/officeDocument/2006/relationships/hyperlink" Target="https://m.media-amazon.com/images/I/41V7fn15teL._AC_SR600,600_.jpg" TargetMode="External"/><Relationship Id="rId82" Type="http://schemas.openxmlformats.org/officeDocument/2006/relationships/hyperlink" Target="https://www.amazon.com/dp/B09VL9JM7B?psc=1" TargetMode="External"/><Relationship Id="rId81" Type="http://schemas.openxmlformats.org/officeDocument/2006/relationships/hyperlink" Target="https://www.amazon.com/stores/Navneet/page/BB8E09CF-FBE8-49DC-A070-676B5E9179E6?ref_=ast_bln&amp;store_ref=bl_ast_dp_brandLogo_sto" TargetMode="External"/><Relationship Id="rId80" Type="http://schemas.openxmlformats.org/officeDocument/2006/relationships/hyperlink" Target="https://www.amazon.com/dp/B09VL9JM7B" TargetMode="External"/><Relationship Id="rId8" Type="http://schemas.openxmlformats.org/officeDocument/2006/relationships/hyperlink" Target="https://www.amazon.com/gp/help/seller/at-a-glance.html/ref=dp_merchant_link?seller=A1ZXMCRCDZE0B3" TargetMode="External"/><Relationship Id="rId79" Type="http://schemas.openxmlformats.org/officeDocument/2006/relationships/hyperlink" Target="https://www.amazon.com/gp/help/seller/at-a-glance.html/ref=dp_merchant_link?seller=A3IXKK4HU2971B" TargetMode="External"/><Relationship Id="rId78" Type="http://schemas.openxmlformats.org/officeDocument/2006/relationships/hyperlink" Target="https://www.amazon.com/dp/B0C8H4MHSQ" TargetMode="External"/><Relationship Id="rId77" Type="http://schemas.openxmlformats.org/officeDocument/2006/relationships/hyperlink" Target="https://images-na.ssl-images-amazon.com/images/I/515l0Lo3gXL._AC_US600_.jpg" TargetMode="External"/><Relationship Id="rId76" Type="http://schemas.openxmlformats.org/officeDocument/2006/relationships/hyperlink" Target="https://www.amazon.com/dp/B0CBJK85SS?psc=1" TargetMode="External"/><Relationship Id="rId75" Type="http://schemas.openxmlformats.org/officeDocument/2006/relationships/hyperlink" Target="https://www.amazon.com/Rbenxia/b/ref=bl_sl_s_ap_web_19831078011?ie=UTF8&amp;node=19831078011&amp;field-lbr_brands_browse-bin=Rbenxia" TargetMode="External"/><Relationship Id="rId74" Type="http://schemas.openxmlformats.org/officeDocument/2006/relationships/hyperlink" Target="https://www.amazon.com/dp/B0CBJK85SS" TargetMode="External"/><Relationship Id="rId73" Type="http://schemas.openxmlformats.org/officeDocument/2006/relationships/hyperlink" Target="https://www.amazon.com/gp/help/seller/at-a-glance.html/ref=dp_merchant_link?seller=A1GY02MYETD4XU" TargetMode="External"/><Relationship Id="rId72" Type="http://schemas.openxmlformats.org/officeDocument/2006/relationships/hyperlink" Target="https://www.amazon.com/dp/B0CBR82YM5" TargetMode="External"/><Relationship Id="rId71" Type="http://schemas.openxmlformats.org/officeDocument/2006/relationships/hyperlink" Target="https://images-na.ssl-images-amazon.com/images/I/617oSwSdTNL._AC_US600_.jpg" TargetMode="External"/><Relationship Id="rId70" Type="http://schemas.openxmlformats.org/officeDocument/2006/relationships/hyperlink" Target="https://www.amazon.com/dp/B0CBR858BS?psc=1" TargetMode="External"/><Relationship Id="rId7" Type="http://schemas.openxmlformats.org/officeDocument/2006/relationships/hyperlink" Target="https://www.amazon.com/gp/bestsellers/fashion" TargetMode="External"/><Relationship Id="rId69" Type="http://schemas.openxmlformats.org/officeDocument/2006/relationships/hyperlink" Target="https://www.amazon.com/dp/B0CBR858BS" TargetMode="External"/><Relationship Id="rId68" Type="http://schemas.openxmlformats.org/officeDocument/2006/relationships/hyperlink" Target="https://www.amazon.com/gp/help/seller/at-a-glance.html/ref=dp_merchant_link?seller=A2YY24OTPMCH3O" TargetMode="External"/><Relationship Id="rId67" Type="http://schemas.openxmlformats.org/officeDocument/2006/relationships/hyperlink" Target="https://www.amazon.com/dp/B08D6GFJNL" TargetMode="External"/><Relationship Id="rId66" Type="http://schemas.openxmlformats.org/officeDocument/2006/relationships/hyperlink" Target="https://m.media-amazon.com/images/I/418F5ZF9JJL._AC_SR600,600_.jpg" TargetMode="External"/><Relationship Id="rId65" Type="http://schemas.openxmlformats.org/officeDocument/2006/relationships/hyperlink" Target="https://www.amazon.com/dp/B09VGN36V7?psc=1" TargetMode="External"/><Relationship Id="rId64" Type="http://schemas.openxmlformats.org/officeDocument/2006/relationships/hyperlink" Target="https://www.amazon.com/stores/ZHANCHTONG/page/BC0CEDF1-FFFB-4495-BCFE-75079D04CE71?ref_=ast_bln" TargetMode="External"/><Relationship Id="rId63" Type="http://schemas.openxmlformats.org/officeDocument/2006/relationships/hyperlink" Target="https://www.amazon.com/dp/B09VGN36V7" TargetMode="External"/><Relationship Id="rId62" Type="http://schemas.openxmlformats.org/officeDocument/2006/relationships/hyperlink" Target="https://www.amazon.com/gp/help/seller/at-a-glance.html/ref=dp_merchant_link?seller=A26D3SMGY2WM2I" TargetMode="External"/><Relationship Id="rId61" Type="http://schemas.openxmlformats.org/officeDocument/2006/relationships/hyperlink" Target="https://www.amazon.com/dp/B0CSWLD1CV" TargetMode="External"/><Relationship Id="rId60" Type="http://schemas.openxmlformats.org/officeDocument/2006/relationships/hyperlink" Target="https://m.media-amazon.com/images/I/31p25O3DlZL._AC_SR600,600_.jpg" TargetMode="External"/><Relationship Id="rId6" Type="http://schemas.openxmlformats.org/officeDocument/2006/relationships/hyperlink" Target="https://www.amazon.com/b?node=1046602" TargetMode="External"/><Relationship Id="rId59" Type="http://schemas.openxmlformats.org/officeDocument/2006/relationships/hyperlink" Target="https://www.amazon.com/dp/B0CSWGZ721?psc=1" TargetMode="External"/><Relationship Id="rId58" Type="http://schemas.openxmlformats.org/officeDocument/2006/relationships/hyperlink" Target="https://www.amazon.com/stores/CHRLEISURE/page/D82C11C2-31CD-4138-864C-027A126EF08E?ref_=ast_bln&amp;store_ref=bl_ast_dp_brandLogo_sto" TargetMode="External"/><Relationship Id="rId57" Type="http://schemas.openxmlformats.org/officeDocument/2006/relationships/hyperlink" Target="https://www.amazon.com/dp/B0CSWGZ721" TargetMode="External"/><Relationship Id="rId56" Type="http://schemas.openxmlformats.org/officeDocument/2006/relationships/hyperlink" Target="https://www.amazon.com/gp/help/seller/at-a-glance.html/ref=dp_merchant_link?seller=A1I3Z4ZI1HXHLL" TargetMode="External"/><Relationship Id="rId55" Type="http://schemas.openxmlformats.org/officeDocument/2006/relationships/hyperlink" Target="https://www.amazon.com/dp/B0DHFM2CWZ" TargetMode="External"/><Relationship Id="rId54" Type="http://schemas.openxmlformats.org/officeDocument/2006/relationships/hyperlink" Target="https://m.media-amazon.com/images/I/31jG7SKpoIL._AC_SR600,600_.jpg" TargetMode="External"/><Relationship Id="rId53" Type="http://schemas.openxmlformats.org/officeDocument/2006/relationships/hyperlink" Target="https://www.amazon.com/dp/B09WMXRBNV?psc=1" TargetMode="External"/><Relationship Id="rId52" Type="http://schemas.openxmlformats.org/officeDocument/2006/relationships/hyperlink" Target="https://www.amazon.com/stores/Weaimtoprovidecustomerbothgoodserviceandbestproductingoodvalue/page/904819AB-6B6A-44FB-8F6E-100C7249A34A?ref_=ast_bln&amp;store_ref=bl_ast_dp_brandLogo_sto" TargetMode="External"/><Relationship Id="rId51" Type="http://schemas.openxmlformats.org/officeDocument/2006/relationships/hyperlink" Target="https://www.amazon.com/dp/B09WMXRBNV" TargetMode="External"/><Relationship Id="rId50" Type="http://schemas.openxmlformats.org/officeDocument/2006/relationships/hyperlink" Target="https://www.amazon.com/gp/help/seller/at-a-glance.html/ref=dp_merchant_link?seller=A2DC1A8ZMZHZKL" TargetMode="External"/><Relationship Id="rId5" Type="http://schemas.openxmlformats.org/officeDocument/2006/relationships/hyperlink" Target="https://www.amazon.com/dp/B089SS8KQQ" TargetMode="External"/><Relationship Id="rId492" Type="http://schemas.openxmlformats.org/officeDocument/2006/relationships/hyperlink" Target="https://www.amazon.com/gp/help/seller/at-a-glance.html/ref=dp_merchant_link?seller=A12D6DYWZULY97" TargetMode="External"/><Relationship Id="rId491" Type="http://schemas.openxmlformats.org/officeDocument/2006/relationships/hyperlink" Target="https://m.media-amazon.com/images/I/31bxgwxMJVL._AC_SR600,600_.jpg" TargetMode="External"/><Relationship Id="rId490" Type="http://schemas.openxmlformats.org/officeDocument/2006/relationships/hyperlink" Target="https://www.amazon.com/dp/B0CSJN478G?psc=1" TargetMode="External"/><Relationship Id="rId49" Type="http://schemas.openxmlformats.org/officeDocument/2006/relationships/hyperlink" Target="https://www.amazon.com/dp/B0CTCBTWNW" TargetMode="External"/><Relationship Id="rId489" Type="http://schemas.openxmlformats.org/officeDocument/2006/relationships/hyperlink" Target="https://www.amazon.com/stores/MIER/page/AF290D77-EAC6-4050-921D-8847D5493E1F?ref_=ast_bln&amp;store_ref=bl_ast_dp_brandLogo_sto" TargetMode="External"/><Relationship Id="rId488" Type="http://schemas.openxmlformats.org/officeDocument/2006/relationships/hyperlink" Target="https://www.amazon.com/dp/B0CSJN478G" TargetMode="External"/><Relationship Id="rId487" Type="http://schemas.openxmlformats.org/officeDocument/2006/relationships/hyperlink" Target="https://images-na.ssl-images-amazon.com/images/I/61LqIkqV8uL._AC_US600_.jpg" TargetMode="External"/><Relationship Id="rId486" Type="http://schemas.openxmlformats.org/officeDocument/2006/relationships/hyperlink" Target="https://www.amazon.com/dp/B0CRBF2DBC?psc=1" TargetMode="External"/><Relationship Id="rId485" Type="http://schemas.openxmlformats.org/officeDocument/2006/relationships/hyperlink" Target="https://www.amazon.com/dp/B0CRBF2DBC" TargetMode="External"/><Relationship Id="rId484" Type="http://schemas.openxmlformats.org/officeDocument/2006/relationships/hyperlink" Target="https://images-na.ssl-images-amazon.com/images/I/715l2cCRN9L._AC_US600_.jpg" TargetMode="External"/><Relationship Id="rId483" Type="http://schemas.openxmlformats.org/officeDocument/2006/relationships/hyperlink" Target="https://www.amazon.com/dp/B0CYBSMXH6?psc=1" TargetMode="External"/><Relationship Id="rId482" Type="http://schemas.openxmlformats.org/officeDocument/2006/relationships/hyperlink" Target="https://www.amazon.com/dp/B0CYBSMXH6" TargetMode="External"/><Relationship Id="rId481" Type="http://schemas.openxmlformats.org/officeDocument/2006/relationships/hyperlink" Target="https://www.amazon.com/gp/help/seller/at-a-glance.html/ref=dp_merchant_link?seller=A34BGYZVA31Z8W" TargetMode="External"/><Relationship Id="rId480" Type="http://schemas.openxmlformats.org/officeDocument/2006/relationships/hyperlink" Target="https://images-na.ssl-images-amazon.com/images/I/71SjAUBobQL._AC_US600_.jpg" TargetMode="External"/><Relationship Id="rId48" Type="http://schemas.openxmlformats.org/officeDocument/2006/relationships/hyperlink" Target="https://images-na.ssl-images-amazon.com/images/I/51+64ytsRSL._AC_US600_.jpg" TargetMode="External"/><Relationship Id="rId479" Type="http://schemas.openxmlformats.org/officeDocument/2006/relationships/hyperlink" Target="https://www.amazon.com/dp/B084KX4SX6?psc=1" TargetMode="External"/><Relationship Id="rId478" Type="http://schemas.openxmlformats.org/officeDocument/2006/relationships/hyperlink" Target="https://www.amazon.com/stores/RBX/page/78897117-36E3-4177-9399-6280AE9D7D85?ref_=ast_bln&amp;store_ref=bl_ast_dp_brandLogo_sto" TargetMode="External"/><Relationship Id="rId477" Type="http://schemas.openxmlformats.org/officeDocument/2006/relationships/hyperlink" Target="https://www.amazon.com/dp/B084KX4SX6" TargetMode="External"/><Relationship Id="rId476" Type="http://schemas.openxmlformats.org/officeDocument/2006/relationships/hyperlink" Target="https://m.media-amazon.com/images/I/41P5VBsiUHL._AC_SR600,600_.jpg" TargetMode="External"/><Relationship Id="rId475" Type="http://schemas.openxmlformats.org/officeDocument/2006/relationships/hyperlink" Target="https://www.amazon.com/dp/B082SQNRPG?psc=1" TargetMode="External"/><Relationship Id="rId474" Type="http://schemas.openxmlformats.org/officeDocument/2006/relationships/hyperlink" Target="https://www.amazon.com/dp/B082SQNRPG" TargetMode="External"/><Relationship Id="rId473" Type="http://schemas.openxmlformats.org/officeDocument/2006/relationships/hyperlink" Target="https://www.amazon.com/gp/help/seller/at-a-glance.html/ref=dp_merchant_link?seller=ANLCQE6VHYYWG" TargetMode="External"/><Relationship Id="rId472" Type="http://schemas.openxmlformats.org/officeDocument/2006/relationships/hyperlink" Target="https://images-na.ssl-images-amazon.com/images/I/617UqpBnogL._AC_US600_.jpg" TargetMode="External"/><Relationship Id="rId471" Type="http://schemas.openxmlformats.org/officeDocument/2006/relationships/hyperlink" Target="https://www.amazon.com/dp/B0CSYM9Q7T?psc=1" TargetMode="External"/><Relationship Id="rId470" Type="http://schemas.openxmlformats.org/officeDocument/2006/relationships/hyperlink" Target="https://www.amazon.com/stores/COOTRY/page/565D8BF1-4C17-4F9B-A3A2-58AC71AE9048?ref_=ast_bln&amp;store_ref=bl_ast_dp_brandLogo_sto" TargetMode="External"/><Relationship Id="rId47" Type="http://schemas.openxmlformats.org/officeDocument/2006/relationships/hyperlink" Target="https://www.amazon.com/dp/B0CTBBGFM5?psc=1" TargetMode="External"/><Relationship Id="rId469" Type="http://schemas.openxmlformats.org/officeDocument/2006/relationships/hyperlink" Target="https://www.amazon.com/dp/B0CSYM9Q7T" TargetMode="External"/><Relationship Id="rId468" Type="http://schemas.openxmlformats.org/officeDocument/2006/relationships/hyperlink" Target="https://m.media-amazon.com/images/I/318j3COTLnL._AC_SR600,600_.jpg" TargetMode="External"/><Relationship Id="rId467" Type="http://schemas.openxmlformats.org/officeDocument/2006/relationships/hyperlink" Target="https://www.amazon.com/dp/B0D1C1LW64?psc=1" TargetMode="External"/><Relationship Id="rId466" Type="http://schemas.openxmlformats.org/officeDocument/2006/relationships/hyperlink" Target="https://www.amazon.com/dp/B0D1C1LW64" TargetMode="External"/><Relationship Id="rId465" Type="http://schemas.openxmlformats.org/officeDocument/2006/relationships/hyperlink" Target="https://www.amazon.com/gp/help/seller/at-a-glance.html/ref=dp_merchant_link?seller=AMWQF3212ETWM" TargetMode="External"/><Relationship Id="rId464" Type="http://schemas.openxmlformats.org/officeDocument/2006/relationships/hyperlink" Target="https://m.media-amazon.com/images/I/31Cz1dtzZYL._AC_SR600,600_.jpg" TargetMode="External"/><Relationship Id="rId463" Type="http://schemas.openxmlformats.org/officeDocument/2006/relationships/hyperlink" Target="https://www.amazon.com/dp/B0D7MLB4G9?psc=1" TargetMode="External"/><Relationship Id="rId462" Type="http://schemas.openxmlformats.org/officeDocument/2006/relationships/hyperlink" Target="https://www.amazon.com/Komorebi/b/ref=bl_sl_s_ap_web_18916816011?ie=UTF8&amp;node=18916816011&amp;field-lbr_brands_browse-bin=Komorebi" TargetMode="External"/><Relationship Id="rId461" Type="http://schemas.openxmlformats.org/officeDocument/2006/relationships/hyperlink" Target="https://www.amazon.com/dp/B0D7MLB4G9" TargetMode="External"/><Relationship Id="rId460" Type="http://schemas.openxmlformats.org/officeDocument/2006/relationships/hyperlink" Target="https://www.amazon.com/gp/help/seller/at-a-glance.html/ref=dp_merchant_link?seller=A1VF08PZ2BIJ1K" TargetMode="External"/><Relationship Id="rId46" Type="http://schemas.openxmlformats.org/officeDocument/2006/relationships/hyperlink" Target="https://www.amazon.com/stores/DLOODA/page/C3B44253-824D-4459-81D5-ACB2BAF52CCA?ref_=ast_bln&amp;store_ref=bl_ast_dp_brandLogo_sto" TargetMode="External"/><Relationship Id="rId459" Type="http://schemas.openxmlformats.org/officeDocument/2006/relationships/hyperlink" Target="https://m.media-amazon.com/images/I/31ruMbTOJUL._AC_SR600,600_.jpg" TargetMode="External"/><Relationship Id="rId458" Type="http://schemas.openxmlformats.org/officeDocument/2006/relationships/hyperlink" Target="https://www.amazon.com/dp/B0B4FNFD61?psc=1" TargetMode="External"/><Relationship Id="rId457" Type="http://schemas.openxmlformats.org/officeDocument/2006/relationships/hyperlink" Target="https://www.amazon.com/dp/B0B4FNFD61" TargetMode="External"/><Relationship Id="rId456" Type="http://schemas.openxmlformats.org/officeDocument/2006/relationships/hyperlink" Target="https://m.media-amazon.com/images/I/41X6HWdso2L._AC_SR600,600_.jpg" TargetMode="External"/><Relationship Id="rId455" Type="http://schemas.openxmlformats.org/officeDocument/2006/relationships/hyperlink" Target="https://www.amazon.com/dp/B097F2J334?psc=1" TargetMode="External"/><Relationship Id="rId454" Type="http://schemas.openxmlformats.org/officeDocument/2006/relationships/hyperlink" Target="https://www.amazon.com/stores/Werena/page/92EC3869-06BA-4BDD-94AE-F2B4C7166A32?ref_=ast_bln&amp;store_ref=bl_ast_dp_brandLogo_sto" TargetMode="External"/><Relationship Id="rId453" Type="http://schemas.openxmlformats.org/officeDocument/2006/relationships/hyperlink" Target="https://www.amazon.com/dp/B097F2J334" TargetMode="External"/><Relationship Id="rId452" Type="http://schemas.openxmlformats.org/officeDocument/2006/relationships/hyperlink" Target="https://www.amazon.com/gp/help/seller/at-a-glance.html/ref=dp_merchant_link?seller=A2MH65MY8DV99Y" TargetMode="External"/><Relationship Id="rId451" Type="http://schemas.openxmlformats.org/officeDocument/2006/relationships/hyperlink" Target="https://images-na.ssl-images-amazon.com/images/I/71SSv5qFA7L._AC_US600_.jpg" TargetMode="External"/><Relationship Id="rId450" Type="http://schemas.openxmlformats.org/officeDocument/2006/relationships/hyperlink" Target="https://www.amazon.com/dp/B07Z3DYGPC?psc=1" TargetMode="External"/><Relationship Id="rId45" Type="http://schemas.openxmlformats.org/officeDocument/2006/relationships/hyperlink" Target="https://www.amazon.com/dp/B0CTBBGFM5" TargetMode="External"/><Relationship Id="rId449" Type="http://schemas.openxmlformats.org/officeDocument/2006/relationships/hyperlink" Target="https://www.amazon.com/stores/Ibeauti/page/DA7CF522-D8C1-47C3-BC4D-635BA568C712?ref_=ast_bln&amp;store_ref=bl_ast_dp_brandLogo_sto" TargetMode="External"/><Relationship Id="rId448" Type="http://schemas.openxmlformats.org/officeDocument/2006/relationships/hyperlink" Target="https://www.amazon.com/dp/B07Z3DYGPC" TargetMode="External"/><Relationship Id="rId447" Type="http://schemas.openxmlformats.org/officeDocument/2006/relationships/hyperlink" Target="https://www.amazon.com/gp/help/seller/at-a-glance.html/ref=dp_merchant_link?seller=AHITYY0DKK64X" TargetMode="External"/><Relationship Id="rId446" Type="http://schemas.openxmlformats.org/officeDocument/2006/relationships/hyperlink" Target="https://m.media-amazon.com/images/I/41W6D-IQRFL._AC_SR600,600_.jpg" TargetMode="External"/><Relationship Id="rId445" Type="http://schemas.openxmlformats.org/officeDocument/2006/relationships/hyperlink" Target="https://www.amazon.com/dp/B096XJR53X?psc=1" TargetMode="External"/><Relationship Id="rId444" Type="http://schemas.openxmlformats.org/officeDocument/2006/relationships/hyperlink" Target="https://www.amazon.com/stores/DERCA/page/224A3F5F-0E8D-4421-8AB3-A16602730F7B?ref_=ast_bln&amp;store_ref=bl_ast_dp_brandLogo_sto" TargetMode="External"/><Relationship Id="rId443" Type="http://schemas.openxmlformats.org/officeDocument/2006/relationships/hyperlink" Target="https://www.amazon.com/dp/B096XJR53X" TargetMode="External"/><Relationship Id="rId442" Type="http://schemas.openxmlformats.org/officeDocument/2006/relationships/hyperlink" Target="https://www.amazon.com/gp/help/seller/at-a-glance.html/ref=dp_merchant_link?seller=AJ2IE5554PWR2" TargetMode="External"/><Relationship Id="rId441" Type="http://schemas.openxmlformats.org/officeDocument/2006/relationships/hyperlink" Target="https://m.media-amazon.com/images/I/41Vt3zapR3L._AC_SR600,600_.jpg" TargetMode="External"/><Relationship Id="rId440" Type="http://schemas.openxmlformats.org/officeDocument/2006/relationships/hyperlink" Target="https://www.amazon.com/dp/B0BZY6JPVB?psc=1" TargetMode="External"/><Relationship Id="rId44" Type="http://schemas.openxmlformats.org/officeDocument/2006/relationships/hyperlink" Target="https://www.amazon.com/gp/help/seller/at-a-glance.html/ref=dp_merchant_link?seller=A1CUN78WUCCP7Z" TargetMode="External"/><Relationship Id="rId439" Type="http://schemas.openxmlformats.org/officeDocument/2006/relationships/hyperlink" Target="https://www.amazon.com/TTCM/b/ref=bl_sl_s_ap_web_101475501011?ie=UTF8&amp;node=101475501011&amp;field-lbr_brands_browse-bin=TTCM" TargetMode="External"/><Relationship Id="rId438" Type="http://schemas.openxmlformats.org/officeDocument/2006/relationships/hyperlink" Target="https://www.amazon.com/dp/B0BZY6JPVB" TargetMode="External"/><Relationship Id="rId437" Type="http://schemas.openxmlformats.org/officeDocument/2006/relationships/hyperlink" Target="https://www.amazon.com/gp/help/seller/at-a-glance.html/ref=dp_merchant_link?seller=AUCI3SOXHH004" TargetMode="External"/><Relationship Id="rId436" Type="http://schemas.openxmlformats.org/officeDocument/2006/relationships/hyperlink" Target="https://m.media-amazon.com/images/I/312OWVXYx+L._AC_SR600,600_.jpg" TargetMode="External"/><Relationship Id="rId435" Type="http://schemas.openxmlformats.org/officeDocument/2006/relationships/hyperlink" Target="https://www.amazon.com/dp/B0B6BPYMBJ?psc=1" TargetMode="External"/><Relationship Id="rId434" Type="http://schemas.openxmlformats.org/officeDocument/2006/relationships/hyperlink" Target="https://www.amazon.com/stores/baleaf/page/243A5985-DEA3-405F-83ED-364B4A3733C5?ref_=ast_bln&amp;store_ref=bl_ast_dp_brandLogo_sto" TargetMode="External"/><Relationship Id="rId433" Type="http://schemas.openxmlformats.org/officeDocument/2006/relationships/hyperlink" Target="https://www.amazon.com/dp/B0B6BPYMBJ" TargetMode="External"/><Relationship Id="rId432" Type="http://schemas.openxmlformats.org/officeDocument/2006/relationships/hyperlink" Target="https://m.media-amazon.com/images/I/31edvud3stL._AC_SR600,600_.jpg" TargetMode="External"/><Relationship Id="rId431" Type="http://schemas.openxmlformats.org/officeDocument/2006/relationships/hyperlink" Target="https://www.amazon.com/dp/B09YCB59RW?psc=1" TargetMode="External"/><Relationship Id="rId430" Type="http://schemas.openxmlformats.org/officeDocument/2006/relationships/hyperlink" Target="https://www.amazon.com/dp/B09YCB59RW" TargetMode="External"/><Relationship Id="rId43" Type="http://schemas.openxmlformats.org/officeDocument/2006/relationships/hyperlink" Target="https://www.amazon.com/dp/B0CRL6JB9G" TargetMode="External"/><Relationship Id="rId429" Type="http://schemas.openxmlformats.org/officeDocument/2006/relationships/hyperlink" Target="https://m.media-amazon.com/images/I/31-vKe36HzL._AC_SR600,600_.jpg" TargetMode="External"/><Relationship Id="rId428" Type="http://schemas.openxmlformats.org/officeDocument/2006/relationships/hyperlink" Target="https://www.amazon.com/dp/B0BVVQWQJQ?psc=1" TargetMode="External"/><Relationship Id="rId427" Type="http://schemas.openxmlformats.org/officeDocument/2006/relationships/hyperlink" Target="https://www.amazon.com/dp/B0BVVQWQJQ" TargetMode="External"/><Relationship Id="rId426" Type="http://schemas.openxmlformats.org/officeDocument/2006/relationships/hyperlink" Target="https://m.media-amazon.com/images/I/41bUztfjmQL._AC_SR600,600_.jpg" TargetMode="External"/><Relationship Id="rId425" Type="http://schemas.openxmlformats.org/officeDocument/2006/relationships/hyperlink" Target="https://www.amazon.com/dp/B0D5D879B3?psc=1" TargetMode="External"/><Relationship Id="rId424" Type="http://schemas.openxmlformats.org/officeDocument/2006/relationships/hyperlink" Target="https://www.amazon.com/dp/B0D5D879B3" TargetMode="External"/><Relationship Id="rId423" Type="http://schemas.openxmlformats.org/officeDocument/2006/relationships/hyperlink" Target="https://www.amazon.com/gp/help/seller/at-a-glance.html/ref=dp_merchant_link?seller=A34W0637HUY9YO" TargetMode="External"/><Relationship Id="rId422" Type="http://schemas.openxmlformats.org/officeDocument/2006/relationships/hyperlink" Target="https://m.media-amazon.com/images/I/51C+KH+kAuL._AIweblab959719,T4_AC_SR38,50_.jpg?aicid=AUI-3.1" TargetMode="External"/><Relationship Id="rId421" Type="http://schemas.openxmlformats.org/officeDocument/2006/relationships/hyperlink" Target="https://www.amazon.com/dp/B0C918W433?psc=1" TargetMode="External"/><Relationship Id="rId420" Type="http://schemas.openxmlformats.org/officeDocument/2006/relationships/hyperlink" Target="https://www.amazon.com/stores/CZRLHYT/page/B636243B-7C04-440A-9955-D1E6A65AC46B?ref_=ast_bln&amp;store_ref=bl_ast_dp_brandLogo_sto" TargetMode="External"/><Relationship Id="rId42" Type="http://schemas.openxmlformats.org/officeDocument/2006/relationships/hyperlink" Target="https://m.media-amazon.com/images/I/31j9weR+XDL._AC_SR600,600_.jpg" TargetMode="External"/><Relationship Id="rId419" Type="http://schemas.openxmlformats.org/officeDocument/2006/relationships/hyperlink" Target="https://www.amazon.com/dp/B0C918W433" TargetMode="External"/><Relationship Id="rId418" Type="http://schemas.openxmlformats.org/officeDocument/2006/relationships/hyperlink" Target="https://www.amazon.com/gp/help/seller/at-a-glance.html/ref=dp_merchant_link?seller=A3ARCQ9ILY075Q" TargetMode="External"/><Relationship Id="rId417" Type="http://schemas.openxmlformats.org/officeDocument/2006/relationships/hyperlink" Target="https://m.media-amazon.com/images/I/312T+8HISFL._AC_SR600,600_.jpg" TargetMode="External"/><Relationship Id="rId416" Type="http://schemas.openxmlformats.org/officeDocument/2006/relationships/hyperlink" Target="https://www.amazon.com/dp/B0CNVT851G?psc=1" TargetMode="External"/><Relationship Id="rId415" Type="http://schemas.openxmlformats.org/officeDocument/2006/relationships/hyperlink" Target="https://www.amazon.com/stores/Viodia/page/2DE13E0B-A7B3-4F9B-9846-53EBE7FDA4F5?ref_=ast_bln&amp;store_ref=bl_ast_dp_brandLogo_sto" TargetMode="External"/><Relationship Id="rId414" Type="http://schemas.openxmlformats.org/officeDocument/2006/relationships/hyperlink" Target="https://www.amazon.com/dp/B0CNVT851G" TargetMode="External"/><Relationship Id="rId413" Type="http://schemas.openxmlformats.org/officeDocument/2006/relationships/hyperlink" Target="https://www.amazon.com/gp/help/seller/at-a-glance.html/ref=dp_merchant_link?seller=A35KZH1XOKRBK" TargetMode="External"/><Relationship Id="rId412" Type="http://schemas.openxmlformats.org/officeDocument/2006/relationships/hyperlink" Target="https://m.media-amazon.com/images/I/41kPdH8q-qL._AC_SR600,600_.jpg" TargetMode="External"/><Relationship Id="rId411" Type="http://schemas.openxmlformats.org/officeDocument/2006/relationships/hyperlink" Target="https://www.amazon.com/dp/B0D53GV4H8?psc=1" TargetMode="External"/><Relationship Id="rId410" Type="http://schemas.openxmlformats.org/officeDocument/2006/relationships/hyperlink" Target="https://www.amazon.com/stores/CRESAY/page/1A434FE1-0B49-4696-9048-3999EE19BC64?ref_=ast_bln&amp;store_ref=bl_ast_dp_brandLogo_sto" TargetMode="External"/><Relationship Id="rId41" Type="http://schemas.openxmlformats.org/officeDocument/2006/relationships/hyperlink" Target="https://www.amazon.com/dp/B0CRLC1Z89?psc=1" TargetMode="External"/><Relationship Id="rId409" Type="http://schemas.openxmlformats.org/officeDocument/2006/relationships/hyperlink" Target="https://www.amazon.com/dp/B0D53GV4H8" TargetMode="External"/><Relationship Id="rId408" Type="http://schemas.openxmlformats.org/officeDocument/2006/relationships/hyperlink" Target="https://m.media-amazon.com/images/I/412Rqfytk3L._AC_SR600,600_.jpg" TargetMode="External"/><Relationship Id="rId407" Type="http://schemas.openxmlformats.org/officeDocument/2006/relationships/hyperlink" Target="https://www.amazon.com/dp/B0D8J5PX5G?psc=1" TargetMode="External"/><Relationship Id="rId406" Type="http://schemas.openxmlformats.org/officeDocument/2006/relationships/hyperlink" Target="https://www.amazon.com/dp/B0D8J5PX5G" TargetMode="External"/><Relationship Id="rId405" Type="http://schemas.openxmlformats.org/officeDocument/2006/relationships/hyperlink" Target="https://www.amazon.com/gp/help/seller/at-a-glance.html/ref=dp_merchant_link?seller=A3268KKK8QF5FK" TargetMode="External"/><Relationship Id="rId404" Type="http://schemas.openxmlformats.org/officeDocument/2006/relationships/hyperlink" Target="https://images-na.ssl-images-amazon.com/images/I/619mEGg9BlL._AC_US600_.jpg" TargetMode="External"/><Relationship Id="rId403" Type="http://schemas.openxmlformats.org/officeDocument/2006/relationships/hyperlink" Target="https://www.amazon.com/dp/B0C9QNFW18?psc=1" TargetMode="External"/><Relationship Id="rId402" Type="http://schemas.openxmlformats.org/officeDocument/2006/relationships/hyperlink" Target="https://www.amazon.com/stores/Joyingtwo/page/AA994E35-091F-495D-8B4E-77FE38D76020?ref_=ast_bln" TargetMode="External"/><Relationship Id="rId401" Type="http://schemas.openxmlformats.org/officeDocument/2006/relationships/hyperlink" Target="https://www.amazon.com/dp/B0C9QNFW18" TargetMode="External"/><Relationship Id="rId400" Type="http://schemas.openxmlformats.org/officeDocument/2006/relationships/hyperlink" Target="https://www.amazon.com/b?node=9056935011" TargetMode="External"/><Relationship Id="rId40" Type="http://schemas.openxmlformats.org/officeDocument/2006/relationships/hyperlink" Target="https://www.amazon.com/stores/Hiwzffy/page/0E999CED-1253-446A-99A2-E1F89E8109CB?ref_=ast_bln" TargetMode="External"/><Relationship Id="rId4" Type="http://schemas.openxmlformats.org/officeDocument/2006/relationships/hyperlink" Target="https://m.media-amazon.com/images/I/4163dP1CSCL._AC_SR600,600_.jpg" TargetMode="External"/><Relationship Id="rId399" Type="http://schemas.openxmlformats.org/officeDocument/2006/relationships/hyperlink" Target="https://images-na.ssl-images-amazon.com/images/I/810csjn8hBL._AC_US600_.jpg" TargetMode="External"/><Relationship Id="rId398" Type="http://schemas.openxmlformats.org/officeDocument/2006/relationships/hyperlink" Target="https://www.amazon.com/dp/B0CDXDPBY7?psc=1" TargetMode="External"/><Relationship Id="rId397" Type="http://schemas.openxmlformats.org/officeDocument/2006/relationships/hyperlink" Target="https://www.amazon.com/dp/B0CDXDPBY7" TargetMode="External"/><Relationship Id="rId396" Type="http://schemas.openxmlformats.org/officeDocument/2006/relationships/hyperlink" Target="https://www.amazon.com/gp/help/seller/at-a-glance.html/ref=dp_merchant_link?seller=A2KB57SF0224RC" TargetMode="External"/><Relationship Id="rId395" Type="http://schemas.openxmlformats.org/officeDocument/2006/relationships/hyperlink" Target="https://images-na.ssl-images-amazon.com/images/I/61aQM47pBWL._AC_US600_.jpg" TargetMode="External"/><Relationship Id="rId394" Type="http://schemas.openxmlformats.org/officeDocument/2006/relationships/hyperlink" Target="https://www.amazon.com/dp/B09Y425F5C?psc=1" TargetMode="External"/><Relationship Id="rId393" Type="http://schemas.openxmlformats.org/officeDocument/2006/relationships/hyperlink" Target="https://www.amazon.com/stores/Blaosn/page/B0F6364E-0AC6-4DE3-9E97-1E4EC22AC043?ref_=ast_bln&amp;store_ref=bl_ast_dp_brandLogo_sto" TargetMode="External"/><Relationship Id="rId392" Type="http://schemas.openxmlformats.org/officeDocument/2006/relationships/hyperlink" Target="https://www.amazon.com/dp/B09Y425F5C" TargetMode="External"/><Relationship Id="rId391" Type="http://schemas.openxmlformats.org/officeDocument/2006/relationships/hyperlink" Target="https://www.amazon.com/gp/help/seller/at-a-glance.html/ref=dp_merchant_link?seller=A2V0UAASMLW3VH" TargetMode="External"/><Relationship Id="rId390" Type="http://schemas.openxmlformats.org/officeDocument/2006/relationships/hyperlink" Target="https://images-na.ssl-images-amazon.com/images/I/71iNwyoB6+L._AC_US600_.jpg" TargetMode="External"/><Relationship Id="rId39" Type="http://schemas.openxmlformats.org/officeDocument/2006/relationships/hyperlink" Target="https://www.amazon.com/dp/B0CRLC1Z89" TargetMode="External"/><Relationship Id="rId389" Type="http://schemas.openxmlformats.org/officeDocument/2006/relationships/hyperlink" Target="https://www.amazon.com/dp/B0CT89R1L4?psc=1" TargetMode="External"/><Relationship Id="rId388" Type="http://schemas.openxmlformats.org/officeDocument/2006/relationships/hyperlink" Target="https://www.amazon.com/stores/Heathyoga/page/ADF7612E-0194-4BBE-B9AA-8E2C72DF616C?ref_=ast_bln&amp;store_ref=bl_ast_dp_brandLogo_sto" TargetMode="External"/><Relationship Id="rId387" Type="http://schemas.openxmlformats.org/officeDocument/2006/relationships/hyperlink" Target="https://www.amazon.com/dp/B0CT89R1L4" TargetMode="External"/><Relationship Id="rId386" Type="http://schemas.openxmlformats.org/officeDocument/2006/relationships/hyperlink" Target="https://www.amazon.com/gp/help/seller/at-a-glance.html/ref=dp_merchant_link?seller=A3J1UQ06EUSAGL" TargetMode="External"/><Relationship Id="rId385" Type="http://schemas.openxmlformats.org/officeDocument/2006/relationships/hyperlink" Target="https://m.media-amazon.com/images/I/51NQ-X4qLyL._AC_SR600,600_.jpg" TargetMode="External"/><Relationship Id="rId384" Type="http://schemas.openxmlformats.org/officeDocument/2006/relationships/hyperlink" Target="https://www.amazon.com/dp/B0CPSP57J1?psc=1" TargetMode="External"/><Relationship Id="rId383" Type="http://schemas.openxmlformats.org/officeDocument/2006/relationships/hyperlink" Target="https://www.amazon.com/stores/GGradual/page/83E26C48-D353-4DB2-BBB1-1B1E939F003F?ref_=ast_bln&amp;store_ref=bl_ast_dp_brandLogo_sto" TargetMode="External"/><Relationship Id="rId382" Type="http://schemas.openxmlformats.org/officeDocument/2006/relationships/hyperlink" Target="https://www.amazon.com/dp/B0CPSP57J1" TargetMode="External"/><Relationship Id="rId381" Type="http://schemas.openxmlformats.org/officeDocument/2006/relationships/hyperlink" Target="https://www.amazon.com/gp/help/seller/at-a-glance.html/ref=dp_merchant_link?seller=A18ONQ5JPHCYH1" TargetMode="External"/><Relationship Id="rId380" Type="http://schemas.openxmlformats.org/officeDocument/2006/relationships/hyperlink" Target="https://m.media-amazon.com/images/I/41dvkWhCTpL._AC_SR600,600_.jpg" TargetMode="External"/><Relationship Id="rId38" Type="http://schemas.openxmlformats.org/officeDocument/2006/relationships/hyperlink" Target="https://www.amazon.com/gp/help/seller/at-a-glance.html/ref=dp_merchant_link?seller=AYO07RIYQGDLC" TargetMode="External"/><Relationship Id="rId379" Type="http://schemas.openxmlformats.org/officeDocument/2006/relationships/hyperlink" Target="https://www.amazon.com/dp/B0BZH8PP33?psc=1" TargetMode="External"/><Relationship Id="rId378" Type="http://schemas.openxmlformats.org/officeDocument/2006/relationships/hyperlink" Target="https://www.amazon.com/stores/CAZUOYI/page/3D3DB17B-FF03-4615-A0AC-2AB14A906E0A?ref_=ast_bln" TargetMode="External"/><Relationship Id="rId377" Type="http://schemas.openxmlformats.org/officeDocument/2006/relationships/hyperlink" Target="https://www.amazon.com/dp/B0BZH8PP33" TargetMode="External"/><Relationship Id="rId376" Type="http://schemas.openxmlformats.org/officeDocument/2006/relationships/hyperlink" Target="https://www.amazon.com/gp/help/seller/at-a-glance.html/ref=dp_merchant_link?seller=AWC7NUCRC3BCP" TargetMode="External"/><Relationship Id="rId375" Type="http://schemas.openxmlformats.org/officeDocument/2006/relationships/hyperlink" Target="https://m.media-amazon.com/images/I/416Laj178vL._AIweblab959719,T4_AC_SR38,50_.jpg?aicid=AUI-3.1" TargetMode="External"/><Relationship Id="rId374" Type="http://schemas.openxmlformats.org/officeDocument/2006/relationships/hyperlink" Target="https://www.amazon.com/dp/B0CQCLL1LG?psc=1" TargetMode="External"/><Relationship Id="rId373" Type="http://schemas.openxmlformats.org/officeDocument/2006/relationships/hyperlink" Target="https://www.amazon.com/stores/EARKOHA/page/BEA02167-BB2F-4C6B-8C46-D62FFEB866C2?ref_=ast_bln&amp;store_ref=bl_ast_dp_brandLogo_sto" TargetMode="External"/><Relationship Id="rId372" Type="http://schemas.openxmlformats.org/officeDocument/2006/relationships/hyperlink" Target="https://www.amazon.com/dp/B0CQCLL1LG" TargetMode="External"/><Relationship Id="rId371" Type="http://schemas.openxmlformats.org/officeDocument/2006/relationships/hyperlink" Target="https://m.media-amazon.com/images/I/51IiH55cqsL._AC_SR600,600_.jpg" TargetMode="External"/><Relationship Id="rId370" Type="http://schemas.openxmlformats.org/officeDocument/2006/relationships/hyperlink" Target="https://www.amazon.com/dp/B0BWDMFJ87?psc=1" TargetMode="External"/><Relationship Id="rId37" Type="http://schemas.openxmlformats.org/officeDocument/2006/relationships/hyperlink" Target="https://www.amazon.com/dp/B0C48XKJK2" TargetMode="External"/><Relationship Id="rId369" Type="http://schemas.openxmlformats.org/officeDocument/2006/relationships/hyperlink" Target="https://www.amazon.com/dp/B0BWDMFJ87" TargetMode="External"/><Relationship Id="rId368" Type="http://schemas.openxmlformats.org/officeDocument/2006/relationships/hyperlink" Target="https://m.media-amazon.com/images/I/41hzEpmRDcL._AC_SR600,600_.jpg" TargetMode="External"/><Relationship Id="rId367" Type="http://schemas.openxmlformats.org/officeDocument/2006/relationships/hyperlink" Target="https://www.amazon.com/dp/B08Q37Z53T?psc=1" TargetMode="External"/><Relationship Id="rId366" Type="http://schemas.openxmlformats.org/officeDocument/2006/relationships/hyperlink" Target="https://www.amazon.com/dp/B08Q37Z53T" TargetMode="External"/><Relationship Id="rId365" Type="http://schemas.openxmlformats.org/officeDocument/2006/relationships/hyperlink" Target="https://www.amazon.com/b?node=2211990011" TargetMode="External"/><Relationship Id="rId364" Type="http://schemas.openxmlformats.org/officeDocument/2006/relationships/hyperlink" Target="https://m.media-amazon.com/images/I/31e827D+pjL._AC_SR600,600_.jpg" TargetMode="External"/><Relationship Id="rId363" Type="http://schemas.openxmlformats.org/officeDocument/2006/relationships/hyperlink" Target="https://www.amazon.com/dp/B0D5HGZG2F?psc=1" TargetMode="External"/><Relationship Id="rId362" Type="http://schemas.openxmlformats.org/officeDocument/2006/relationships/hyperlink" Target="https://www.amazon.com/dp/B0D5HGZG2F" TargetMode="External"/><Relationship Id="rId361" Type="http://schemas.openxmlformats.org/officeDocument/2006/relationships/hyperlink" Target="https://www.amazon.com/gp/help/seller/at-a-glance.html/ref=dp_merchant_link?seller=A2U6Y6GUDRM6PV" TargetMode="External"/><Relationship Id="rId360" Type="http://schemas.openxmlformats.org/officeDocument/2006/relationships/hyperlink" Target="https://m.media-amazon.com/images/I/31R5aRELi-L._AC_SR600,600_.jpg" TargetMode="External"/><Relationship Id="rId36" Type="http://schemas.openxmlformats.org/officeDocument/2006/relationships/hyperlink" Target="https://m.media-amazon.com/images/I/41QLBt200kL._AC_SR600,600_.jpg" TargetMode="External"/><Relationship Id="rId359" Type="http://schemas.openxmlformats.org/officeDocument/2006/relationships/hyperlink" Target="https://www.amazon.com/dp/B0BJKP58Q8?psc=1" TargetMode="External"/><Relationship Id="rId358" Type="http://schemas.openxmlformats.org/officeDocument/2006/relationships/hyperlink" Target="https://www.amazon.com/stores/HOKOYI/page/07637E19-C5CA-4012-B20B-9AE8FBEC1FED?ref_=ast_bln&amp;store_ref=bl_ast_dp_brandLogo_sto" TargetMode="External"/><Relationship Id="rId357" Type="http://schemas.openxmlformats.org/officeDocument/2006/relationships/hyperlink" Target="https://www.amazon.com/dp/B0BJKP58Q8" TargetMode="External"/><Relationship Id="rId356" Type="http://schemas.openxmlformats.org/officeDocument/2006/relationships/hyperlink" Target="https://m.media-amazon.com/images/I/310z6SNCURL._AC_SR600,600_.jpg" TargetMode="External"/><Relationship Id="rId355" Type="http://schemas.openxmlformats.org/officeDocument/2006/relationships/hyperlink" Target="https://www.amazon.com/dp/B0D9RSJ2F2?psc=1" TargetMode="External"/><Relationship Id="rId354" Type="http://schemas.openxmlformats.org/officeDocument/2006/relationships/hyperlink" Target="https://www.amazon.com/dp/B0D9RSJ2F2" TargetMode="External"/><Relationship Id="rId353" Type="http://schemas.openxmlformats.org/officeDocument/2006/relationships/hyperlink" Target="https://www.amazon.com/gp/help/seller/at-a-glance.html/ref=dp_merchant_link?seller=A36JLU7BHR5ZMD" TargetMode="External"/><Relationship Id="rId352" Type="http://schemas.openxmlformats.org/officeDocument/2006/relationships/hyperlink" Target="https://images-na.ssl-images-amazon.com/images/I/712yr75J8OL._AC_US600_.jpg" TargetMode="External"/><Relationship Id="rId351" Type="http://schemas.openxmlformats.org/officeDocument/2006/relationships/hyperlink" Target="https://www.amazon.com/dp/B0CG2Y9B6T?psc=1" TargetMode="External"/><Relationship Id="rId350" Type="http://schemas.openxmlformats.org/officeDocument/2006/relationships/hyperlink" Target="https://www.amazon.com/stores/JACKSMITH/page/51E52A6E-5130-4D79-B070-6442E1F33D43?ref_=ast_bln&amp;store_ref=bl_ast_dp_brandLogo_sto" TargetMode="External"/><Relationship Id="rId35" Type="http://schemas.openxmlformats.org/officeDocument/2006/relationships/hyperlink" Target="https://www.amazon.com/dp/B0C48V33QT?psc=1" TargetMode="External"/><Relationship Id="rId349" Type="http://schemas.openxmlformats.org/officeDocument/2006/relationships/hyperlink" Target="https://www.amazon.com/dp/B0CG2Y9B6T" TargetMode="External"/><Relationship Id="rId348" Type="http://schemas.openxmlformats.org/officeDocument/2006/relationships/hyperlink" Target="https://www.amazon.com/gp/help/seller/at-a-glance.html/ref=dp_merchant_link?seller=ARYR5KB7WDODT" TargetMode="External"/><Relationship Id="rId347" Type="http://schemas.openxmlformats.org/officeDocument/2006/relationships/hyperlink" Target="https://m.media-amazon.com/images/I/21wgZEXuJpL._AC_SR600,600_.jpg" TargetMode="External"/><Relationship Id="rId346" Type="http://schemas.openxmlformats.org/officeDocument/2006/relationships/hyperlink" Target="https://www.amazon.com/dp/B07YRW6BBZ?psc=1" TargetMode="External"/><Relationship Id="rId345" Type="http://schemas.openxmlformats.org/officeDocument/2006/relationships/hyperlink" Target="https://www.amazon.com/stores/A2Y/page/599F0E35-293A-408D-8F5B-D183ECDC8EC2?ref_=ast_bln&amp;store_ref=bl_ast_dp_brandLogo_sto" TargetMode="External"/><Relationship Id="rId344" Type="http://schemas.openxmlformats.org/officeDocument/2006/relationships/hyperlink" Target="https://www.amazon.com/dp/B07YRW6BBZ" TargetMode="External"/><Relationship Id="rId343" Type="http://schemas.openxmlformats.org/officeDocument/2006/relationships/hyperlink" Target="https://m.media-amazon.com/images/I/419kHLN+NqL._AC_SR600,600_.jpg" TargetMode="External"/><Relationship Id="rId342" Type="http://schemas.openxmlformats.org/officeDocument/2006/relationships/hyperlink" Target="https://www.amazon.com/dp/B0C23QYD92?psc=1" TargetMode="External"/><Relationship Id="rId341" Type="http://schemas.openxmlformats.org/officeDocument/2006/relationships/hyperlink" Target="https://www.amazon.com/dp/B0C23QYD92" TargetMode="External"/><Relationship Id="rId340" Type="http://schemas.openxmlformats.org/officeDocument/2006/relationships/hyperlink" Target="https://m.media-amazon.com/images/I/41AjvNZtUCL._AC_SR600,600_.jpg" TargetMode="External"/><Relationship Id="rId34" Type="http://schemas.openxmlformats.org/officeDocument/2006/relationships/hyperlink" Target="https://www.amazon.com/stores/JoyGirl/page/244B0403-A359-40F4-9EBC-58F880F1B1C0?ref_=ast_bln" TargetMode="External"/><Relationship Id="rId339" Type="http://schemas.openxmlformats.org/officeDocument/2006/relationships/hyperlink" Target="https://www.amazon.com/dp/B0CSYD4QMR?psc=1" TargetMode="External"/><Relationship Id="rId338" Type="http://schemas.openxmlformats.org/officeDocument/2006/relationships/hyperlink" Target="https://www.amazon.com/dp/B0CSYD4QMR" TargetMode="External"/><Relationship Id="rId337" Type="http://schemas.openxmlformats.org/officeDocument/2006/relationships/hyperlink" Target="https://www.amazon.com/gp/help/seller/at-a-glance.html/ref=dp_merchant_link?seller=A1MQI7SMZZ7C1W" TargetMode="External"/><Relationship Id="rId336" Type="http://schemas.openxmlformats.org/officeDocument/2006/relationships/hyperlink" Target="https://m.media-amazon.com/images/I/31Q+qxBiP5L._AC_SR600,600_.jpg" TargetMode="External"/><Relationship Id="rId335" Type="http://schemas.openxmlformats.org/officeDocument/2006/relationships/hyperlink" Target="https://www.amazon.com/dp/B0BK8ZQBLS?psc=1" TargetMode="External"/><Relationship Id="rId334" Type="http://schemas.openxmlformats.org/officeDocument/2006/relationships/hyperlink" Target="https://www.amazon.com/stores/GANADO/page/E5F73BC9-B93D-4218-8FE9-C18807977314?ref_=ast_bln&amp;store_ref=bl_ast_dp_brandLogo_sto" TargetMode="External"/><Relationship Id="rId333" Type="http://schemas.openxmlformats.org/officeDocument/2006/relationships/hyperlink" Target="https://www.amazon.com/dp/B0BK8ZQBLS" TargetMode="External"/><Relationship Id="rId332" Type="http://schemas.openxmlformats.org/officeDocument/2006/relationships/hyperlink" Target="https://www.amazon.com/gp/help/seller/at-a-glance.html/ref=dp_merchant_link?seller=A3MMXFW2QAF7BE" TargetMode="External"/><Relationship Id="rId331" Type="http://schemas.openxmlformats.org/officeDocument/2006/relationships/hyperlink" Target="https://images-na.ssl-images-amazon.com/images/I/71fEBPiwuqL._AC_US600_.jpg" TargetMode="External"/><Relationship Id="rId330" Type="http://schemas.openxmlformats.org/officeDocument/2006/relationships/hyperlink" Target="https://www.amazon.com/dp/B0CQX17W1G?psc=1" TargetMode="External"/><Relationship Id="rId33" Type="http://schemas.openxmlformats.org/officeDocument/2006/relationships/hyperlink" Target="https://www.amazon.com/dp/B0C48V33QT" TargetMode="External"/><Relationship Id="rId329" Type="http://schemas.openxmlformats.org/officeDocument/2006/relationships/hyperlink" Target="https://www.amazon.com/stores/NORMOV/page/B3E19D4A-0DED-4089-BEC3-DF1BA344462A?ref_=ast_bln" TargetMode="External"/><Relationship Id="rId328" Type="http://schemas.openxmlformats.org/officeDocument/2006/relationships/hyperlink" Target="https://www.amazon.com/dp/B0CQX17W1G" TargetMode="External"/><Relationship Id="rId327" Type="http://schemas.openxmlformats.org/officeDocument/2006/relationships/hyperlink" Target="https://www.amazon.com/gp/help/seller/at-a-glance.html/ref=dp_merchant_link?seller=A3OGLFRJIKZSEY" TargetMode="External"/><Relationship Id="rId326" Type="http://schemas.openxmlformats.org/officeDocument/2006/relationships/hyperlink" Target="https://images-na.ssl-images-amazon.com/images/I/61lUFO4TnlL._AC_US600_.jpg" TargetMode="External"/><Relationship Id="rId325" Type="http://schemas.openxmlformats.org/officeDocument/2006/relationships/hyperlink" Target="https://www.amazon.com/dp/B09HTLMGR3?psc=1" TargetMode="External"/><Relationship Id="rId324" Type="http://schemas.openxmlformats.org/officeDocument/2006/relationships/hyperlink" Target="https://www.amazon.com/stores/WowenyFashionSports/page/3D2B143F-34DE-485E-BFE3-BDB0B8FA5ED3?ref_=ast_bln&amp;store_ref=bl_ast_dp_brandLogo_sto" TargetMode="External"/><Relationship Id="rId323" Type="http://schemas.openxmlformats.org/officeDocument/2006/relationships/hyperlink" Target="https://www.amazon.com/dp/B09HTLMGR3" TargetMode="External"/><Relationship Id="rId322" Type="http://schemas.openxmlformats.org/officeDocument/2006/relationships/hyperlink" Target="https://www.amazon.com/gp/help/seller/at-a-glance.html/ref=dp_merchant_link?seller=A167MWRKMDKHIP" TargetMode="External"/><Relationship Id="rId321" Type="http://schemas.openxmlformats.org/officeDocument/2006/relationships/hyperlink" Target="https://m.media-amazon.com/images/I/41ncfwj4XsL._AC_SR600,600_.jpg" TargetMode="External"/><Relationship Id="rId320" Type="http://schemas.openxmlformats.org/officeDocument/2006/relationships/hyperlink" Target="https://www.amazon.com/dp/B093XS7LP2?psc=1" TargetMode="External"/><Relationship Id="rId32" Type="http://schemas.openxmlformats.org/officeDocument/2006/relationships/hyperlink" Target="https://www.amazon.com/gp/help/seller/at-a-glance.html/ref=dp_merchant_link?seller=A3E1SQM5WUB3RR" TargetMode="External"/><Relationship Id="rId319" Type="http://schemas.openxmlformats.org/officeDocument/2006/relationships/hyperlink" Target="https://www.amazon.com/stores/Betaven/page/720E6134-0D08-42D8-9556-267F9A867429?ref_=ast_bln&amp;store_ref=bl_ast_dp_brandLogo_sto" TargetMode="External"/><Relationship Id="rId318" Type="http://schemas.openxmlformats.org/officeDocument/2006/relationships/hyperlink" Target="https://www.amazon.com/dp/B093XS7LP2" TargetMode="External"/><Relationship Id="rId317" Type="http://schemas.openxmlformats.org/officeDocument/2006/relationships/hyperlink" Target="https://images-na.ssl-images-amazon.com/images/I/71NMpBHxBQL._AC_US600_.jpg" TargetMode="External"/><Relationship Id="rId316" Type="http://schemas.openxmlformats.org/officeDocument/2006/relationships/hyperlink" Target="https://www.amazon.com/dp/B0D66D7D4H?psc=1" TargetMode="External"/><Relationship Id="rId315" Type="http://schemas.openxmlformats.org/officeDocument/2006/relationships/hyperlink" Target="https://www.amazon.com/dp/B0D66D7D4H" TargetMode="External"/><Relationship Id="rId314" Type="http://schemas.openxmlformats.org/officeDocument/2006/relationships/hyperlink" Target="https://www.amazon.com/gp/help/seller/at-a-glance.html/ref=dp_merchant_link?seller=A39FUMDCUVK0H6" TargetMode="External"/><Relationship Id="rId313" Type="http://schemas.openxmlformats.org/officeDocument/2006/relationships/hyperlink" Target="https://images-na.ssl-images-amazon.com/images/I/91k6N8+p2ZL._AC_US600_.jpg" TargetMode="External"/><Relationship Id="rId312" Type="http://schemas.openxmlformats.org/officeDocument/2006/relationships/hyperlink" Target="https://www.amazon.com/dp/B0C4Y5RDB1?psc=1" TargetMode="External"/><Relationship Id="rId311" Type="http://schemas.openxmlformats.org/officeDocument/2006/relationships/hyperlink" Target="https://www.amazon.com/stores/Oyamiki/page/EC1A3AB1-AA68-417F-9465-00ECF1BC7EEB?ref_=ast_bln&amp;store_ref=bl_ast_dp_brandLogo_sto" TargetMode="External"/><Relationship Id="rId310" Type="http://schemas.openxmlformats.org/officeDocument/2006/relationships/hyperlink" Target="https://www.amazon.com/dp/B0C4Y5RDB1" TargetMode="External"/><Relationship Id="rId31" Type="http://schemas.openxmlformats.org/officeDocument/2006/relationships/hyperlink" Target="https://www.amazon.com/dp/B0CPSTVPDS" TargetMode="External"/><Relationship Id="rId309" Type="http://schemas.openxmlformats.org/officeDocument/2006/relationships/hyperlink" Target="https://www.amazon.com/gp/help/seller/at-a-glance.html/ref=dp_merchant_link?seller=ADQRWGK1A469B" TargetMode="External"/><Relationship Id="rId308" Type="http://schemas.openxmlformats.org/officeDocument/2006/relationships/hyperlink" Target="https://m.media-amazon.com/images/I/31vDCqnuAxL._AC_SR600,600_.jpg" TargetMode="External"/><Relationship Id="rId307" Type="http://schemas.openxmlformats.org/officeDocument/2006/relationships/hyperlink" Target="https://www.amazon.com/dp/B0CNSX743S?psc=1" TargetMode="External"/><Relationship Id="rId306" Type="http://schemas.openxmlformats.org/officeDocument/2006/relationships/hyperlink" Target="https://www.amazon.com/stores/Avidlove/page/6E5DD973-1818-42AC-965A-E648630A6ACA?ref_=ast_bln&amp;store_ref=bl_ast_dp_brandLogo_sto" TargetMode="External"/><Relationship Id="rId305" Type="http://schemas.openxmlformats.org/officeDocument/2006/relationships/hyperlink" Target="https://www.amazon.com/dp/B0CNSX743S" TargetMode="External"/><Relationship Id="rId304" Type="http://schemas.openxmlformats.org/officeDocument/2006/relationships/hyperlink" Target="https://www.amazon.com/gp/help/seller/at-a-glance.html/ref=dp_merchant_link?seller=A72WZD9I50LKA" TargetMode="External"/><Relationship Id="rId303" Type="http://schemas.openxmlformats.org/officeDocument/2006/relationships/hyperlink" Target="https://www.amazon.com/b?node=2515164011" TargetMode="External"/><Relationship Id="rId302" Type="http://schemas.openxmlformats.org/officeDocument/2006/relationships/hyperlink" Target="https://m.media-amazon.com/images/I/41PGbJnkl2L._AC_SR600,600_.jpg" TargetMode="External"/><Relationship Id="rId301" Type="http://schemas.openxmlformats.org/officeDocument/2006/relationships/hyperlink" Target="https://www.amazon.com/dp/B0CTWZZGY9?psc=1" TargetMode="External"/><Relationship Id="rId300" Type="http://schemas.openxmlformats.org/officeDocument/2006/relationships/hyperlink" Target="https://www.amazon.com/stores/THHGPO/page/DBE87FC1-D6CB-4A5D-A8ED-A0FA0A581CFF?ref_=ast_bln" TargetMode="External"/><Relationship Id="rId30" Type="http://schemas.openxmlformats.org/officeDocument/2006/relationships/hyperlink" Target="https://m.media-amazon.com/images/I/51JRi174VpL._AC_SR600,600_.jpg" TargetMode="External"/><Relationship Id="rId3" Type="http://schemas.openxmlformats.org/officeDocument/2006/relationships/hyperlink" Target="https://www.amazon.com/dp/B08F76JT89?psc=1" TargetMode="External"/><Relationship Id="rId299" Type="http://schemas.openxmlformats.org/officeDocument/2006/relationships/hyperlink" Target="https://www.amazon.com/dp/B0CTWZZGY9" TargetMode="External"/><Relationship Id="rId298" Type="http://schemas.openxmlformats.org/officeDocument/2006/relationships/hyperlink" Target="https://www.amazon.com/gp/help/seller/at-a-glance.html/ref=dp_merchant_link?seller=AGI8S9YM8S32" TargetMode="External"/><Relationship Id="rId297" Type="http://schemas.openxmlformats.org/officeDocument/2006/relationships/hyperlink" Target="https://www.amazon.com/dp/B0BHHZYSSB?psc=1" TargetMode="External"/><Relationship Id="rId296" Type="http://schemas.openxmlformats.org/officeDocument/2006/relationships/hyperlink" Target="https://www.amazon.com/stores/XNMAYA/page/36CB5E40-34D0-4AFC-A3E8-4C1297D8D0A5?ref_=ast_bln" TargetMode="External"/><Relationship Id="rId295" Type="http://schemas.openxmlformats.org/officeDocument/2006/relationships/hyperlink" Target="https://www.amazon.com/dp/B0BHHZYSSB" TargetMode="External"/><Relationship Id="rId294" Type="http://schemas.openxmlformats.org/officeDocument/2006/relationships/hyperlink" Target="https://m.media-amazon.com/images/I/41YDMA-023L._AC_SR600,600_.jpg" TargetMode="External"/><Relationship Id="rId293" Type="http://schemas.openxmlformats.org/officeDocument/2006/relationships/hyperlink" Target="https://www.amazon.com/dp/B09Q53W5ND?psc=1" TargetMode="External"/><Relationship Id="rId292" Type="http://schemas.openxmlformats.org/officeDocument/2006/relationships/hyperlink" Target="https://www.amazon.com/dp/B09Q53W5ND" TargetMode="External"/><Relationship Id="rId291" Type="http://schemas.openxmlformats.org/officeDocument/2006/relationships/hyperlink" Target="https://www.amazon.com/gp/help/seller/at-a-glance.html/ref=dp_merchant_link?seller=ADPI9LE50EUV" TargetMode="External"/><Relationship Id="rId290" Type="http://schemas.openxmlformats.org/officeDocument/2006/relationships/hyperlink" Target="https://m.media-amazon.com/images/I/318GPvAU69L._AC_SR600,600_.jpg" TargetMode="External"/><Relationship Id="rId29" Type="http://schemas.openxmlformats.org/officeDocument/2006/relationships/hyperlink" Target="https://www.amazon.com/dp/B0CPSSXKY2?psc=1" TargetMode="External"/><Relationship Id="rId289" Type="http://schemas.openxmlformats.org/officeDocument/2006/relationships/hyperlink" Target="https://www.amazon.com/dp/B0CXD5PYTR?psc=1" TargetMode="External"/><Relationship Id="rId288" Type="http://schemas.openxmlformats.org/officeDocument/2006/relationships/hyperlink" Target="https://www.amazon.com/stores/ANRABESS/page/937C5045-E1CD-46BB-99F1-38FA5C0E3B27?ref_=ast_bln&amp;store_ref=bl_ast_dp_brandLogo_sto" TargetMode="External"/><Relationship Id="rId287" Type="http://schemas.openxmlformats.org/officeDocument/2006/relationships/hyperlink" Target="https://www.amazon.com/dp/B0CXD5PYTR" TargetMode="External"/><Relationship Id="rId286" Type="http://schemas.openxmlformats.org/officeDocument/2006/relationships/hyperlink" Target="https://www.amazon.com/gp/help/seller/at-a-glance.html/ref=dp_merchant_link?seller=AFA7SX9CHJSXJ" TargetMode="External"/><Relationship Id="rId285" Type="http://schemas.openxmlformats.org/officeDocument/2006/relationships/hyperlink" Target="https://www.amazon.com/b?node=1045022" TargetMode="External"/><Relationship Id="rId284" Type="http://schemas.openxmlformats.org/officeDocument/2006/relationships/hyperlink" Target="https://m.media-amazon.com/images/I/41PyIjbn9gL._AC_SR600,600_.jpg" TargetMode="External"/><Relationship Id="rId283" Type="http://schemas.openxmlformats.org/officeDocument/2006/relationships/hyperlink" Target="https://www.amazon.com/dp/B0C9GTRNBT?psc=1" TargetMode="External"/><Relationship Id="rId282" Type="http://schemas.openxmlformats.org/officeDocument/2006/relationships/hyperlink" Target="https://www.amazon.com/stores/VIGORICS/page/FEC2A707-E5BF-40D3-94B7-CB2E20B911AC?ref_=ast_bln&amp;store_ref=bl_ast_dp_brandLogo_sto" TargetMode="External"/><Relationship Id="rId281" Type="http://schemas.openxmlformats.org/officeDocument/2006/relationships/hyperlink" Target="https://www.amazon.com/dp/B0C9GTRNBT" TargetMode="External"/><Relationship Id="rId280" Type="http://schemas.openxmlformats.org/officeDocument/2006/relationships/hyperlink" Target="https://www.amazon.com/gp/help/seller/at-a-glance.html/ref=dp_merchant_link?seller=A24775X1KAIBQI" TargetMode="External"/><Relationship Id="rId28" Type="http://schemas.openxmlformats.org/officeDocument/2006/relationships/hyperlink" Target="https://www.amazon.com/stores/SANTINY/page/C8E491B5-0FA2-4D0C-979E-F3B657EE0FA5?ref_=ast_bln&amp;store_ref=bl_ast_dp_brandLogo_sto" TargetMode="External"/><Relationship Id="rId279" Type="http://schemas.openxmlformats.org/officeDocument/2006/relationships/hyperlink" Target="https://m.media-amazon.com/images/I/31XbB5VBUVL._AC_SR600,600_.jpg" TargetMode="External"/><Relationship Id="rId278" Type="http://schemas.openxmlformats.org/officeDocument/2006/relationships/hyperlink" Target="https://www.amazon.com/dp/B0BBMF142Z?psc=1" TargetMode="External"/><Relationship Id="rId277" Type="http://schemas.openxmlformats.org/officeDocument/2006/relationships/hyperlink" Target="https://www.amazon.com/stores/XiokerSports/page/5C17F7F6-E1B6-44CC-9855-669CCCFB9840?ref_=ast_bln&amp;store_ref=bl_ast_dp_brandLogo_sto" TargetMode="External"/><Relationship Id="rId276" Type="http://schemas.openxmlformats.org/officeDocument/2006/relationships/hyperlink" Target="https://www.amazon.com/dp/B0BBMF142Z" TargetMode="External"/><Relationship Id="rId275" Type="http://schemas.openxmlformats.org/officeDocument/2006/relationships/hyperlink" Target="https://www.amazon.com/gp/help/seller/at-a-glance.html/ref=dp_merchant_link?seller=A2ZTKLGW111KU5" TargetMode="External"/><Relationship Id="rId274" Type="http://schemas.openxmlformats.org/officeDocument/2006/relationships/hyperlink" Target="https://www.amazon.com/dp/B07LD8K89D" TargetMode="External"/><Relationship Id="rId273" Type="http://schemas.openxmlformats.org/officeDocument/2006/relationships/hyperlink" Target="https://m.media-amazon.com/images/I/51QUygWA-+L._AC_SR600,600_.jpg" TargetMode="External"/><Relationship Id="rId272" Type="http://schemas.openxmlformats.org/officeDocument/2006/relationships/hyperlink" Target="https://www.amazon.com/dp/B07LD75CKQ?psc=1" TargetMode="External"/><Relationship Id="rId271" Type="http://schemas.openxmlformats.org/officeDocument/2006/relationships/hyperlink" Target="https://www.amazon.com/stores/Yollmart/page/834C04E1-1445-41DC-B0F9-DE1C08E8E1E8?ref_=ast_bln&amp;store_ref=bl_ast_dp_brandLogo_sto" TargetMode="External"/><Relationship Id="rId270" Type="http://schemas.openxmlformats.org/officeDocument/2006/relationships/hyperlink" Target="https://www.amazon.com/dp/B07LD75CKQ" TargetMode="External"/><Relationship Id="rId27" Type="http://schemas.openxmlformats.org/officeDocument/2006/relationships/hyperlink" Target="https://www.amazon.com/dp/B0CPSSXKY2" TargetMode="External"/><Relationship Id="rId269" Type="http://schemas.openxmlformats.org/officeDocument/2006/relationships/hyperlink" Target="https://www.amazon.com/gp/help/seller/at-a-glance.html/ref=dp_merchant_link?seller=A37XK733SMU7C1" TargetMode="External"/><Relationship Id="rId268" Type="http://schemas.openxmlformats.org/officeDocument/2006/relationships/hyperlink" Target="https://www.amazon.com/dp/B08NFDXR9Y" TargetMode="External"/><Relationship Id="rId267" Type="http://schemas.openxmlformats.org/officeDocument/2006/relationships/hyperlink" Target="https://m.media-amazon.com/images/I/41VVOxFMHVL._AC_SR600,600_.jpg" TargetMode="External"/><Relationship Id="rId266" Type="http://schemas.openxmlformats.org/officeDocument/2006/relationships/hyperlink" Target="https://www.amazon.com/dp/B08NFG6Z3G?psc=1" TargetMode="External"/><Relationship Id="rId265" Type="http://schemas.openxmlformats.org/officeDocument/2006/relationships/hyperlink" Target="https://www.amazon.com/stores/MadebyJohnny/page/B3F609C9-3484-4E73-BE61-CD9CDE7CAAC3?ref_=ast_bln&amp;store_ref=bl_ast_dp_brandLogo_sto" TargetMode="External"/><Relationship Id="rId264" Type="http://schemas.openxmlformats.org/officeDocument/2006/relationships/hyperlink" Target="https://www.amazon.com/dp/B08NFG6Z3G" TargetMode="External"/><Relationship Id="rId263" Type="http://schemas.openxmlformats.org/officeDocument/2006/relationships/hyperlink" Target="https://www.amazon.com/dp/B0D7SSDNMY" TargetMode="External"/><Relationship Id="rId262" Type="http://schemas.openxmlformats.org/officeDocument/2006/relationships/hyperlink" Target="https://images-na.ssl-images-amazon.com/images/I/71GK9daXJFL._AC_US600_.jpg" TargetMode="External"/><Relationship Id="rId261" Type="http://schemas.openxmlformats.org/officeDocument/2006/relationships/hyperlink" Target="https://www.amazon.com/dp/B0CNCBQBWW?psc=1" TargetMode="External"/><Relationship Id="rId260" Type="http://schemas.openxmlformats.org/officeDocument/2006/relationships/hyperlink" Target="https://www.amazon.com/dp/B0CNCBQBWW" TargetMode="External"/><Relationship Id="rId26" Type="http://schemas.openxmlformats.org/officeDocument/2006/relationships/hyperlink" Target="https://www.amazon.com/gp/help/seller/at-a-glance.html/ref=dp_merchant_link?seller=A2PG48TKFAAGHH" TargetMode="External"/><Relationship Id="rId259" Type="http://schemas.openxmlformats.org/officeDocument/2006/relationships/hyperlink" Target="https://www.amazon.com/dp/B0D9CM6644" TargetMode="External"/><Relationship Id="rId258" Type="http://schemas.openxmlformats.org/officeDocument/2006/relationships/hyperlink" Target="https://m.media-amazon.com/images/I/31EVh2TCLpL._AC_SR600,600_.jpg" TargetMode="External"/><Relationship Id="rId257" Type="http://schemas.openxmlformats.org/officeDocument/2006/relationships/hyperlink" Target="https://www.amazon.com/dp/B0BHNTCSX9?psc=1" TargetMode="External"/><Relationship Id="rId256" Type="http://schemas.openxmlformats.org/officeDocument/2006/relationships/hyperlink" Target="https://www.amazon.com/dp/B0BHNTCSX9" TargetMode="External"/><Relationship Id="rId255" Type="http://schemas.openxmlformats.org/officeDocument/2006/relationships/hyperlink" Target="https://www.amazon.com/gp/help/seller/at-a-glance.html/ref=dp_merchant_link?seller=A3TYFLD94WLE02" TargetMode="External"/><Relationship Id="rId254" Type="http://schemas.openxmlformats.org/officeDocument/2006/relationships/hyperlink" Target="https://www.amazon.com/dp/B09PH4N2ZF" TargetMode="External"/><Relationship Id="rId253" Type="http://schemas.openxmlformats.org/officeDocument/2006/relationships/hyperlink" Target="https://m.media-amazon.com/images/I/415eHQhw2AL._AC_SR600,600_.jpg" TargetMode="External"/><Relationship Id="rId252" Type="http://schemas.openxmlformats.org/officeDocument/2006/relationships/hyperlink" Target="https://www.amazon.com/dp/B09F6MPHJB?psc=1" TargetMode="External"/><Relationship Id="rId251" Type="http://schemas.openxmlformats.org/officeDocument/2006/relationships/hyperlink" Target="https://www.amazon.com/stores/Yknktstc/page/C6C27C07-3AC9-479F-BE59-C3BAEEF29A0D?ref_=ast_bln&amp;store_ref=bl_ast_dp_brandLogo_sto" TargetMode="External"/><Relationship Id="rId250" Type="http://schemas.openxmlformats.org/officeDocument/2006/relationships/hyperlink" Target="https://www.amazon.com/dp/B09F6MPHJB" TargetMode="External"/><Relationship Id="rId25" Type="http://schemas.openxmlformats.org/officeDocument/2006/relationships/hyperlink" Target="https://www.amazon.com/dp/B07F3RFJ76" TargetMode="External"/><Relationship Id="rId249" Type="http://schemas.openxmlformats.org/officeDocument/2006/relationships/hyperlink" Target="https://www.amazon.com/dp/B07QDFFMD9" TargetMode="External"/><Relationship Id="rId248" Type="http://schemas.openxmlformats.org/officeDocument/2006/relationships/hyperlink" Target="https://m.media-amazon.com/images/I/31Y77V7SykL._AC_SR600,600_.jpg" TargetMode="External"/><Relationship Id="rId247" Type="http://schemas.openxmlformats.org/officeDocument/2006/relationships/hyperlink" Target="https://www.amazon.com/dp/B07QYQN2VR?psc=1" TargetMode="External"/><Relationship Id="rId246" Type="http://schemas.openxmlformats.org/officeDocument/2006/relationships/hyperlink" Target="https://www.amazon.com/dp/B07QYQN2VR" TargetMode="External"/><Relationship Id="rId245" Type="http://schemas.openxmlformats.org/officeDocument/2006/relationships/hyperlink" Target="https://www.amazon.com/dp/B0CR9T17H6" TargetMode="External"/><Relationship Id="rId244" Type="http://schemas.openxmlformats.org/officeDocument/2006/relationships/hyperlink" Target="https://m.media-amazon.com/images/I/41I1ydyZ-jL._AC_SR600,600_.jpg" TargetMode="External"/><Relationship Id="rId243" Type="http://schemas.openxmlformats.org/officeDocument/2006/relationships/hyperlink" Target="https://www.amazon.com/dp/B0CRDJP1NM?psc=1" TargetMode="External"/><Relationship Id="rId242" Type="http://schemas.openxmlformats.org/officeDocument/2006/relationships/hyperlink" Target="https://www.amazon.com/dp/B0CRDJP1NM" TargetMode="External"/><Relationship Id="rId241" Type="http://schemas.openxmlformats.org/officeDocument/2006/relationships/hyperlink" Target="https://www.amazon.com/gp/help/seller/at-a-glance.html/ref=dp_merchant_link?seller=A39S8SRL7UWE0L" TargetMode="External"/><Relationship Id="rId240" Type="http://schemas.openxmlformats.org/officeDocument/2006/relationships/hyperlink" Target="https://www.amazon.com/dp/B0BDF6N9G3" TargetMode="External"/><Relationship Id="rId24" Type="http://schemas.openxmlformats.org/officeDocument/2006/relationships/hyperlink" Target="https://images-na.ssl-images-amazon.com/images/I/61wTjwsKjPL._AC_US600_.jpg" TargetMode="External"/><Relationship Id="rId239" Type="http://schemas.openxmlformats.org/officeDocument/2006/relationships/hyperlink" Target="https://images-na.ssl-images-amazon.com/images/I/41bs8h3nUAL._AC_US600_.jpg" TargetMode="External"/><Relationship Id="rId238" Type="http://schemas.openxmlformats.org/officeDocument/2006/relationships/hyperlink" Target="https://www.amazon.com/dp/B0B4SCTNDH?psc=1" TargetMode="External"/><Relationship Id="rId237" Type="http://schemas.openxmlformats.org/officeDocument/2006/relationships/hyperlink" Target="https://www.amazon.com/stores/Aurgelmir/page/04964F01-4C86-4940-8DF1-9FE259AA09A8?ref_=ast_bln&amp;store_ref=bl_ast_dp_brandLogo_sto" TargetMode="External"/><Relationship Id="rId236" Type="http://schemas.openxmlformats.org/officeDocument/2006/relationships/hyperlink" Target="https://www.amazon.com/dp/B0B4SCTNDH" TargetMode="External"/><Relationship Id="rId235" Type="http://schemas.openxmlformats.org/officeDocument/2006/relationships/hyperlink" Target="https://www.amazon.com/dp/B0BWK6TP4D" TargetMode="External"/><Relationship Id="rId234" Type="http://schemas.openxmlformats.org/officeDocument/2006/relationships/hyperlink" Target="https://m.media-amazon.com/images/I/31ode6tTOcL._AC_SR600,600_.jpg" TargetMode="External"/><Relationship Id="rId233" Type="http://schemas.openxmlformats.org/officeDocument/2006/relationships/hyperlink" Target="https://www.amazon.com/dp/B0DFGTWJYL?psc=1" TargetMode="External"/><Relationship Id="rId232" Type="http://schemas.openxmlformats.org/officeDocument/2006/relationships/hyperlink" Target="https://www.amazon.com/dp/B0DFGTWJYL" TargetMode="External"/><Relationship Id="rId231" Type="http://schemas.openxmlformats.org/officeDocument/2006/relationships/hyperlink" Target="https://www.amazon.com/dp/B0CSFMBN8Q" TargetMode="External"/><Relationship Id="rId230" Type="http://schemas.openxmlformats.org/officeDocument/2006/relationships/hyperlink" Target="https://m.media-amazon.com/images/I/31kYFXk1poL._AC_SR600,600_.jpg" TargetMode="External"/><Relationship Id="rId23" Type="http://schemas.openxmlformats.org/officeDocument/2006/relationships/hyperlink" Target="https://www.amazon.com/dp/B07F428M5Y?psc=1" TargetMode="External"/><Relationship Id="rId229" Type="http://schemas.openxmlformats.org/officeDocument/2006/relationships/hyperlink" Target="https://www.amazon.com/dp/B0CSFLR9JC?psc=1" TargetMode="External"/><Relationship Id="rId228" Type="http://schemas.openxmlformats.org/officeDocument/2006/relationships/hyperlink" Target="https://www.amazon.com/dp/B0CSFLR9JC" TargetMode="External"/><Relationship Id="rId227" Type="http://schemas.openxmlformats.org/officeDocument/2006/relationships/hyperlink" Target="https://www.amazon.com/dp/B0CPXQMM5Z" TargetMode="External"/><Relationship Id="rId226" Type="http://schemas.openxmlformats.org/officeDocument/2006/relationships/hyperlink" Target="https://m.media-amazon.com/images/I/41BRbIS9jkL._AC_SR600,600_.jpg" TargetMode="External"/><Relationship Id="rId225" Type="http://schemas.openxmlformats.org/officeDocument/2006/relationships/hyperlink" Target="https://www.amazon.com/dp/B0CQ7939R4?psc=1" TargetMode="External"/><Relationship Id="rId224" Type="http://schemas.openxmlformats.org/officeDocument/2006/relationships/hyperlink" Target="https://www.amazon.com/dp/B0CQ7939R4" TargetMode="External"/><Relationship Id="rId223" Type="http://schemas.openxmlformats.org/officeDocument/2006/relationships/hyperlink" Target="https://www.amazon.com/dp/B0B2J83HCV" TargetMode="External"/><Relationship Id="rId222" Type="http://schemas.openxmlformats.org/officeDocument/2006/relationships/hyperlink" Target="https://m.media-amazon.com/images/I/41S+KK9cEwL._AC_SR600,600_.jpg" TargetMode="External"/><Relationship Id="rId221" Type="http://schemas.openxmlformats.org/officeDocument/2006/relationships/hyperlink" Target="https://www.amazon.com/dp/B09QS33TKG?psc=1" TargetMode="External"/><Relationship Id="rId220" Type="http://schemas.openxmlformats.org/officeDocument/2006/relationships/hyperlink" Target="https://www.amazon.com/dp/B09QS33TKG" TargetMode="External"/><Relationship Id="rId22" Type="http://schemas.openxmlformats.org/officeDocument/2006/relationships/hyperlink" Target="https://www.amazon.com/stores/Ekouaer/page/9A1AB698-AD0F-4C23-AEED-46CAC35A1B77?ref_=ast_bln&amp;store_ref=bl_ast_dp_brandLogo_sto" TargetMode="External"/><Relationship Id="rId219" Type="http://schemas.openxmlformats.org/officeDocument/2006/relationships/hyperlink" Target="https://www.amazon.com/gp/help/seller/at-a-glance.html/ref=dp_merchant_link?seller=A1BKZZRRS0CM3R" TargetMode="External"/><Relationship Id="rId218" Type="http://schemas.openxmlformats.org/officeDocument/2006/relationships/hyperlink" Target="https://www.amazon.com/dp/B0D7SSPTMS" TargetMode="External"/><Relationship Id="rId217" Type="http://schemas.openxmlformats.org/officeDocument/2006/relationships/hyperlink" Target="https://m.media-amazon.com/images/I/31TsLVz5IHL._AC_SR600,600_.jpg" TargetMode="External"/><Relationship Id="rId216" Type="http://schemas.openxmlformats.org/officeDocument/2006/relationships/hyperlink" Target="https://www.amazon.com/dp/B0CRZ4GZH7?psc=1" TargetMode="External"/><Relationship Id="rId215" Type="http://schemas.openxmlformats.org/officeDocument/2006/relationships/hyperlink" Target="https://www.amazon.com/stores/OZICERD/page/B0AE5652-9345-4919-9CB2-17A9B59CF66C?ref_=ast_bln" TargetMode="External"/><Relationship Id="rId214" Type="http://schemas.openxmlformats.org/officeDocument/2006/relationships/hyperlink" Target="https://www.amazon.com/dp/B0CRZ4GZH7" TargetMode="External"/><Relationship Id="rId213" Type="http://schemas.openxmlformats.org/officeDocument/2006/relationships/hyperlink" Target="https://www.amazon.com/dp/B0D8Q9GCQW" TargetMode="External"/><Relationship Id="rId212" Type="http://schemas.openxmlformats.org/officeDocument/2006/relationships/hyperlink" Target="https://images-na.ssl-images-amazon.com/images/I/71SkFoDAZpL._AC_US600_.jpg" TargetMode="External"/><Relationship Id="rId211" Type="http://schemas.openxmlformats.org/officeDocument/2006/relationships/hyperlink" Target="https://www.amazon.com/dp/B0D8PVS658?psc=1" TargetMode="External"/><Relationship Id="rId210" Type="http://schemas.openxmlformats.org/officeDocument/2006/relationships/hyperlink" Target="https://www.amazon.com/dp/B0D8PVS658" TargetMode="External"/><Relationship Id="rId21" Type="http://schemas.openxmlformats.org/officeDocument/2006/relationships/hyperlink" Target="https://www.amazon.com/dp/B07F428M5Y" TargetMode="External"/><Relationship Id="rId209" Type="http://schemas.openxmlformats.org/officeDocument/2006/relationships/hyperlink" Target="https://www.amazon.com/gp/help/seller/at-a-glance.html/ref=dp_merchant_link?seller=A1NWEKIL8JK1I9" TargetMode="External"/><Relationship Id="rId208" Type="http://schemas.openxmlformats.org/officeDocument/2006/relationships/hyperlink" Target="https://www.amazon.com/dp/B08T6CKY14" TargetMode="External"/><Relationship Id="rId207" Type="http://schemas.openxmlformats.org/officeDocument/2006/relationships/hyperlink" Target="https://m.media-amazon.com/images/I/31AVtTelqlL._AC_SR600,600_.jpg" TargetMode="External"/><Relationship Id="rId206" Type="http://schemas.openxmlformats.org/officeDocument/2006/relationships/hyperlink" Target="https://www.amazon.com/dp/B07QGLSMQK?psc=1" TargetMode="External"/><Relationship Id="rId205" Type="http://schemas.openxmlformats.org/officeDocument/2006/relationships/hyperlink" Target="https://www.amazon.com/stores/ANIVIVO/page/48D0AAB9-C21A-4991-9D28-EA0B9E5AC52E?ref_=ast_bln&amp;store_ref=bl_ast_dp_brandLogo_sto" TargetMode="External"/><Relationship Id="rId204" Type="http://schemas.openxmlformats.org/officeDocument/2006/relationships/hyperlink" Target="https://www.amazon.com/dp/B07QGLSMQK" TargetMode="External"/><Relationship Id="rId203" Type="http://schemas.openxmlformats.org/officeDocument/2006/relationships/hyperlink" Target="https://www.amazon.com/gp/help/seller/at-a-glance.html/ref=dp_merchant_link?seller=A3LKVUSEROVJPA" TargetMode="External"/><Relationship Id="rId202" Type="http://schemas.openxmlformats.org/officeDocument/2006/relationships/hyperlink" Target="https://www.amazon.com/dp/B08KRKY41K" TargetMode="External"/><Relationship Id="rId201" Type="http://schemas.openxmlformats.org/officeDocument/2006/relationships/hyperlink" Target="https://m.media-amazon.com/images/I/415rgvPMsrL._AC_SR600,600_.jpg" TargetMode="External"/><Relationship Id="rId200" Type="http://schemas.openxmlformats.org/officeDocument/2006/relationships/hyperlink" Target="https://www.amazon.com/dp/B08DNKYD86?psc=1" TargetMode="External"/><Relationship Id="rId20" Type="http://schemas.openxmlformats.org/officeDocument/2006/relationships/hyperlink" Target="https://www.amazon.com/gp/help/seller/at-a-glance.html/ref=dp_merchant_link?seller=A154O6JL5L5T2Z" TargetMode="External"/><Relationship Id="rId2" Type="http://schemas.openxmlformats.org/officeDocument/2006/relationships/hyperlink" Target="https://www.amazon.com/stores/TONCHENGSD/page/D1F889B5-B22C-46BE-AC2E-7AD8FD5B9FC0?ref_=ast_bln" TargetMode="External"/><Relationship Id="rId199" Type="http://schemas.openxmlformats.org/officeDocument/2006/relationships/hyperlink" Target="https://www.amazon.com/stores/RAROAUF/page/3FF313FD-9BFF-4DC1-AF49-0DA2BB8CCD7F?ref_=ast_bln&amp;store_ref=bl_ast_dp_brandLogo_sto" TargetMode="External"/><Relationship Id="rId198" Type="http://schemas.openxmlformats.org/officeDocument/2006/relationships/hyperlink" Target="https://www.amazon.com/dp/B08DNKYD86" TargetMode="External"/><Relationship Id="rId197" Type="http://schemas.openxmlformats.org/officeDocument/2006/relationships/hyperlink" Target="https://www.amazon.com/gp/help/seller/at-a-glance.html/ref=dp_merchant_link?seller=A1CX3Y6OPGB2MO" TargetMode="External"/><Relationship Id="rId196" Type="http://schemas.openxmlformats.org/officeDocument/2006/relationships/hyperlink" Target="https://www.amazon.com/dp/B0BSF327RW" TargetMode="External"/><Relationship Id="rId195" Type="http://schemas.openxmlformats.org/officeDocument/2006/relationships/hyperlink" Target="https://m.media-amazon.com/images/I/41HpYmeKthL._AC_SR600,600_.jpg" TargetMode="External"/><Relationship Id="rId194" Type="http://schemas.openxmlformats.org/officeDocument/2006/relationships/hyperlink" Target="https://www.amazon.com/dp/B0BK16SM9P?psc=1" TargetMode="External"/><Relationship Id="rId193" Type="http://schemas.openxmlformats.org/officeDocument/2006/relationships/hyperlink" Target="https://www.amazon.com/stores/CRZYOGA/page/F2232413-0F7D-4831-81A1-9FDFCFE5C54D?ref_=ast_bln&amp;store_ref=bl_ast_dp_brandLogo_sto" TargetMode="External"/><Relationship Id="rId192" Type="http://schemas.openxmlformats.org/officeDocument/2006/relationships/hyperlink" Target="https://www.amazon.com/dp/B0BK16SM9P" TargetMode="External"/><Relationship Id="rId191" Type="http://schemas.openxmlformats.org/officeDocument/2006/relationships/hyperlink" Target="https://www.amazon.com/gp/help/seller/at-a-glance.html/ref=dp_merchant_link?seller=A39JCPE1RWJFZE" TargetMode="External"/><Relationship Id="rId190" Type="http://schemas.openxmlformats.org/officeDocument/2006/relationships/hyperlink" Target="https://www.amazon.com/dp/B01EUJKQO6" TargetMode="External"/><Relationship Id="rId19" Type="http://schemas.openxmlformats.org/officeDocument/2006/relationships/hyperlink" Target="https://www.amazon.com/dp/B0D31QPQK8" TargetMode="External"/><Relationship Id="rId189" Type="http://schemas.openxmlformats.org/officeDocument/2006/relationships/hyperlink" Target="https://m.media-amazon.com/images/I/31hNUhzYHlL._AC_SR600,600_.jpg" TargetMode="External"/><Relationship Id="rId188" Type="http://schemas.openxmlformats.org/officeDocument/2006/relationships/hyperlink" Target="https://www.amazon.com/dp/B0CJ2LZ8SK?psc=1" TargetMode="External"/><Relationship Id="rId187" Type="http://schemas.openxmlformats.org/officeDocument/2006/relationships/hyperlink" Target="https://www.amazon.com/stores/GOLDSTITCH/page/F93A5BFD-FD04-4BE3-8140-2DA485376613?ref_=ast_bln&amp;store_ref=bl_ast_dp_brandLogo_sto" TargetMode="External"/><Relationship Id="rId186" Type="http://schemas.openxmlformats.org/officeDocument/2006/relationships/hyperlink" Target="https://www.amazon.com/dp/B0CJ2LZ8SK" TargetMode="External"/><Relationship Id="rId185" Type="http://schemas.openxmlformats.org/officeDocument/2006/relationships/hyperlink" Target="https://www.amazon.com/dp/B0CSYNKD7Z" TargetMode="External"/><Relationship Id="rId184" Type="http://schemas.openxmlformats.org/officeDocument/2006/relationships/hyperlink" Target="https://m.media-amazon.com/images/I/416H76bIRSL._AC_SR600,600_.jpg" TargetMode="External"/><Relationship Id="rId183" Type="http://schemas.openxmlformats.org/officeDocument/2006/relationships/hyperlink" Target="https://www.amazon.com/dp/B0CSYVXRSZ?psc=1" TargetMode="External"/><Relationship Id="rId182" Type="http://schemas.openxmlformats.org/officeDocument/2006/relationships/hyperlink" Target="https://www.amazon.com/dp/B0CSYVXRSZ" TargetMode="External"/><Relationship Id="rId181" Type="http://schemas.openxmlformats.org/officeDocument/2006/relationships/hyperlink" Target="https://www.amazon.com/gp/help/seller/at-a-glance.html/ref=dp_merchant_link?seller=AHMQD4SBB77PD" TargetMode="External"/><Relationship Id="rId180" Type="http://schemas.openxmlformats.org/officeDocument/2006/relationships/hyperlink" Target="https://www.amazon.com/dp/B0CW1385VL" TargetMode="External"/><Relationship Id="rId18" Type="http://schemas.openxmlformats.org/officeDocument/2006/relationships/hyperlink" Target="https://m.media-amazon.com/images/I/41PQXMaTMiL._AC_SR600,600_.jpg" TargetMode="External"/><Relationship Id="rId179" Type="http://schemas.openxmlformats.org/officeDocument/2006/relationships/hyperlink" Target="https://images-na.ssl-images-amazon.com/images/I/614I5KiX6AL._AC_US600_.jpg" TargetMode="External"/><Relationship Id="rId178" Type="http://schemas.openxmlformats.org/officeDocument/2006/relationships/hyperlink" Target="https://www.amazon.com/dp/B0CW189C9F?psc=1" TargetMode="External"/><Relationship Id="rId177" Type="http://schemas.openxmlformats.org/officeDocument/2006/relationships/hyperlink" Target="https://www.amazon.com/stores/Fireswan/page/88109ED5-4DC3-4AEA-83E4-37E4B3E0603C?ref_=ast_bln&amp;store_ref=bl_ast_dp_brandLogo_sto" TargetMode="External"/><Relationship Id="rId176" Type="http://schemas.openxmlformats.org/officeDocument/2006/relationships/hyperlink" Target="https://www.amazon.com/dp/B0CW189C9F" TargetMode="External"/><Relationship Id="rId175" Type="http://schemas.openxmlformats.org/officeDocument/2006/relationships/hyperlink" Target="https://www.amazon.com/gp/help/seller/at-a-glance.html/ref=dp_merchant_link?seller=A20EOU5S7BFWN4" TargetMode="External"/><Relationship Id="rId174" Type="http://schemas.openxmlformats.org/officeDocument/2006/relationships/hyperlink" Target="https://www.amazon.com/dp/B0DDX4YCHP" TargetMode="External"/><Relationship Id="rId173" Type="http://schemas.openxmlformats.org/officeDocument/2006/relationships/hyperlink" Target="https://m.media-amazon.com/images/I/31FkWGkfqFL._AC_SR600,600_.jpg" TargetMode="External"/><Relationship Id="rId172" Type="http://schemas.openxmlformats.org/officeDocument/2006/relationships/hyperlink" Target="https://www.amazon.com/dp/B0CDLPFH3V?psc=1" TargetMode="External"/><Relationship Id="rId171" Type="http://schemas.openxmlformats.org/officeDocument/2006/relationships/hyperlink" Target="https://www.amazon.com/stores/Tivifox/page/E2A59205-E472-4802-9961-6090A18C0A6F?ref_=ast_bln" TargetMode="External"/><Relationship Id="rId170" Type="http://schemas.openxmlformats.org/officeDocument/2006/relationships/hyperlink" Target="https://www.amazon.com/dp/B0CDLPFH3V" TargetMode="External"/><Relationship Id="rId17" Type="http://schemas.openxmlformats.org/officeDocument/2006/relationships/hyperlink" Target="https://www.amazon.com/dp/B0CTT1LCHS?psc=1" TargetMode="External"/><Relationship Id="rId169" Type="http://schemas.openxmlformats.org/officeDocument/2006/relationships/hyperlink" Target="https://www.amazon.com/gp/help/seller/at-a-glance.html/ref=dp_merchant_link?seller=A3N58XTYSS95" TargetMode="External"/><Relationship Id="rId168" Type="http://schemas.openxmlformats.org/officeDocument/2006/relationships/hyperlink" Target="https://www.amazon.com/dp/B0C242V2NH" TargetMode="External"/><Relationship Id="rId167" Type="http://schemas.openxmlformats.org/officeDocument/2006/relationships/hyperlink" Target="https://m.media-amazon.com/images/I/41VJ3OcPFnL._AC_SR600,600_.jpg" TargetMode="External"/><Relationship Id="rId166" Type="http://schemas.openxmlformats.org/officeDocument/2006/relationships/hyperlink" Target="https://www.amazon.com/dp/B0BBQWY2JY?psc=1" TargetMode="External"/><Relationship Id="rId165" Type="http://schemas.openxmlformats.org/officeDocument/2006/relationships/hyperlink" Target="https://www.amazon.com/stores/AmericanTrends/page/5FE0A5C4-F49A-4586-8027-DAA2F91CD62E?ref_=ast_bln&amp;store_ref=bl_ast_dp_brandLogo_sto" TargetMode="External"/><Relationship Id="rId164" Type="http://schemas.openxmlformats.org/officeDocument/2006/relationships/hyperlink" Target="https://www.amazon.com/dp/B0BBQWY2JY" TargetMode="External"/><Relationship Id="rId163" Type="http://schemas.openxmlformats.org/officeDocument/2006/relationships/hyperlink" Target="https://www.amazon.com/gp/help/seller/at-a-glance.html/ref=dp_merchant_link?seller=AB2NECOE3B4S7" TargetMode="External"/><Relationship Id="rId162" Type="http://schemas.openxmlformats.org/officeDocument/2006/relationships/hyperlink" Target="https://www.amazon.com/dp/B0CXHW8XCB" TargetMode="External"/><Relationship Id="rId161" Type="http://schemas.openxmlformats.org/officeDocument/2006/relationships/hyperlink" Target="https://images-na.ssl-images-amazon.com/images/I/6123nNA+mIL._AC_US600_.jpg" TargetMode="External"/><Relationship Id="rId160" Type="http://schemas.openxmlformats.org/officeDocument/2006/relationships/hyperlink" Target="https://www.amazon.com/dp/B0CXHZ9NVB?psc=1" TargetMode="External"/><Relationship Id="rId16" Type="http://schemas.openxmlformats.org/officeDocument/2006/relationships/hyperlink" Target="https://www.amazon.com/stores/Pinspark/page/73638A0C-799E-4A9E-BD52-A76030463125?ref_=ast_bln&amp;store_ref=bl_ast_dp_brandLogo_sto" TargetMode="External"/><Relationship Id="rId159" Type="http://schemas.openxmlformats.org/officeDocument/2006/relationships/hyperlink" Target="https://www.amazon.com/stores/AUTOMET/page/FCCD3AC0-B62A-45A7-BF7C-452CD65FDF26?ref_=ast_bln&amp;store_ref=bl_ast_dp_brandLogo_sto" TargetMode="External"/><Relationship Id="rId158" Type="http://schemas.openxmlformats.org/officeDocument/2006/relationships/hyperlink" Target="https://www.amazon.com/dp/B0CXHZ9NVB" TargetMode="External"/><Relationship Id="rId157" Type="http://schemas.openxmlformats.org/officeDocument/2006/relationships/hyperlink" Target="https://www.amazon.com/gp/help/seller/at-a-glance.html/ref=dp_merchant_link?seller=A1E7ZG1UOPRDZA" TargetMode="External"/><Relationship Id="rId156" Type="http://schemas.openxmlformats.org/officeDocument/2006/relationships/hyperlink" Target="https://www.amazon.com/dp/B09MVGWZMQ" TargetMode="External"/><Relationship Id="rId155" Type="http://schemas.openxmlformats.org/officeDocument/2006/relationships/hyperlink" Target="https://images-na.ssl-images-amazon.com/images/I/61h1OqanqZL._AC_US600_.jpg" TargetMode="External"/><Relationship Id="rId154" Type="http://schemas.openxmlformats.org/officeDocument/2006/relationships/hyperlink" Target="https://www.amazon.com/dp/B0995TGV4V?psc=1" TargetMode="External"/><Relationship Id="rId153" Type="http://schemas.openxmlformats.org/officeDocument/2006/relationships/hyperlink" Target="https://www.amazon.com/stores/CenturyStar/page/46C2A9C3-3690-4A12-87BB-FF1FF798D2C1?ref_=ast_bln&amp;store_ref=bl_ast_dp_brandLogo_sto" TargetMode="External"/><Relationship Id="rId152" Type="http://schemas.openxmlformats.org/officeDocument/2006/relationships/hyperlink" Target="https://www.amazon.com/dp/B0995TGV4V" TargetMode="External"/><Relationship Id="rId151" Type="http://schemas.openxmlformats.org/officeDocument/2006/relationships/hyperlink" Target="https://www.amazon.com/gp/help/seller/at-a-glance.html/ref=dp_merchant_link?seller=A3F5ULXL47X57I" TargetMode="External"/><Relationship Id="rId150" Type="http://schemas.openxmlformats.org/officeDocument/2006/relationships/hyperlink" Target="https://www.amazon.com/dp/B09YL57LKP" TargetMode="External"/><Relationship Id="rId15" Type="http://schemas.openxmlformats.org/officeDocument/2006/relationships/hyperlink" Target="https://www.amazon.com/dp/B0CTT1LCHS" TargetMode="External"/><Relationship Id="rId149" Type="http://schemas.openxmlformats.org/officeDocument/2006/relationships/hyperlink" Target="https://m.media-amazon.com/images/I/41+drPnv+iL._AC_SR600,600_.jpg" TargetMode="External"/><Relationship Id="rId148" Type="http://schemas.openxmlformats.org/officeDocument/2006/relationships/hyperlink" Target="https://www.amazon.com/dp/B09YLDG9P1?psc=1" TargetMode="External"/><Relationship Id="rId147" Type="http://schemas.openxmlformats.org/officeDocument/2006/relationships/hyperlink" Target="https://www.amazon.com/stores/Afibi/page/123E833C-1C70-48FA-BE10-8762BA16F8F2?ref_=ast_bln" TargetMode="External"/><Relationship Id="rId146" Type="http://schemas.openxmlformats.org/officeDocument/2006/relationships/hyperlink" Target="https://www.amazon.com/dp/B09YLDG9P1" TargetMode="External"/><Relationship Id="rId145" Type="http://schemas.openxmlformats.org/officeDocument/2006/relationships/hyperlink" Target="https://www.amazon.com/gp/help/seller/at-a-glance.html/ref=dp_merchant_link?seller=A2HNL56YD62DB3" TargetMode="External"/><Relationship Id="rId144" Type="http://schemas.openxmlformats.org/officeDocument/2006/relationships/hyperlink" Target="https://www.amazon.com/dp/B0BRN671LM" TargetMode="External"/><Relationship Id="rId143" Type="http://schemas.openxmlformats.org/officeDocument/2006/relationships/hyperlink" Target="https://m.media-amazon.com/images/I/313s-5xO9-L._AC_SR600,600_.jpg" TargetMode="External"/><Relationship Id="rId142" Type="http://schemas.openxmlformats.org/officeDocument/2006/relationships/hyperlink" Target="https://www.amazon.com/dp/B0BRN4HXMT?psc=1" TargetMode="External"/><Relationship Id="rId141" Type="http://schemas.openxmlformats.org/officeDocument/2006/relationships/hyperlink" Target="https://www.amazon.com/stores/Ewedoos/page/EC71E27C-F065-4B1A-BC11-6864EA5D8E2D?ref_=ast_bln&amp;store_ref=bl_ast_dp_brandLogo_sto" TargetMode="External"/><Relationship Id="rId140" Type="http://schemas.openxmlformats.org/officeDocument/2006/relationships/hyperlink" Target="https://www.amazon.com/dp/B0BRN4HXMT" TargetMode="External"/><Relationship Id="rId14" Type="http://schemas.openxmlformats.org/officeDocument/2006/relationships/hyperlink" Target="https://www.amazon.com/gp/help/seller/at-a-glance.html/ref=dp_merchant_link?seller=AAZE6Z1V3K39G" TargetMode="External"/><Relationship Id="rId139" Type="http://schemas.openxmlformats.org/officeDocument/2006/relationships/hyperlink" Target="https://www.amazon.com/dp/B0D31QY2B8" TargetMode="External"/><Relationship Id="rId138" Type="http://schemas.openxmlformats.org/officeDocument/2006/relationships/hyperlink" Target="https://m.media-amazon.com/images/I/417ZLmmM7DL._AC_SR600,600_.jpg" TargetMode="External"/><Relationship Id="rId137" Type="http://schemas.openxmlformats.org/officeDocument/2006/relationships/hyperlink" Target="https://www.amazon.com/dp/B0CRK7HBBN?psc=1" TargetMode="External"/><Relationship Id="rId136" Type="http://schemas.openxmlformats.org/officeDocument/2006/relationships/hyperlink" Target="https://www.amazon.com/dp/B0CRK7HBBN" TargetMode="External"/><Relationship Id="rId135" Type="http://schemas.openxmlformats.org/officeDocument/2006/relationships/hyperlink" Target="https://www.amazon.com/gp/help/seller/at-a-glance.html/ref=dp_merchant_link?seller=A1PIYJCG80M7TJ" TargetMode="External"/><Relationship Id="rId134" Type="http://schemas.openxmlformats.org/officeDocument/2006/relationships/hyperlink" Target="https://www.amazon.com/dp/B0CQ5FMY2H" TargetMode="External"/><Relationship Id="rId133" Type="http://schemas.openxmlformats.org/officeDocument/2006/relationships/hyperlink" Target="https://images-na.ssl-images-amazon.com/images/I/61IJzzP28wL._AC_US600_.jpg" TargetMode="External"/><Relationship Id="rId132" Type="http://schemas.openxmlformats.org/officeDocument/2006/relationships/hyperlink" Target="https://www.amazon.com/dp/B0CQ77C9F5?psc=1" TargetMode="External"/><Relationship Id="rId131" Type="http://schemas.openxmlformats.org/officeDocument/2006/relationships/hyperlink" Target="https://www.amazon.com/stores/LXNMGO/page/490B654F-B61F-4078-9B68-86BD1ED0E6C8?ref_=ast_bln" TargetMode="External"/><Relationship Id="rId130" Type="http://schemas.openxmlformats.org/officeDocument/2006/relationships/hyperlink" Target="https://www.amazon.com/dp/B0CQ77C9F5" TargetMode="External"/><Relationship Id="rId13" Type="http://schemas.openxmlformats.org/officeDocument/2006/relationships/hyperlink" Target="https://www.amazon.com/dp/B09MBNYQKS" TargetMode="External"/><Relationship Id="rId129" Type="http://schemas.openxmlformats.org/officeDocument/2006/relationships/hyperlink" Target="https://www.amazon.com/dp/B0D12M2J9C" TargetMode="External"/><Relationship Id="rId128" Type="http://schemas.openxmlformats.org/officeDocument/2006/relationships/hyperlink" Target="https://images-na.ssl-images-amazon.com/images/I/61PxFmYWsQL._AC_US600_.jpg" TargetMode="External"/><Relationship Id="rId127" Type="http://schemas.openxmlformats.org/officeDocument/2006/relationships/hyperlink" Target="https://www.amazon.com/dp/B0D12CLF5N?psc=1" TargetMode="External"/><Relationship Id="rId126" Type="http://schemas.openxmlformats.org/officeDocument/2006/relationships/hyperlink" Target="https://www.amazon.com/dp/B0D12CLF5N" TargetMode="External"/><Relationship Id="rId125" Type="http://schemas.openxmlformats.org/officeDocument/2006/relationships/hyperlink" Target="https://www.amazon.com/gp/help/seller/at-a-glance.html/ref=dp_merchant_link?seller=A1HPK4MEBNYOYY" TargetMode="External"/><Relationship Id="rId124" Type="http://schemas.openxmlformats.org/officeDocument/2006/relationships/hyperlink" Target="https://www.amazon.com/dp/B0D5XMP1P7" TargetMode="External"/><Relationship Id="rId123" Type="http://schemas.openxmlformats.org/officeDocument/2006/relationships/hyperlink" Target="https://images-na.ssl-images-amazon.com/images/I/61K-g8n-4rL._AC_US600_.jpg" TargetMode="External"/><Relationship Id="rId122" Type="http://schemas.openxmlformats.org/officeDocument/2006/relationships/hyperlink" Target="https://www.amazon.com/dp/B0D3HJ9VYD?psc=1" TargetMode="External"/><Relationship Id="rId121" Type="http://schemas.openxmlformats.org/officeDocument/2006/relationships/hyperlink" Target="https://www.amazon.com/stores/ODODOS/page/4EE07D3A-483C-4E62-A43F-1E8D9A75F92A?ref_=ast_bln&amp;store_ref=bl_ast_dp_brandLogo_sto" TargetMode="External"/><Relationship Id="rId120" Type="http://schemas.openxmlformats.org/officeDocument/2006/relationships/hyperlink" Target="https://www.amazon.com/dp/B0D3HJ9VYD" TargetMode="External"/><Relationship Id="rId12" Type="http://schemas.openxmlformats.org/officeDocument/2006/relationships/hyperlink" Target="https://images-na.ssl-images-amazon.com/images/I/61q3vTubnaL._AC_US600_.jpg" TargetMode="External"/><Relationship Id="rId119" Type="http://schemas.openxmlformats.org/officeDocument/2006/relationships/hyperlink" Target="https://www.amazon.com/gp/help/seller/at-a-glance.html/ref=dp_merchant_link?seller=A3QPSK42OYQ7OF" TargetMode="External"/><Relationship Id="rId118" Type="http://schemas.openxmlformats.org/officeDocument/2006/relationships/hyperlink" Target="https://www.amazon.com/dp/B0731FQXTD" TargetMode="External"/><Relationship Id="rId117" Type="http://schemas.openxmlformats.org/officeDocument/2006/relationships/hyperlink" Target="https://m.media-amazon.com/images/I/31PRuU6Fv7L._AC_SR600,600_.jpg" TargetMode="External"/><Relationship Id="rId116" Type="http://schemas.openxmlformats.org/officeDocument/2006/relationships/hyperlink" Target="https://www.amazon.com/dp/B07MHH52QB?psc=1" TargetMode="External"/><Relationship Id="rId115" Type="http://schemas.openxmlformats.org/officeDocument/2006/relationships/hyperlink" Target="https://www.amazon.com/stores/HOEREV/page/44798B94-2444-45B3-9FE1-E800FC511526?ref_=ast_bln&amp;store_ref=bl_ast_dp_brandLogo_sto" TargetMode="External"/><Relationship Id="rId114" Type="http://schemas.openxmlformats.org/officeDocument/2006/relationships/hyperlink" Target="https://www.amazon.com/dp/B07MHH52QB" TargetMode="External"/><Relationship Id="rId113" Type="http://schemas.openxmlformats.org/officeDocument/2006/relationships/hyperlink" Target="https://www.amazon.com/gp/help/seller/at-a-glance.html/ref=dp_merchant_link?seller=AUNL1S7DQKJAW" TargetMode="External"/><Relationship Id="rId112" Type="http://schemas.openxmlformats.org/officeDocument/2006/relationships/hyperlink" Target="https://www.amazon.com/dp/B0B1HJQ3TH" TargetMode="External"/><Relationship Id="rId111" Type="http://schemas.openxmlformats.org/officeDocument/2006/relationships/hyperlink" Target="https://m.media-amazon.com/images/I/31obBmkVv2L._AC_SR600,600_.jpg" TargetMode="External"/><Relationship Id="rId110" Type="http://schemas.openxmlformats.org/officeDocument/2006/relationships/hyperlink" Target="https://www.amazon.com/dp/B0B1H4YWW2?psc=1" TargetMode="External"/><Relationship Id="rId11" Type="http://schemas.openxmlformats.org/officeDocument/2006/relationships/hyperlink" Target="https://www.amazon.com/dp/B08KWCB219?psc=1" TargetMode="External"/><Relationship Id="rId109" Type="http://schemas.openxmlformats.org/officeDocument/2006/relationships/hyperlink" Target="https://www.amazon.com/stores/ANiceShinyNewTomorrow/page/3FE714BA-38BE-45D6-9058-4861F987D97B?ref_=ast_bln&amp;store_ref=bl_ast_dp_brandLogo_sto" TargetMode="External"/><Relationship Id="rId108" Type="http://schemas.openxmlformats.org/officeDocument/2006/relationships/hyperlink" Target="https://www.amazon.com/dp/B0B1H4YWW2" TargetMode="External"/><Relationship Id="rId107" Type="http://schemas.openxmlformats.org/officeDocument/2006/relationships/hyperlink" Target="https://www.amazon.com/gp/help/seller/at-a-glance.html/ref=dp_merchant_link?seller=A1NT454SPUD5OC" TargetMode="External"/><Relationship Id="rId106" Type="http://schemas.openxmlformats.org/officeDocument/2006/relationships/hyperlink" Target="https://www.amazon.com/dp/B0D47FWVYV" TargetMode="External"/><Relationship Id="rId105" Type="http://schemas.openxmlformats.org/officeDocument/2006/relationships/hyperlink" Target="https://m.media-amazon.com/images/I/31a-Aqn9UJL._AC_SR600,600_.jpg" TargetMode="External"/><Relationship Id="rId104" Type="http://schemas.openxmlformats.org/officeDocument/2006/relationships/hyperlink" Target="https://www.amazon.com/dp/B0D471V13M?psc=1" TargetMode="External"/><Relationship Id="rId103" Type="http://schemas.openxmlformats.org/officeDocument/2006/relationships/hyperlink" Target="https://www.amazon.com/stores/Dressever/page/3B6FA449-DE73-4C02-9370-57141DA6FDA0?ref_=ast_bln&amp;store_ref=bl_ast_dp_brandLogo_sto" TargetMode="External"/><Relationship Id="rId102" Type="http://schemas.openxmlformats.org/officeDocument/2006/relationships/hyperlink" Target="https://www.amazon.com/dp/B0D471V13M" TargetMode="External"/><Relationship Id="rId101" Type="http://schemas.openxmlformats.org/officeDocument/2006/relationships/hyperlink" Target="https://www.amazon.com/gp/help/seller/at-a-glance.html/ref=dp_merchant_link?seller=A1ACJK2TICWQAI" TargetMode="External"/><Relationship Id="rId100" Type="http://schemas.openxmlformats.org/officeDocument/2006/relationships/hyperlink" Target="https://www.amazon.com/dp/B0DF67TLZ6" TargetMode="External"/><Relationship Id="rId10" Type="http://schemas.openxmlformats.org/officeDocument/2006/relationships/hyperlink" Target="https://www.amazon.com/stores/SCKTOO/page/1974721A-A938-42CB-A356-7FC7A39649EC?ref_=ast_bln" TargetMode="External"/><Relationship Id="rId1" Type="http://schemas.openxmlformats.org/officeDocument/2006/relationships/hyperlink" Target="https://www.amazon.com/dp/B08F76JT8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3"/>
  <sheetViews>
    <sheetView workbookViewId="0">
      <selection activeCell="P14" sqref="P14"/>
    </sheetView>
  </sheetViews>
  <sheetFormatPr defaultColWidth="8.88888888888889" defaultRowHeight="14.4" outlineLevelCol="1"/>
  <cols>
    <col min="1" max="1" width="17.5555555555556"/>
    <col min="2" max="2" width="14"/>
  </cols>
  <sheetData>
    <row r="3" spans="1:2">
      <c r="A3" t="s">
        <v>0</v>
      </c>
      <c r="B3" t="s">
        <v>1</v>
      </c>
    </row>
    <row r="4" spans="1:2">
      <c r="A4" t="s">
        <v>2</v>
      </c>
      <c r="B4">
        <v>5</v>
      </c>
    </row>
    <row r="5" spans="1:2">
      <c r="A5" t="s">
        <v>3</v>
      </c>
      <c r="B5">
        <v>3</v>
      </c>
    </row>
    <row r="6" spans="1:2">
      <c r="A6" t="s">
        <v>4</v>
      </c>
      <c r="B6">
        <v>3</v>
      </c>
    </row>
    <row r="7" spans="1:2">
      <c r="A7" t="s">
        <v>5</v>
      </c>
      <c r="B7">
        <v>3</v>
      </c>
    </row>
    <row r="8" spans="1:2">
      <c r="A8" t="s">
        <v>6</v>
      </c>
      <c r="B8">
        <v>3</v>
      </c>
    </row>
    <row r="9" spans="1:2">
      <c r="A9" t="s">
        <v>7</v>
      </c>
      <c r="B9">
        <v>3</v>
      </c>
    </row>
    <row r="10" spans="1:2">
      <c r="A10" t="s">
        <v>8</v>
      </c>
      <c r="B10">
        <v>3</v>
      </c>
    </row>
    <row r="11" spans="1:2">
      <c r="A11" t="s">
        <v>9</v>
      </c>
      <c r="B11">
        <v>3</v>
      </c>
    </row>
    <row r="12" spans="1:2">
      <c r="A12" t="s">
        <v>10</v>
      </c>
      <c r="B12">
        <v>2</v>
      </c>
    </row>
    <row r="13" spans="1:2">
      <c r="A13" t="s">
        <v>11</v>
      </c>
      <c r="B13">
        <v>2</v>
      </c>
    </row>
    <row r="14" spans="1:2">
      <c r="A14" t="s">
        <v>12</v>
      </c>
      <c r="B14">
        <v>2</v>
      </c>
    </row>
    <row r="15" spans="1:2">
      <c r="A15" t="s">
        <v>13</v>
      </c>
      <c r="B15">
        <v>2</v>
      </c>
    </row>
    <row r="16" spans="1:2">
      <c r="A16" t="s">
        <v>14</v>
      </c>
      <c r="B16">
        <v>2</v>
      </c>
    </row>
    <row r="17" spans="1:2">
      <c r="A17" t="s">
        <v>15</v>
      </c>
      <c r="B17">
        <v>2</v>
      </c>
    </row>
    <row r="18" spans="1:2">
      <c r="A18" t="s">
        <v>16</v>
      </c>
      <c r="B18">
        <v>2</v>
      </c>
    </row>
    <row r="19" spans="1:2">
      <c r="A19" t="s">
        <v>17</v>
      </c>
      <c r="B19">
        <v>2</v>
      </c>
    </row>
    <row r="20" spans="1:2">
      <c r="A20" t="s">
        <v>18</v>
      </c>
      <c r="B20">
        <v>2</v>
      </c>
    </row>
    <row r="21" spans="1:2">
      <c r="A21" t="s">
        <v>19</v>
      </c>
      <c r="B21">
        <v>2</v>
      </c>
    </row>
    <row r="22" spans="1:2">
      <c r="A22" t="s">
        <v>20</v>
      </c>
      <c r="B22">
        <v>2</v>
      </c>
    </row>
    <row r="23" spans="1:2">
      <c r="A23" t="s">
        <v>21</v>
      </c>
      <c r="B23">
        <v>2</v>
      </c>
    </row>
    <row r="24" spans="1:2">
      <c r="A24" t="s">
        <v>22</v>
      </c>
      <c r="B24">
        <v>2</v>
      </c>
    </row>
    <row r="25" spans="1:2">
      <c r="A25" t="s">
        <v>23</v>
      </c>
      <c r="B25">
        <v>2</v>
      </c>
    </row>
    <row r="26" spans="1:2">
      <c r="A26" t="s">
        <v>24</v>
      </c>
      <c r="B26">
        <v>1</v>
      </c>
    </row>
    <row r="27" spans="1:2">
      <c r="A27" t="s">
        <v>25</v>
      </c>
      <c r="B27">
        <v>1</v>
      </c>
    </row>
    <row r="28" spans="1:2">
      <c r="A28" t="s">
        <v>26</v>
      </c>
      <c r="B28">
        <v>1</v>
      </c>
    </row>
    <row r="29" spans="1:2">
      <c r="A29" t="s">
        <v>27</v>
      </c>
      <c r="B29">
        <v>1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1</v>
      </c>
    </row>
    <row r="34" spans="1:2">
      <c r="A34" t="s">
        <v>32</v>
      </c>
      <c r="B34">
        <v>1</v>
      </c>
    </row>
    <row r="35" spans="1:2">
      <c r="A35" t="s">
        <v>33</v>
      </c>
      <c r="B35">
        <v>1</v>
      </c>
    </row>
    <row r="36" spans="1:2">
      <c r="A36" t="s">
        <v>34</v>
      </c>
      <c r="B36">
        <v>1</v>
      </c>
    </row>
    <row r="37" spans="1:2">
      <c r="A37" t="s">
        <v>35</v>
      </c>
      <c r="B37">
        <v>1</v>
      </c>
    </row>
    <row r="38" spans="1:2">
      <c r="A38" t="s">
        <v>36</v>
      </c>
      <c r="B38">
        <v>1</v>
      </c>
    </row>
    <row r="39" spans="1:2">
      <c r="A39" t="s">
        <v>37</v>
      </c>
      <c r="B39">
        <v>1</v>
      </c>
    </row>
    <row r="40" spans="1:2">
      <c r="A40" t="s">
        <v>38</v>
      </c>
      <c r="B40">
        <v>1</v>
      </c>
    </row>
    <row r="41" spans="1:2">
      <c r="A41" t="s">
        <v>39</v>
      </c>
      <c r="B41">
        <v>1</v>
      </c>
    </row>
    <row r="42" spans="1:2">
      <c r="A42" t="s">
        <v>40</v>
      </c>
      <c r="B42">
        <v>1</v>
      </c>
    </row>
    <row r="43" spans="1:2">
      <c r="A43" t="s">
        <v>41</v>
      </c>
      <c r="B43">
        <v>1</v>
      </c>
    </row>
    <row r="44" spans="1:2">
      <c r="A44" t="s">
        <v>42</v>
      </c>
      <c r="B44">
        <v>1</v>
      </c>
    </row>
    <row r="45" spans="1:2">
      <c r="A45" t="s">
        <v>43</v>
      </c>
      <c r="B45">
        <v>1</v>
      </c>
    </row>
    <row r="46" spans="1:2">
      <c r="A46" t="s">
        <v>44</v>
      </c>
      <c r="B46">
        <v>1</v>
      </c>
    </row>
    <row r="47" spans="1:2">
      <c r="A47" t="s">
        <v>45</v>
      </c>
      <c r="B47">
        <v>1</v>
      </c>
    </row>
    <row r="48" spans="1:2">
      <c r="A48" t="s">
        <v>46</v>
      </c>
      <c r="B48">
        <v>1</v>
      </c>
    </row>
    <row r="49" spans="1:2">
      <c r="A49" t="s">
        <v>47</v>
      </c>
      <c r="B49">
        <v>1</v>
      </c>
    </row>
    <row r="50" spans="1:2">
      <c r="A50" t="s">
        <v>48</v>
      </c>
      <c r="B50">
        <v>1</v>
      </c>
    </row>
    <row r="51" spans="1:2">
      <c r="A51" t="s">
        <v>49</v>
      </c>
      <c r="B51">
        <v>1</v>
      </c>
    </row>
    <row r="52" spans="1:2">
      <c r="A52" t="s">
        <v>50</v>
      </c>
      <c r="B52">
        <v>1</v>
      </c>
    </row>
    <row r="53" spans="1:2">
      <c r="A53" t="s">
        <v>51</v>
      </c>
      <c r="B53">
        <v>1</v>
      </c>
    </row>
    <row r="54" spans="1:2">
      <c r="A54" t="s">
        <v>52</v>
      </c>
      <c r="B54">
        <v>1</v>
      </c>
    </row>
    <row r="55" spans="1:2">
      <c r="A55" t="s">
        <v>53</v>
      </c>
      <c r="B55">
        <v>1</v>
      </c>
    </row>
    <row r="56" spans="1:2">
      <c r="A56" t="s">
        <v>54</v>
      </c>
      <c r="B56">
        <v>1</v>
      </c>
    </row>
    <row r="57" spans="1:2">
      <c r="A57" t="s">
        <v>55</v>
      </c>
      <c r="B57">
        <v>1</v>
      </c>
    </row>
    <row r="58" spans="1:2">
      <c r="A58" t="s">
        <v>56</v>
      </c>
      <c r="B58">
        <v>1</v>
      </c>
    </row>
    <row r="59" spans="1:2">
      <c r="A59" t="s">
        <v>57</v>
      </c>
      <c r="B59">
        <v>1</v>
      </c>
    </row>
    <row r="60" spans="1:2">
      <c r="A60" t="s">
        <v>58</v>
      </c>
      <c r="B60">
        <v>1</v>
      </c>
    </row>
    <row r="61" spans="1:2">
      <c r="A61" t="s">
        <v>59</v>
      </c>
      <c r="B61">
        <v>1</v>
      </c>
    </row>
    <row r="62" spans="1:2">
      <c r="A62" t="s">
        <v>60</v>
      </c>
      <c r="B62">
        <v>1</v>
      </c>
    </row>
    <row r="63" spans="1:2">
      <c r="A63" t="s">
        <v>61</v>
      </c>
      <c r="B63">
        <v>1</v>
      </c>
    </row>
    <row r="64" spans="1:2">
      <c r="A64" t="s">
        <v>62</v>
      </c>
      <c r="B64">
        <v>1</v>
      </c>
    </row>
    <row r="65" spans="1:2">
      <c r="A65" t="s">
        <v>63</v>
      </c>
      <c r="B65">
        <v>1</v>
      </c>
    </row>
    <row r="66" spans="1:2">
      <c r="A66" t="s">
        <v>64</v>
      </c>
      <c r="B66">
        <v>1</v>
      </c>
    </row>
    <row r="67" spans="1:2">
      <c r="A67" t="s">
        <v>65</v>
      </c>
      <c r="B67">
        <v>1</v>
      </c>
    </row>
    <row r="68" spans="1:2">
      <c r="A68" t="s">
        <v>66</v>
      </c>
      <c r="B68">
        <v>1</v>
      </c>
    </row>
    <row r="69" spans="1:2">
      <c r="A69" t="s">
        <v>67</v>
      </c>
      <c r="B69">
        <v>1</v>
      </c>
    </row>
    <row r="70" spans="1:2">
      <c r="A70" t="s">
        <v>68</v>
      </c>
      <c r="B70">
        <v>1</v>
      </c>
    </row>
    <row r="71" spans="1:2">
      <c r="A71" t="s">
        <v>69</v>
      </c>
      <c r="B71">
        <v>1</v>
      </c>
    </row>
    <row r="72" spans="1:1">
      <c r="A72" t="s">
        <v>70</v>
      </c>
    </row>
    <row r="73" spans="1:2">
      <c r="A73" t="s">
        <v>71</v>
      </c>
      <c r="B73">
        <v>100</v>
      </c>
    </row>
  </sheetData>
  <pageMargins left="0.75" right="0.75" top="1" bottom="1" header="0.5" footer="0.5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F101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4.4"/>
  <cols>
    <col min="1" max="1" width="8" style="8" customWidth="1"/>
    <col min="2" max="4" width="14" style="8" customWidth="1"/>
    <col min="5" max="6" width="13" style="8" customWidth="1"/>
    <col min="7" max="7" width="35" style="8" customWidth="1"/>
    <col min="8" max="10" width="14" style="8" customWidth="1"/>
    <col min="11" max="12" width="20" style="8" customWidth="1"/>
    <col min="13" max="13" width="12" style="9" customWidth="1"/>
    <col min="14" max="14" width="16" style="9" customWidth="1"/>
    <col min="15" max="15" width="16" style="10" customWidth="1"/>
    <col min="16" max="16" width="25" style="8" customWidth="1"/>
    <col min="17" max="17" width="12" style="9" customWidth="1"/>
    <col min="18" max="18" width="13" style="9" customWidth="1"/>
    <col min="19" max="19" width="13" style="10" customWidth="1"/>
    <col min="20" max="20" width="15" style="9" customWidth="1"/>
    <col min="21" max="21" width="13" style="8" customWidth="1"/>
    <col min="22" max="22" width="13" style="9" customWidth="1"/>
    <col min="23" max="23" width="10" style="9" customWidth="1"/>
    <col min="24" max="24" width="10" style="11" customWidth="1"/>
    <col min="25" max="26" width="12" style="11" customWidth="1"/>
    <col min="27" max="28" width="10" style="9" customWidth="1"/>
    <col min="29" max="29" width="15" style="9" customWidth="1"/>
    <col min="30" max="30" width="10" style="12" customWidth="1"/>
    <col min="31" max="31" width="10" style="13" customWidth="1"/>
    <col min="32" max="32" width="10" style="11" customWidth="1"/>
    <col min="33" max="34" width="10" style="10" customWidth="1"/>
    <col min="35" max="35" width="18" style="8" customWidth="1"/>
    <col min="36" max="36" width="12" style="9" customWidth="1"/>
    <col min="37" max="37" width="10" style="8" customWidth="1"/>
    <col min="38" max="38" width="12" style="9" customWidth="1"/>
    <col min="39" max="39" width="10" style="9" customWidth="1"/>
    <col min="40" max="41" width="18" style="8" customWidth="1"/>
    <col min="42" max="42" width="13" style="8" customWidth="1"/>
    <col min="43" max="44" width="37" style="8" customWidth="1"/>
    <col min="45" max="45" width="16" style="8" customWidth="1"/>
    <col min="46" max="46" width="17" style="8" customWidth="1"/>
    <col min="47" max="47" width="18" style="8" customWidth="1"/>
    <col min="48" max="48" width="9" style="8" customWidth="1"/>
    <col min="49" max="49" width="10" style="8" customWidth="1"/>
    <col min="50" max="50" width="8" style="8" customWidth="1"/>
    <col min="51" max="52" width="10" style="8" customWidth="1"/>
    <col min="53" max="53" width="9" style="8" customWidth="1"/>
    <col min="54" max="54" width="24" style="8" customWidth="1"/>
    <col min="55" max="56" width="18" style="8" customWidth="1"/>
    <col min="57" max="58" width="30" style="8" customWidth="1"/>
  </cols>
  <sheetData>
    <row r="1" ht="27" customHeight="1" spans="1:58">
      <c r="A1" s="14" t="s">
        <v>72</v>
      </c>
      <c r="B1" s="14" t="s">
        <v>73</v>
      </c>
      <c r="C1" s="14" t="s">
        <v>74</v>
      </c>
      <c r="D1" s="14" t="s">
        <v>75</v>
      </c>
      <c r="E1" s="14" t="s">
        <v>0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6" t="s">
        <v>83</v>
      </c>
      <c r="N1" s="16" t="s">
        <v>84</v>
      </c>
      <c r="O1" s="17" t="s">
        <v>85</v>
      </c>
      <c r="P1" s="14" t="s">
        <v>86</v>
      </c>
      <c r="Q1" s="16" t="s">
        <v>87</v>
      </c>
      <c r="R1" s="16" t="s">
        <v>88</v>
      </c>
      <c r="S1" s="17" t="s">
        <v>89</v>
      </c>
      <c r="T1" s="16" t="s">
        <v>90</v>
      </c>
      <c r="U1" s="14" t="s">
        <v>91</v>
      </c>
      <c r="V1" s="16" t="s">
        <v>92</v>
      </c>
      <c r="W1" s="16" t="s">
        <v>93</v>
      </c>
      <c r="X1" s="21" t="s">
        <v>94</v>
      </c>
      <c r="Y1" s="21" t="s">
        <v>95</v>
      </c>
      <c r="Z1" s="14" t="s">
        <v>96</v>
      </c>
      <c r="AA1" s="16" t="s">
        <v>97</v>
      </c>
      <c r="AB1" s="16" t="s">
        <v>98</v>
      </c>
      <c r="AC1" s="16" t="s">
        <v>99</v>
      </c>
      <c r="AD1" s="26" t="s">
        <v>100</v>
      </c>
      <c r="AE1" s="27" t="s">
        <v>101</v>
      </c>
      <c r="AF1" s="21" t="s">
        <v>102</v>
      </c>
      <c r="AG1" s="17" t="s">
        <v>103</v>
      </c>
      <c r="AH1" s="14" t="s">
        <v>104</v>
      </c>
      <c r="AI1" s="14" t="s">
        <v>105</v>
      </c>
      <c r="AJ1" s="16" t="s">
        <v>106</v>
      </c>
      <c r="AK1" s="14" t="s">
        <v>107</v>
      </c>
      <c r="AL1" s="16" t="s">
        <v>108</v>
      </c>
      <c r="AM1" s="16" t="s">
        <v>109</v>
      </c>
      <c r="AN1" s="14" t="s">
        <v>110</v>
      </c>
      <c r="AO1" s="14" t="s">
        <v>111</v>
      </c>
      <c r="AP1" s="14" t="s">
        <v>112</v>
      </c>
      <c r="AQ1" s="14" t="s">
        <v>113</v>
      </c>
      <c r="AR1" s="14" t="s">
        <v>114</v>
      </c>
      <c r="AS1" s="14" t="s">
        <v>115</v>
      </c>
      <c r="AT1" s="14" t="s">
        <v>116</v>
      </c>
      <c r="AU1" s="14" t="s">
        <v>117</v>
      </c>
      <c r="AV1" s="14" t="s">
        <v>118</v>
      </c>
      <c r="AW1" s="14" t="s">
        <v>119</v>
      </c>
      <c r="AX1" s="14" t="s">
        <v>120</v>
      </c>
      <c r="AY1" s="14" t="s">
        <v>121</v>
      </c>
      <c r="AZ1" s="14" t="s">
        <v>122</v>
      </c>
      <c r="BA1" s="14" t="s">
        <v>123</v>
      </c>
      <c r="BB1" s="14" t="s">
        <v>124</v>
      </c>
      <c r="BC1" s="14" t="s">
        <v>125</v>
      </c>
      <c r="BD1" s="14" t="s">
        <v>125</v>
      </c>
      <c r="BE1" s="14" t="s">
        <v>126</v>
      </c>
      <c r="BF1" s="14" t="s">
        <v>126</v>
      </c>
    </row>
    <row r="2" ht="24" hidden="1" customHeight="1" spans="1:58">
      <c r="A2" s="1" t="str">
        <f>_xlfn.DISPIMG("ID_4AE1CAECE8284813B67FD2D2AA6ECE8D",1)</f>
        <v>=DISPIMG("ID_4AE1CAECE8284813B67FD2D2AA6ECE8D",1)</v>
      </c>
      <c r="B2" s="15" t="s">
        <v>127</v>
      </c>
      <c r="C2" s="15" t="s">
        <v>128</v>
      </c>
      <c r="D2" s="15" t="s">
        <v>129</v>
      </c>
      <c r="E2" s="15" t="s">
        <v>4</v>
      </c>
      <c r="F2" s="15" t="s">
        <v>130</v>
      </c>
      <c r="G2" s="15" t="s">
        <v>131</v>
      </c>
      <c r="H2" s="15" t="s">
        <v>132</v>
      </c>
      <c r="I2" s="15" t="s">
        <v>133</v>
      </c>
      <c r="J2" s="15" t="s">
        <v>134</v>
      </c>
      <c r="K2" s="15" t="s">
        <v>135</v>
      </c>
      <c r="L2" s="15" t="s">
        <v>136</v>
      </c>
      <c r="M2" s="18">
        <v>1149</v>
      </c>
      <c r="N2" s="18">
        <v>-858</v>
      </c>
      <c r="O2" s="19">
        <v>-1.9589</v>
      </c>
      <c r="P2" s="20" t="s">
        <v>137</v>
      </c>
      <c r="Q2" s="22" t="s">
        <v>138</v>
      </c>
      <c r="R2" s="18">
        <v>27184</v>
      </c>
      <c r="S2" s="19">
        <v>-0.016</v>
      </c>
      <c r="T2" s="18">
        <v>543408.1</v>
      </c>
      <c r="U2" s="23" t="s">
        <v>139</v>
      </c>
      <c r="V2" s="18">
        <v>19990</v>
      </c>
      <c r="W2" s="24">
        <v>104</v>
      </c>
      <c r="X2" s="25">
        <v>19.99</v>
      </c>
      <c r="Z2" s="8"/>
      <c r="AB2" s="24">
        <v>984</v>
      </c>
      <c r="AC2" s="18">
        <v>215</v>
      </c>
      <c r="AD2" s="28">
        <v>4.5</v>
      </c>
      <c r="AE2" s="29">
        <v>0.0079</v>
      </c>
      <c r="AF2" s="25">
        <v>5.39</v>
      </c>
      <c r="AG2" s="19">
        <v>0.4404</v>
      </c>
      <c r="AI2" s="1" t="s">
        <v>140</v>
      </c>
      <c r="AJ2" s="24">
        <v>185</v>
      </c>
      <c r="AK2" s="1" t="s">
        <v>141</v>
      </c>
      <c r="AL2" s="24">
        <v>10</v>
      </c>
      <c r="AM2" s="24">
        <v>1</v>
      </c>
      <c r="AN2" s="15" t="s">
        <v>4</v>
      </c>
      <c r="AO2" s="1" t="s">
        <v>141</v>
      </c>
      <c r="AP2" s="1" t="s">
        <v>142</v>
      </c>
      <c r="AQ2" s="15" t="s">
        <v>143</v>
      </c>
      <c r="AR2" s="1" t="s">
        <v>144</v>
      </c>
      <c r="AS2" s="1" t="s">
        <v>145</v>
      </c>
      <c r="AT2" s="1" t="s">
        <v>145</v>
      </c>
      <c r="AU2" s="1" t="s">
        <v>145</v>
      </c>
      <c r="AV2" s="1" t="s">
        <v>145</v>
      </c>
      <c r="AW2" s="1" t="s">
        <v>145</v>
      </c>
      <c r="AX2" s="1" t="s">
        <v>146</v>
      </c>
      <c r="AY2" s="1" t="s">
        <v>145</v>
      </c>
      <c r="AZ2" s="1" t="s">
        <v>146</v>
      </c>
      <c r="BA2" s="15" t="s">
        <v>146</v>
      </c>
      <c r="BB2" s="23" t="s">
        <v>146</v>
      </c>
      <c r="BC2" s="23" t="s">
        <v>147</v>
      </c>
      <c r="BD2" s="23" t="s">
        <v>148</v>
      </c>
      <c r="BE2" s="23" t="s">
        <v>149</v>
      </c>
      <c r="BF2" s="1" t="s">
        <v>150</v>
      </c>
    </row>
    <row r="3" ht="24" customHeight="1" spans="1:58">
      <c r="A3" s="1" t="str">
        <f>_xlfn.DISPIMG("ID_27EDED7AD1A9453B93215EDE3EE61349",1)</f>
        <v>=DISPIMG("ID_27EDED7AD1A9453B93215EDE3EE61349",1)</v>
      </c>
      <c r="B3" s="15" t="s">
        <v>151</v>
      </c>
      <c r="C3" s="15" t="s">
        <v>152</v>
      </c>
      <c r="D3" s="15" t="s">
        <v>153</v>
      </c>
      <c r="E3" s="15" t="s">
        <v>3</v>
      </c>
      <c r="F3" s="15" t="s">
        <v>154</v>
      </c>
      <c r="G3" s="15" t="s">
        <v>155</v>
      </c>
      <c r="H3" s="15" t="s">
        <v>156</v>
      </c>
      <c r="I3" s="15" t="s">
        <v>157</v>
      </c>
      <c r="J3" s="15" t="s">
        <v>158</v>
      </c>
      <c r="K3" s="15" t="s">
        <v>135</v>
      </c>
      <c r="L3" s="15" t="s">
        <v>136</v>
      </c>
      <c r="M3" s="18">
        <v>528</v>
      </c>
      <c r="N3" s="18">
        <v>-306</v>
      </c>
      <c r="O3" s="19">
        <v>-1.2911</v>
      </c>
      <c r="P3" s="20" t="s">
        <v>159</v>
      </c>
      <c r="Q3" s="22" t="s">
        <v>160</v>
      </c>
      <c r="R3" s="18">
        <v>26418</v>
      </c>
      <c r="S3" s="19">
        <v>-0.0358</v>
      </c>
      <c r="T3" s="18">
        <v>660185.8</v>
      </c>
      <c r="U3" s="23" t="s">
        <v>161</v>
      </c>
      <c r="V3" s="18">
        <v>2499</v>
      </c>
      <c r="W3" s="24">
        <v>99</v>
      </c>
      <c r="X3" s="25">
        <v>24.99</v>
      </c>
      <c r="Z3" s="8"/>
      <c r="AA3" s="18">
        <v>4</v>
      </c>
      <c r="AB3" s="24">
        <v>1737</v>
      </c>
      <c r="AC3" s="18">
        <v>153</v>
      </c>
      <c r="AD3" s="28">
        <v>4.6</v>
      </c>
      <c r="AE3" s="29">
        <v>0.0058</v>
      </c>
      <c r="AF3" s="25">
        <v>4.94</v>
      </c>
      <c r="AG3" s="19">
        <v>0.6023</v>
      </c>
      <c r="AI3" s="1" t="s">
        <v>162</v>
      </c>
      <c r="AJ3" s="24">
        <v>618</v>
      </c>
      <c r="AK3" s="1" t="s">
        <v>141</v>
      </c>
      <c r="AL3" s="24">
        <v>9</v>
      </c>
      <c r="AM3" s="24">
        <v>1</v>
      </c>
      <c r="AN3" s="15" t="s">
        <v>163</v>
      </c>
      <c r="AO3" s="1" t="s">
        <v>141</v>
      </c>
      <c r="AP3" s="1" t="s">
        <v>164</v>
      </c>
      <c r="AQ3" s="15" t="s">
        <v>165</v>
      </c>
      <c r="AR3" s="1" t="s">
        <v>166</v>
      </c>
      <c r="AS3" s="1" t="s">
        <v>146</v>
      </c>
      <c r="AT3" s="1" t="s">
        <v>146</v>
      </c>
      <c r="AU3" s="1" t="s">
        <v>146</v>
      </c>
      <c r="AV3" s="1" t="s">
        <v>145</v>
      </c>
      <c r="AW3" s="1" t="s">
        <v>146</v>
      </c>
      <c r="AX3" s="1" t="s">
        <v>146</v>
      </c>
      <c r="AY3" s="1" t="s">
        <v>145</v>
      </c>
      <c r="AZ3" s="1" t="s">
        <v>146</v>
      </c>
      <c r="BA3" s="15" t="s">
        <v>146</v>
      </c>
      <c r="BC3" s="23" t="s">
        <v>167</v>
      </c>
      <c r="BD3" s="23" t="s">
        <v>168</v>
      </c>
      <c r="BE3" s="23" t="s">
        <v>169</v>
      </c>
      <c r="BF3" s="1" t="s">
        <v>170</v>
      </c>
    </row>
    <row r="4" ht="24" customHeight="1" spans="1:58">
      <c r="A4" s="1" t="str">
        <f>_xlfn.DISPIMG("ID_F893B103806A4F3889F336E3CCEEF276",1)</f>
        <v>=DISPIMG("ID_F893B103806A4F3889F336E3CCEEF276",1)</v>
      </c>
      <c r="B4" s="15" t="s">
        <v>171</v>
      </c>
      <c r="C4" s="15" t="s">
        <v>172</v>
      </c>
      <c r="D4" s="15" t="s">
        <v>173</v>
      </c>
      <c r="E4" s="15" t="s">
        <v>7</v>
      </c>
      <c r="F4" s="15" t="s">
        <v>174</v>
      </c>
      <c r="G4" s="15" t="s">
        <v>175</v>
      </c>
      <c r="H4" s="15" t="s">
        <v>176</v>
      </c>
      <c r="I4" s="15" t="s">
        <v>177</v>
      </c>
      <c r="J4" s="15" t="s">
        <v>178</v>
      </c>
      <c r="K4" s="15" t="s">
        <v>135</v>
      </c>
      <c r="L4" s="15" t="s">
        <v>136</v>
      </c>
      <c r="M4" s="18">
        <v>959</v>
      </c>
      <c r="N4" s="18">
        <v>100</v>
      </c>
      <c r="O4" s="19">
        <v>0.1695</v>
      </c>
      <c r="P4" s="20" t="s">
        <v>179</v>
      </c>
      <c r="Q4" s="22" t="s">
        <v>180</v>
      </c>
      <c r="R4" s="18">
        <v>16289</v>
      </c>
      <c r="S4" s="19">
        <v>-0.2535</v>
      </c>
      <c r="T4" s="18">
        <v>439640.1</v>
      </c>
      <c r="U4" s="23" t="s">
        <v>181</v>
      </c>
      <c r="V4" s="18">
        <v>16194</v>
      </c>
      <c r="W4" s="24">
        <v>260</v>
      </c>
      <c r="X4" s="25">
        <v>26.99</v>
      </c>
      <c r="Z4" s="23" t="s">
        <v>182</v>
      </c>
      <c r="AA4" s="18">
        <v>83</v>
      </c>
      <c r="AB4" s="24">
        <v>18774</v>
      </c>
      <c r="AC4" s="18">
        <v>280</v>
      </c>
      <c r="AD4" s="28">
        <v>4.4</v>
      </c>
      <c r="AE4" s="29">
        <v>0.0172</v>
      </c>
      <c r="AF4" s="25">
        <v>5</v>
      </c>
      <c r="AG4" s="19">
        <v>0.6148</v>
      </c>
      <c r="AI4" s="1" t="s">
        <v>183</v>
      </c>
      <c r="AJ4" s="24">
        <v>2317</v>
      </c>
      <c r="AK4" s="1" t="s">
        <v>141</v>
      </c>
      <c r="AL4" s="24">
        <v>9</v>
      </c>
      <c r="AM4" s="24">
        <v>1</v>
      </c>
      <c r="AN4" s="15" t="s">
        <v>184</v>
      </c>
      <c r="AO4" s="1" t="s">
        <v>141</v>
      </c>
      <c r="AP4" s="1" t="s">
        <v>142</v>
      </c>
      <c r="AQ4" s="15" t="s">
        <v>185</v>
      </c>
      <c r="AR4" s="1" t="s">
        <v>186</v>
      </c>
      <c r="AS4" s="1" t="s">
        <v>145</v>
      </c>
      <c r="AT4" s="1" t="s">
        <v>145</v>
      </c>
      <c r="AU4" s="1" t="s">
        <v>146</v>
      </c>
      <c r="AV4" s="1" t="s">
        <v>145</v>
      </c>
      <c r="AW4" s="1" t="s">
        <v>145</v>
      </c>
      <c r="AX4" s="1" t="s">
        <v>146</v>
      </c>
      <c r="AY4" s="1" t="s">
        <v>145</v>
      </c>
      <c r="AZ4" s="1" t="s">
        <v>146</v>
      </c>
      <c r="BA4" s="15" t="s">
        <v>146</v>
      </c>
      <c r="BB4" s="23" t="s">
        <v>187</v>
      </c>
      <c r="BC4" s="23" t="s">
        <v>188</v>
      </c>
      <c r="BD4" s="23" t="s">
        <v>189</v>
      </c>
      <c r="BE4" s="23" t="s">
        <v>190</v>
      </c>
      <c r="BF4" s="1" t="s">
        <v>191</v>
      </c>
    </row>
    <row r="5" ht="24" customHeight="1" spans="1:58">
      <c r="A5" s="1" t="str">
        <f>_xlfn.DISPIMG("ID_4615F4D24D284FB4AF05595191C9601D",1)</f>
        <v>=DISPIMG("ID_4615F4D24D284FB4AF05595191C9601D",1)</v>
      </c>
      <c r="B5" s="15" t="s">
        <v>192</v>
      </c>
      <c r="C5" s="15" t="s">
        <v>193</v>
      </c>
      <c r="D5" s="15" t="s">
        <v>194</v>
      </c>
      <c r="E5" s="15" t="s">
        <v>24</v>
      </c>
      <c r="F5" s="15" t="s">
        <v>195</v>
      </c>
      <c r="G5" s="15" t="s">
        <v>196</v>
      </c>
      <c r="H5" s="15" t="s">
        <v>197</v>
      </c>
      <c r="I5" s="15" t="s">
        <v>198</v>
      </c>
      <c r="J5" s="15" t="s">
        <v>199</v>
      </c>
      <c r="K5" s="15" t="s">
        <v>135</v>
      </c>
      <c r="L5" s="15" t="s">
        <v>136</v>
      </c>
      <c r="M5" s="18">
        <v>1509</v>
      </c>
      <c r="N5" s="18">
        <v>0</v>
      </c>
      <c r="O5" s="19">
        <v>0</v>
      </c>
      <c r="P5" s="20" t="s">
        <v>200</v>
      </c>
      <c r="Q5" s="22" t="s">
        <v>201</v>
      </c>
      <c r="R5" s="18">
        <v>15819</v>
      </c>
      <c r="S5" s="19">
        <v>0.1645</v>
      </c>
      <c r="T5" s="18">
        <v>395158.62</v>
      </c>
      <c r="U5" s="23" t="s">
        <v>202</v>
      </c>
      <c r="V5" s="18">
        <v>4996</v>
      </c>
      <c r="W5" s="24">
        <v>196</v>
      </c>
      <c r="X5" s="25">
        <v>24.98</v>
      </c>
      <c r="Z5" s="8"/>
      <c r="AA5" s="18">
        <v>4</v>
      </c>
      <c r="AB5" s="24">
        <v>1404</v>
      </c>
      <c r="AC5" s="18">
        <v>0</v>
      </c>
      <c r="AD5" s="28">
        <v>4.1</v>
      </c>
      <c r="AE5" s="29">
        <v>0</v>
      </c>
      <c r="AF5" s="25">
        <v>4.62</v>
      </c>
      <c r="AG5" s="19">
        <v>0.5688</v>
      </c>
      <c r="AI5" s="1" t="s">
        <v>203</v>
      </c>
      <c r="AJ5" s="24">
        <v>1568</v>
      </c>
      <c r="AK5" s="1" t="s">
        <v>141</v>
      </c>
      <c r="AL5" s="24">
        <v>9</v>
      </c>
      <c r="AM5" s="24">
        <v>1</v>
      </c>
      <c r="AN5" s="15" t="s">
        <v>204</v>
      </c>
      <c r="AO5" s="1" t="s">
        <v>141</v>
      </c>
      <c r="AP5" s="1" t="s">
        <v>142</v>
      </c>
      <c r="AQ5" s="15" t="s">
        <v>205</v>
      </c>
      <c r="AR5" s="1" t="s">
        <v>206</v>
      </c>
      <c r="AS5" s="1" t="s">
        <v>146</v>
      </c>
      <c r="AT5" s="1" t="s">
        <v>145</v>
      </c>
      <c r="AU5" s="1" t="s">
        <v>146</v>
      </c>
      <c r="AV5" s="1" t="s">
        <v>145</v>
      </c>
      <c r="AW5" s="1" t="s">
        <v>146</v>
      </c>
      <c r="AX5" s="1" t="s">
        <v>146</v>
      </c>
      <c r="AY5" s="1" t="s">
        <v>145</v>
      </c>
      <c r="AZ5" s="1" t="s">
        <v>146</v>
      </c>
      <c r="BA5" s="15" t="s">
        <v>146</v>
      </c>
      <c r="BB5" s="23" t="s">
        <v>207</v>
      </c>
      <c r="BC5" s="23" t="s">
        <v>208</v>
      </c>
      <c r="BD5" s="23" t="s">
        <v>209</v>
      </c>
      <c r="BE5" s="23" t="s">
        <v>210</v>
      </c>
      <c r="BF5" s="1" t="s">
        <v>211</v>
      </c>
    </row>
    <row r="6" ht="24" customHeight="1" spans="1:58">
      <c r="A6" s="1" t="str">
        <f>_xlfn.DISPIMG("ID_60DC48DC999C4C32BACBE3A97323FB43",1)</f>
        <v>=DISPIMG("ID_60DC48DC999C4C32BACBE3A97323FB43",1)</v>
      </c>
      <c r="B6" s="15" t="s">
        <v>212</v>
      </c>
      <c r="C6" s="15" t="s">
        <v>128</v>
      </c>
      <c r="D6" s="15" t="s">
        <v>213</v>
      </c>
      <c r="E6" s="15" t="s">
        <v>37</v>
      </c>
      <c r="F6" s="15" t="s">
        <v>214</v>
      </c>
      <c r="G6" s="15" t="s">
        <v>215</v>
      </c>
      <c r="H6" s="15" t="s">
        <v>216</v>
      </c>
      <c r="I6" s="15" t="s">
        <v>217</v>
      </c>
      <c r="J6" s="15" t="s">
        <v>218</v>
      </c>
      <c r="K6" s="15" t="s">
        <v>135</v>
      </c>
      <c r="L6" s="15" t="s">
        <v>136</v>
      </c>
      <c r="M6" s="18">
        <v>1095</v>
      </c>
      <c r="N6" s="18">
        <v>-502</v>
      </c>
      <c r="O6" s="19">
        <v>-0.8596</v>
      </c>
      <c r="P6" s="20" t="s">
        <v>200</v>
      </c>
      <c r="Q6" s="22" t="s">
        <v>219</v>
      </c>
      <c r="R6" s="18">
        <v>13791</v>
      </c>
      <c r="S6" s="19">
        <v>0.3234</v>
      </c>
      <c r="T6" s="18">
        <v>344637.1</v>
      </c>
      <c r="U6" s="23" t="s">
        <v>220</v>
      </c>
      <c r="V6" s="18">
        <v>49980</v>
      </c>
      <c r="W6" s="24">
        <v>59</v>
      </c>
      <c r="X6" s="25">
        <v>24.99</v>
      </c>
      <c r="Z6" s="8"/>
      <c r="AA6" s="18">
        <v>39</v>
      </c>
      <c r="AB6" s="24">
        <v>7672</v>
      </c>
      <c r="AC6" s="18">
        <v>60</v>
      </c>
      <c r="AD6" s="28">
        <v>4</v>
      </c>
      <c r="AE6" s="29">
        <v>0.0044</v>
      </c>
      <c r="AF6" s="25">
        <v>7.04</v>
      </c>
      <c r="AG6" s="19">
        <v>0.5183</v>
      </c>
      <c r="AI6" s="1" t="s">
        <v>221</v>
      </c>
      <c r="AJ6" s="24">
        <v>1497</v>
      </c>
      <c r="AK6" s="1" t="s">
        <v>141</v>
      </c>
      <c r="AL6" s="24">
        <v>10</v>
      </c>
      <c r="AM6" s="24">
        <v>2</v>
      </c>
      <c r="AN6" s="15" t="s">
        <v>222</v>
      </c>
      <c r="AO6" s="1" t="s">
        <v>141</v>
      </c>
      <c r="AP6" s="1" t="s">
        <v>142</v>
      </c>
      <c r="AQ6" s="15" t="s">
        <v>223</v>
      </c>
      <c r="AR6" s="1" t="s">
        <v>224</v>
      </c>
      <c r="AS6" s="1" t="s">
        <v>145</v>
      </c>
      <c r="AT6" s="1" t="s">
        <v>145</v>
      </c>
      <c r="AU6" s="1" t="s">
        <v>146</v>
      </c>
      <c r="AV6" s="1" t="s">
        <v>145</v>
      </c>
      <c r="AW6" s="1" t="s">
        <v>145</v>
      </c>
      <c r="AX6" s="1" t="s">
        <v>146</v>
      </c>
      <c r="AY6" s="1" t="s">
        <v>145</v>
      </c>
      <c r="AZ6" s="1" t="s">
        <v>146</v>
      </c>
      <c r="BA6" s="15" t="s">
        <v>146</v>
      </c>
      <c r="BB6" s="23" t="s">
        <v>225</v>
      </c>
      <c r="BC6" s="23" t="s">
        <v>226</v>
      </c>
      <c r="BD6" s="23" t="s">
        <v>227</v>
      </c>
      <c r="BE6" s="23" t="s">
        <v>228</v>
      </c>
      <c r="BF6" s="1" t="s">
        <v>229</v>
      </c>
    </row>
    <row r="7" ht="24" customHeight="1" spans="1:58">
      <c r="A7" s="1" t="str">
        <f>_xlfn.DISPIMG("ID_15D4DF6EE6404E87AE68BD3BD292FEBB",1)</f>
        <v>=DISPIMG("ID_15D4DF6EE6404E87AE68BD3BD292FEBB",1)</v>
      </c>
      <c r="B7" s="15" t="s">
        <v>230</v>
      </c>
      <c r="C7" s="15" t="s">
        <v>231</v>
      </c>
      <c r="D7" s="15" t="s">
        <v>232</v>
      </c>
      <c r="E7" s="15" t="s">
        <v>12</v>
      </c>
      <c r="F7" s="15" t="s">
        <v>233</v>
      </c>
      <c r="G7" s="15" t="s">
        <v>234</v>
      </c>
      <c r="H7" s="15" t="s">
        <v>235</v>
      </c>
      <c r="I7" s="15" t="s">
        <v>236</v>
      </c>
      <c r="J7" s="15" t="s">
        <v>237</v>
      </c>
      <c r="K7" s="15" t="s">
        <v>135</v>
      </c>
      <c r="L7" s="15" t="s">
        <v>136</v>
      </c>
      <c r="M7" s="18">
        <v>3337</v>
      </c>
      <c r="N7" s="18">
        <v>-1027</v>
      </c>
      <c r="O7" s="19">
        <v>-0.6077</v>
      </c>
      <c r="P7" s="20" t="s">
        <v>200</v>
      </c>
      <c r="Q7" s="22" t="s">
        <v>238</v>
      </c>
      <c r="R7" s="18">
        <v>10573</v>
      </c>
      <c r="S7" s="19">
        <v>90</v>
      </c>
      <c r="T7" s="18">
        <v>264113.53</v>
      </c>
      <c r="U7" s="23" t="s">
        <v>161</v>
      </c>
      <c r="V7" s="18">
        <v>2498</v>
      </c>
      <c r="W7" s="24">
        <v>400</v>
      </c>
      <c r="X7" s="25">
        <v>24.98</v>
      </c>
      <c r="Z7" s="8"/>
      <c r="AA7" s="18">
        <v>30</v>
      </c>
      <c r="AB7" s="24">
        <v>2326</v>
      </c>
      <c r="AC7" s="18">
        <v>64</v>
      </c>
      <c r="AD7" s="28">
        <v>4.2</v>
      </c>
      <c r="AE7" s="29">
        <v>0.0061</v>
      </c>
      <c r="AF7" s="25">
        <v>3.81</v>
      </c>
      <c r="AG7" s="19">
        <v>0.6534</v>
      </c>
      <c r="AI7" s="1" t="s">
        <v>239</v>
      </c>
      <c r="AJ7" s="24">
        <v>43</v>
      </c>
      <c r="AK7" s="1" t="s">
        <v>141</v>
      </c>
      <c r="AL7" s="24">
        <v>9.9</v>
      </c>
      <c r="AM7" s="24">
        <v>1</v>
      </c>
      <c r="AN7" s="15" t="s">
        <v>240</v>
      </c>
      <c r="AO7" s="1" t="s">
        <v>141</v>
      </c>
      <c r="AP7" s="1" t="s">
        <v>142</v>
      </c>
      <c r="AQ7" s="15" t="s">
        <v>241</v>
      </c>
      <c r="AR7" s="1" t="s">
        <v>242</v>
      </c>
      <c r="AS7" s="1" t="s">
        <v>145</v>
      </c>
      <c r="AT7" s="1" t="s">
        <v>145</v>
      </c>
      <c r="AU7" s="1" t="s">
        <v>146</v>
      </c>
      <c r="AV7" s="1" t="s">
        <v>145</v>
      </c>
      <c r="AW7" s="1" t="s">
        <v>146</v>
      </c>
      <c r="AX7" s="1" t="s">
        <v>146</v>
      </c>
      <c r="AY7" s="1" t="s">
        <v>145</v>
      </c>
      <c r="AZ7" s="1" t="s">
        <v>146</v>
      </c>
      <c r="BA7" s="15" t="s">
        <v>146</v>
      </c>
      <c r="BB7" s="23" t="s">
        <v>243</v>
      </c>
      <c r="BC7" s="23" t="s">
        <v>244</v>
      </c>
      <c r="BD7" s="23" t="s">
        <v>245</v>
      </c>
      <c r="BE7" s="23" t="s">
        <v>246</v>
      </c>
      <c r="BF7" s="1" t="s">
        <v>247</v>
      </c>
    </row>
    <row r="8" ht="24" customHeight="1" spans="1:58">
      <c r="A8" s="1" t="str">
        <f>_xlfn.DISPIMG("ID_93E57F281F584642865EBD96EAFA27BD",1)</f>
        <v>=DISPIMG("ID_93E57F281F584642865EBD96EAFA27BD",1)</v>
      </c>
      <c r="B8" s="15" t="s">
        <v>248</v>
      </c>
      <c r="C8" s="15" t="s">
        <v>249</v>
      </c>
      <c r="D8" s="15" t="s">
        <v>194</v>
      </c>
      <c r="E8" s="15" t="s">
        <v>35</v>
      </c>
      <c r="F8" s="15" t="s">
        <v>250</v>
      </c>
      <c r="G8" s="15" t="s">
        <v>251</v>
      </c>
      <c r="H8" s="15" t="s">
        <v>252</v>
      </c>
      <c r="I8" s="15" t="s">
        <v>253</v>
      </c>
      <c r="J8" s="15" t="s">
        <v>254</v>
      </c>
      <c r="K8" s="15" t="s">
        <v>135</v>
      </c>
      <c r="L8" s="15" t="s">
        <v>136</v>
      </c>
      <c r="M8" s="18">
        <v>1034</v>
      </c>
      <c r="N8" s="18">
        <v>1040</v>
      </c>
      <c r="O8" s="19">
        <v>0.6341</v>
      </c>
      <c r="P8" s="20" t="s">
        <v>179</v>
      </c>
      <c r="Q8" s="22" t="s">
        <v>255</v>
      </c>
      <c r="R8" s="18">
        <v>10076</v>
      </c>
      <c r="S8" s="19">
        <v>0.0909</v>
      </c>
      <c r="T8" s="18">
        <v>230740.39</v>
      </c>
      <c r="U8" s="23" t="s">
        <v>256</v>
      </c>
      <c r="V8" s="18">
        <v>6870</v>
      </c>
      <c r="W8" s="24">
        <v>189</v>
      </c>
      <c r="X8" s="25">
        <v>22.9</v>
      </c>
      <c r="Z8" s="8"/>
      <c r="AA8" s="18">
        <v>9</v>
      </c>
      <c r="AB8" s="24">
        <v>2240</v>
      </c>
      <c r="AC8" s="18">
        <v>37</v>
      </c>
      <c r="AD8" s="28">
        <v>4</v>
      </c>
      <c r="AE8" s="29">
        <v>0.0037</v>
      </c>
      <c r="AF8" s="25">
        <v>4.94</v>
      </c>
      <c r="AG8" s="19">
        <v>0.5636</v>
      </c>
      <c r="AI8" s="1" t="s">
        <v>257</v>
      </c>
      <c r="AJ8" s="24">
        <v>1607</v>
      </c>
      <c r="AK8" s="1" t="s">
        <v>141</v>
      </c>
      <c r="AL8" s="24">
        <v>9.4</v>
      </c>
      <c r="AM8" s="24">
        <v>1</v>
      </c>
      <c r="AN8" s="15" t="s">
        <v>258</v>
      </c>
      <c r="AO8" s="1" t="s">
        <v>141</v>
      </c>
      <c r="AP8" s="1" t="s">
        <v>142</v>
      </c>
      <c r="AQ8" s="15" t="s">
        <v>259</v>
      </c>
      <c r="AR8" s="1" t="s">
        <v>260</v>
      </c>
      <c r="AS8" s="1" t="s">
        <v>145</v>
      </c>
      <c r="AT8" s="1" t="s">
        <v>145</v>
      </c>
      <c r="AU8" s="1" t="s">
        <v>146</v>
      </c>
      <c r="AV8" s="1" t="s">
        <v>145</v>
      </c>
      <c r="AW8" s="1" t="s">
        <v>146</v>
      </c>
      <c r="AX8" s="1" t="s">
        <v>146</v>
      </c>
      <c r="AY8" s="1" t="s">
        <v>145</v>
      </c>
      <c r="AZ8" s="1" t="s">
        <v>146</v>
      </c>
      <c r="BA8" s="15" t="s">
        <v>146</v>
      </c>
      <c r="BB8" s="23" t="s">
        <v>261</v>
      </c>
      <c r="BC8" s="23" t="s">
        <v>208</v>
      </c>
      <c r="BD8" s="23" t="s">
        <v>209</v>
      </c>
      <c r="BE8" s="23" t="s">
        <v>210</v>
      </c>
      <c r="BF8" s="1" t="s">
        <v>211</v>
      </c>
    </row>
    <row r="9" ht="24" customHeight="1" spans="1:58">
      <c r="A9" s="1" t="str">
        <f>_xlfn.DISPIMG("ID_3CC04262420F4E19AEE218DEFA9975EB",1)</f>
        <v>=DISPIMG("ID_3CC04262420F4E19AEE218DEFA9975EB",1)</v>
      </c>
      <c r="B9" s="15" t="s">
        <v>262</v>
      </c>
      <c r="C9" s="15" t="s">
        <v>263</v>
      </c>
      <c r="D9" s="15" t="s">
        <v>264</v>
      </c>
      <c r="E9" s="15" t="s">
        <v>6</v>
      </c>
      <c r="F9" s="15" t="s">
        <v>265</v>
      </c>
      <c r="G9" s="15" t="s">
        <v>266</v>
      </c>
      <c r="H9" s="15" t="s">
        <v>267</v>
      </c>
      <c r="I9" s="15" t="s">
        <v>268</v>
      </c>
      <c r="J9" s="15" t="s">
        <v>269</v>
      </c>
      <c r="K9" s="15" t="s">
        <v>135</v>
      </c>
      <c r="L9" s="15" t="s">
        <v>136</v>
      </c>
      <c r="M9" s="18">
        <v>3038</v>
      </c>
      <c r="N9" s="18">
        <v>787</v>
      </c>
      <c r="O9" s="19">
        <v>0.2623</v>
      </c>
      <c r="P9" s="20" t="s">
        <v>200</v>
      </c>
      <c r="Q9" s="22" t="s">
        <v>270</v>
      </c>
      <c r="R9" s="18">
        <v>9454</v>
      </c>
      <c r="S9" s="19">
        <v>-0.0635</v>
      </c>
      <c r="T9" s="18">
        <v>283525.47</v>
      </c>
      <c r="U9" s="23" t="s">
        <v>202</v>
      </c>
      <c r="V9" s="18">
        <v>5998</v>
      </c>
      <c r="W9" s="24">
        <v>84</v>
      </c>
      <c r="X9" s="25">
        <v>29.99</v>
      </c>
      <c r="Z9" s="23" t="s">
        <v>271</v>
      </c>
      <c r="AA9" s="18">
        <v>10</v>
      </c>
      <c r="AB9" s="24">
        <v>502</v>
      </c>
      <c r="AC9" s="18">
        <v>84</v>
      </c>
      <c r="AD9" s="28">
        <v>4.4</v>
      </c>
      <c r="AE9" s="29">
        <v>0.0089</v>
      </c>
      <c r="AF9" s="25">
        <v>5.46</v>
      </c>
      <c r="AG9" s="19">
        <v>0.6179</v>
      </c>
      <c r="AI9" s="1" t="s">
        <v>272</v>
      </c>
      <c r="AJ9" s="24">
        <v>547</v>
      </c>
      <c r="AK9" s="1" t="s">
        <v>141</v>
      </c>
      <c r="AL9" s="24">
        <v>9</v>
      </c>
      <c r="AM9" s="24">
        <v>1</v>
      </c>
      <c r="AN9" s="15" t="s">
        <v>6</v>
      </c>
      <c r="AO9" s="1" t="s">
        <v>141</v>
      </c>
      <c r="AP9" s="1" t="s">
        <v>142</v>
      </c>
      <c r="AQ9" s="15" t="s">
        <v>273</v>
      </c>
      <c r="AR9" s="1" t="s">
        <v>274</v>
      </c>
      <c r="AS9" s="1" t="s">
        <v>146</v>
      </c>
      <c r="AT9" s="1" t="s">
        <v>145</v>
      </c>
      <c r="AU9" s="1" t="s">
        <v>146</v>
      </c>
      <c r="AV9" s="1" t="s">
        <v>145</v>
      </c>
      <c r="AW9" s="1" t="s">
        <v>145</v>
      </c>
      <c r="AX9" s="1" t="s">
        <v>146</v>
      </c>
      <c r="AY9" s="1" t="s">
        <v>146</v>
      </c>
      <c r="AZ9" s="1" t="s">
        <v>146</v>
      </c>
      <c r="BA9" s="15" t="s">
        <v>146</v>
      </c>
      <c r="BB9" s="23" t="s">
        <v>146</v>
      </c>
      <c r="BC9" s="23" t="s">
        <v>147</v>
      </c>
      <c r="BD9" s="23" t="s">
        <v>148</v>
      </c>
      <c r="BE9" s="23" t="s">
        <v>275</v>
      </c>
      <c r="BF9" s="1" t="s">
        <v>276</v>
      </c>
    </row>
    <row r="10" ht="24" customHeight="1" spans="1:58">
      <c r="A10" s="1" t="str">
        <f>_xlfn.DISPIMG("ID_768DB78DEA6C4E9CBBCBBDA8BFEC6F8F",1)</f>
        <v>=DISPIMG("ID_768DB78DEA6C4E9CBBCBBDA8BFEC6F8F",1)</v>
      </c>
      <c r="B10" s="15" t="s">
        <v>277</v>
      </c>
      <c r="C10" s="15" t="s">
        <v>278</v>
      </c>
      <c r="D10" s="15" t="s">
        <v>279</v>
      </c>
      <c r="E10" s="15" t="s">
        <v>3</v>
      </c>
      <c r="F10" s="15" t="s">
        <v>154</v>
      </c>
      <c r="G10" s="15" t="s">
        <v>280</v>
      </c>
      <c r="H10" s="15" t="s">
        <v>281</v>
      </c>
      <c r="I10" s="15" t="s">
        <v>282</v>
      </c>
      <c r="J10" s="15" t="s">
        <v>283</v>
      </c>
      <c r="K10" s="15" t="s">
        <v>135</v>
      </c>
      <c r="L10" s="15" t="s">
        <v>136</v>
      </c>
      <c r="M10" s="18">
        <v>2520</v>
      </c>
      <c r="N10" s="18">
        <v>512</v>
      </c>
      <c r="O10" s="19">
        <v>0.1823</v>
      </c>
      <c r="P10" s="20" t="s">
        <v>284</v>
      </c>
      <c r="Q10" s="22" t="s">
        <v>285</v>
      </c>
      <c r="R10" s="18">
        <v>8526</v>
      </c>
      <c r="S10" s="19">
        <v>0.154</v>
      </c>
      <c r="T10" s="18">
        <v>144856.73</v>
      </c>
      <c r="U10" s="23" t="s">
        <v>139</v>
      </c>
      <c r="V10" s="18">
        <v>16990</v>
      </c>
      <c r="W10" s="24">
        <v>65</v>
      </c>
      <c r="X10" s="25">
        <v>16.99</v>
      </c>
      <c r="Z10" s="8"/>
      <c r="AA10" s="18">
        <v>12</v>
      </c>
      <c r="AB10" s="24">
        <v>4651</v>
      </c>
      <c r="AC10" s="18">
        <v>44</v>
      </c>
      <c r="AD10" s="28">
        <v>4.6</v>
      </c>
      <c r="AE10" s="29">
        <v>0.0052</v>
      </c>
      <c r="AF10" s="25">
        <v>3.5</v>
      </c>
      <c r="AG10" s="19">
        <v>0.594</v>
      </c>
      <c r="AI10" s="1" t="s">
        <v>286</v>
      </c>
      <c r="AJ10" s="24">
        <v>2367</v>
      </c>
      <c r="AK10" s="1" t="s">
        <v>141</v>
      </c>
      <c r="AL10" s="24">
        <v>9.6</v>
      </c>
      <c r="AM10" s="24">
        <v>1</v>
      </c>
      <c r="AN10" s="15" t="s">
        <v>163</v>
      </c>
      <c r="AO10" s="1" t="s">
        <v>141</v>
      </c>
      <c r="AP10" s="1" t="s">
        <v>164</v>
      </c>
      <c r="AQ10" s="15" t="s">
        <v>165</v>
      </c>
      <c r="AR10" s="1" t="s">
        <v>166</v>
      </c>
      <c r="AS10" s="1" t="s">
        <v>145</v>
      </c>
      <c r="AT10" s="1" t="s">
        <v>145</v>
      </c>
      <c r="AU10" s="1" t="s">
        <v>146</v>
      </c>
      <c r="AV10" s="1" t="s">
        <v>145</v>
      </c>
      <c r="AW10" s="1" t="s">
        <v>145</v>
      </c>
      <c r="AX10" s="1" t="s">
        <v>146</v>
      </c>
      <c r="AY10" s="1" t="s">
        <v>145</v>
      </c>
      <c r="AZ10" s="1" t="s">
        <v>146</v>
      </c>
      <c r="BA10" s="15" t="s">
        <v>146</v>
      </c>
      <c r="BB10" s="23" t="s">
        <v>146</v>
      </c>
      <c r="BC10" s="23" t="s">
        <v>287</v>
      </c>
      <c r="BD10" s="23" t="s">
        <v>288</v>
      </c>
      <c r="BE10" s="23" t="s">
        <v>289</v>
      </c>
      <c r="BF10" s="1" t="s">
        <v>290</v>
      </c>
    </row>
    <row r="11" ht="24" hidden="1" customHeight="1" spans="1:58">
      <c r="A11" s="1" t="str">
        <f>_xlfn.DISPIMG("ID_C56A4A8413E147688460595125E640E5",1)</f>
        <v>=DISPIMG("ID_C56A4A8413E147688460595125E640E5",1)</v>
      </c>
      <c r="B11" s="15" t="s">
        <v>291</v>
      </c>
      <c r="C11" s="15" t="s">
        <v>292</v>
      </c>
      <c r="D11" s="15" t="s">
        <v>293</v>
      </c>
      <c r="E11" s="15" t="s">
        <v>4</v>
      </c>
      <c r="F11" s="15" t="s">
        <v>130</v>
      </c>
      <c r="G11" s="15" t="s">
        <v>294</v>
      </c>
      <c r="H11" s="15" t="s">
        <v>295</v>
      </c>
      <c r="I11" s="15" t="s">
        <v>296</v>
      </c>
      <c r="J11" s="15" t="s">
        <v>297</v>
      </c>
      <c r="K11" s="15" t="s">
        <v>135</v>
      </c>
      <c r="L11" s="15" t="s">
        <v>136</v>
      </c>
      <c r="M11" s="18">
        <v>8295</v>
      </c>
      <c r="N11" s="18">
        <v>-5388</v>
      </c>
      <c r="O11" s="19">
        <v>-1.2829</v>
      </c>
      <c r="P11" s="20" t="s">
        <v>159</v>
      </c>
      <c r="Q11" s="22" t="s">
        <v>298</v>
      </c>
      <c r="R11" s="18">
        <v>8356</v>
      </c>
      <c r="S11" s="19">
        <v>-0.2805</v>
      </c>
      <c r="T11" s="18">
        <v>167036.44</v>
      </c>
      <c r="U11" s="23" t="s">
        <v>202</v>
      </c>
      <c r="V11" s="18">
        <v>3998</v>
      </c>
      <c r="W11" s="24">
        <v>142</v>
      </c>
      <c r="X11" s="25">
        <v>19.99</v>
      </c>
      <c r="Z11" s="8"/>
      <c r="AB11" s="24">
        <v>628</v>
      </c>
      <c r="AC11" s="18">
        <v>97</v>
      </c>
      <c r="AD11" s="28">
        <v>4.4</v>
      </c>
      <c r="AE11" s="29">
        <v>0.0116</v>
      </c>
      <c r="AF11" s="25">
        <v>3.35</v>
      </c>
      <c r="AG11" s="19">
        <v>0.6324</v>
      </c>
      <c r="AI11" s="1" t="s">
        <v>140</v>
      </c>
      <c r="AJ11" s="24">
        <v>185</v>
      </c>
      <c r="AK11" s="1" t="s">
        <v>141</v>
      </c>
      <c r="AL11" s="24">
        <v>10</v>
      </c>
      <c r="AM11" s="24">
        <v>1</v>
      </c>
      <c r="AN11" s="15" t="s">
        <v>4</v>
      </c>
      <c r="AO11" s="1" t="s">
        <v>141</v>
      </c>
      <c r="AP11" s="1" t="s">
        <v>142</v>
      </c>
      <c r="AQ11" s="15" t="s">
        <v>143</v>
      </c>
      <c r="AR11" s="1" t="s">
        <v>144</v>
      </c>
      <c r="AS11" s="1" t="s">
        <v>146</v>
      </c>
      <c r="AT11" s="1" t="s">
        <v>145</v>
      </c>
      <c r="AU11" s="1" t="s">
        <v>146</v>
      </c>
      <c r="AV11" s="1" t="s">
        <v>145</v>
      </c>
      <c r="AW11" s="1" t="s">
        <v>145</v>
      </c>
      <c r="AX11" s="1" t="s">
        <v>146</v>
      </c>
      <c r="AY11" s="1" t="s">
        <v>145</v>
      </c>
      <c r="AZ11" s="1" t="s">
        <v>146</v>
      </c>
      <c r="BA11" s="15" t="s">
        <v>146</v>
      </c>
      <c r="BB11" s="23" t="s">
        <v>146</v>
      </c>
      <c r="BC11" s="23" t="s">
        <v>299</v>
      </c>
      <c r="BD11" s="23" t="s">
        <v>300</v>
      </c>
      <c r="BE11" s="23" t="s">
        <v>301</v>
      </c>
      <c r="BF11" s="1" t="s">
        <v>302</v>
      </c>
    </row>
    <row r="12" ht="24" customHeight="1" spans="1:58">
      <c r="A12" s="1" t="str">
        <f>_xlfn.DISPIMG("ID_B2C42D4DD1D444B5832B2B16728EF593",1)</f>
        <v>=DISPIMG("ID_B2C42D4DD1D444B5832B2B16728EF593",1)</v>
      </c>
      <c r="B12" s="15" t="s">
        <v>303</v>
      </c>
      <c r="C12" s="15" t="s">
        <v>146</v>
      </c>
      <c r="D12" s="15" t="s">
        <v>146</v>
      </c>
      <c r="E12" s="15" t="s">
        <v>20</v>
      </c>
      <c r="F12" s="15" t="s">
        <v>304</v>
      </c>
      <c r="G12" s="15" t="s">
        <v>305</v>
      </c>
      <c r="H12" s="15" t="s">
        <v>306</v>
      </c>
      <c r="I12" s="15" t="s">
        <v>307</v>
      </c>
      <c r="J12" s="15" t="s">
        <v>303</v>
      </c>
      <c r="K12" s="15" t="s">
        <v>135</v>
      </c>
      <c r="L12" s="15" t="s">
        <v>136</v>
      </c>
      <c r="M12" s="18">
        <v>4313</v>
      </c>
      <c r="N12" s="18">
        <v>-757</v>
      </c>
      <c r="O12" s="19">
        <v>-0.1498</v>
      </c>
      <c r="P12" s="20" t="s">
        <v>200</v>
      </c>
      <c r="Q12" s="22" t="s">
        <v>308</v>
      </c>
      <c r="R12" s="18">
        <v>6918</v>
      </c>
      <c r="S12" s="19">
        <v>-0.5097</v>
      </c>
      <c r="T12" s="18">
        <v>119819.76</v>
      </c>
      <c r="U12" s="23" t="s">
        <v>309</v>
      </c>
      <c r="V12" s="18">
        <v>6928</v>
      </c>
      <c r="W12" s="24">
        <v>140</v>
      </c>
      <c r="X12" s="25">
        <v>24.98</v>
      </c>
      <c r="AA12" s="18">
        <v>17</v>
      </c>
      <c r="AB12" s="24">
        <v>6675</v>
      </c>
      <c r="AC12" s="18">
        <v>0</v>
      </c>
      <c r="AD12" s="28">
        <v>4.4</v>
      </c>
      <c r="AE12" s="29">
        <v>0</v>
      </c>
      <c r="AF12" s="25">
        <v>5</v>
      </c>
      <c r="AG12" s="19">
        <v>0.5113</v>
      </c>
      <c r="AI12" s="1" t="s">
        <v>310</v>
      </c>
      <c r="AJ12" s="24">
        <v>911</v>
      </c>
      <c r="AK12" s="1" t="s">
        <v>141</v>
      </c>
      <c r="AL12" s="24">
        <v>10</v>
      </c>
      <c r="AM12" s="24">
        <v>1</v>
      </c>
      <c r="AN12" s="15" t="s">
        <v>20</v>
      </c>
      <c r="AO12" s="1" t="s">
        <v>141</v>
      </c>
      <c r="AP12" s="1" t="s">
        <v>142</v>
      </c>
      <c r="AQ12" s="15" t="s">
        <v>311</v>
      </c>
      <c r="AR12" s="1" t="s">
        <v>312</v>
      </c>
      <c r="AS12" s="1" t="s">
        <v>146</v>
      </c>
      <c r="AT12" s="1" t="s">
        <v>145</v>
      </c>
      <c r="AU12" s="1" t="s">
        <v>145</v>
      </c>
      <c r="AV12" s="1" t="s">
        <v>145</v>
      </c>
      <c r="AW12" s="1" t="s">
        <v>145</v>
      </c>
      <c r="AX12" s="1" t="s">
        <v>146</v>
      </c>
      <c r="AY12" s="1" t="s">
        <v>146</v>
      </c>
      <c r="AZ12" s="1" t="s">
        <v>146</v>
      </c>
      <c r="BA12" s="15" t="s">
        <v>146</v>
      </c>
      <c r="BB12" s="23" t="s">
        <v>313</v>
      </c>
      <c r="BC12" s="23" t="s">
        <v>147</v>
      </c>
      <c r="BD12" s="23" t="s">
        <v>148</v>
      </c>
      <c r="BE12" s="23" t="s">
        <v>314</v>
      </c>
      <c r="BF12" s="1" t="s">
        <v>315</v>
      </c>
    </row>
    <row r="13" ht="24" customHeight="1" spans="1:58">
      <c r="A13" s="1" t="str">
        <f>_xlfn.DISPIMG("ID_7863F37F721F4953A3EB51B1B258CACF",1)</f>
        <v>=DISPIMG("ID_7863F37F721F4953A3EB51B1B258CACF",1)</v>
      </c>
      <c r="B13" s="15" t="s">
        <v>316</v>
      </c>
      <c r="C13" s="15" t="s">
        <v>317</v>
      </c>
      <c r="D13" s="15" t="s">
        <v>318</v>
      </c>
      <c r="E13" s="15" t="s">
        <v>52</v>
      </c>
      <c r="F13" s="15" t="s">
        <v>319</v>
      </c>
      <c r="G13" s="15" t="s">
        <v>320</v>
      </c>
      <c r="H13" s="15" t="s">
        <v>321</v>
      </c>
      <c r="I13" s="15" t="s">
        <v>322</v>
      </c>
      <c r="J13" s="15" t="s">
        <v>323</v>
      </c>
      <c r="K13" s="15" t="s">
        <v>135</v>
      </c>
      <c r="L13" s="15" t="s">
        <v>136</v>
      </c>
      <c r="M13" s="18">
        <v>4312</v>
      </c>
      <c r="N13" s="18">
        <v>561</v>
      </c>
      <c r="O13" s="19">
        <v>0.1781</v>
      </c>
      <c r="P13" s="20" t="s">
        <v>324</v>
      </c>
      <c r="Q13" s="22" t="s">
        <v>325</v>
      </c>
      <c r="R13" s="18">
        <v>6799</v>
      </c>
      <c r="S13" s="19">
        <v>-0.1017</v>
      </c>
      <c r="T13" s="18">
        <v>135912.02</v>
      </c>
      <c r="U13" s="23" t="s">
        <v>256</v>
      </c>
      <c r="V13" s="18">
        <v>5997</v>
      </c>
      <c r="W13" s="24">
        <v>54</v>
      </c>
      <c r="X13" s="25">
        <v>19.99</v>
      </c>
      <c r="Z13" s="8"/>
      <c r="AB13" s="24">
        <v>462</v>
      </c>
      <c r="AC13" s="18">
        <v>54</v>
      </c>
      <c r="AD13" s="28">
        <v>4.3</v>
      </c>
      <c r="AE13" s="29">
        <v>0.0079</v>
      </c>
      <c r="AF13" s="25">
        <v>5.39</v>
      </c>
      <c r="AG13" s="19">
        <v>0.5304</v>
      </c>
      <c r="AI13" s="1" t="s">
        <v>326</v>
      </c>
      <c r="AJ13" s="24">
        <v>301</v>
      </c>
      <c r="AK13" s="1" t="s">
        <v>141</v>
      </c>
      <c r="AL13" s="24">
        <v>9</v>
      </c>
      <c r="AM13" s="24">
        <v>1</v>
      </c>
      <c r="AN13" s="15" t="s">
        <v>52</v>
      </c>
      <c r="AO13" s="1" t="s">
        <v>141</v>
      </c>
      <c r="AP13" s="1" t="s">
        <v>142</v>
      </c>
      <c r="AQ13" s="15" t="s">
        <v>327</v>
      </c>
      <c r="AR13" s="1" t="s">
        <v>328</v>
      </c>
      <c r="AS13" s="1" t="s">
        <v>146</v>
      </c>
      <c r="AT13" s="1" t="s">
        <v>145</v>
      </c>
      <c r="AU13" s="1" t="s">
        <v>146</v>
      </c>
      <c r="AV13" s="1" t="s">
        <v>145</v>
      </c>
      <c r="AW13" s="1" t="s">
        <v>145</v>
      </c>
      <c r="AX13" s="1" t="s">
        <v>146</v>
      </c>
      <c r="AY13" s="1" t="s">
        <v>145</v>
      </c>
      <c r="AZ13" s="1" t="s">
        <v>146</v>
      </c>
      <c r="BA13" s="15" t="s">
        <v>146</v>
      </c>
      <c r="BB13" s="23" t="s">
        <v>146</v>
      </c>
      <c r="BC13" s="23" t="s">
        <v>329</v>
      </c>
      <c r="BD13" s="23" t="s">
        <v>330</v>
      </c>
      <c r="BE13" s="23" t="s">
        <v>331</v>
      </c>
      <c r="BF13" s="1" t="s">
        <v>332</v>
      </c>
    </row>
    <row r="14" ht="24" customHeight="1" spans="1:58">
      <c r="A14" s="1" t="str">
        <f>_xlfn.DISPIMG("ID_6600EEAFE663487098729FD6FB917C9D",1)</f>
        <v>=DISPIMG("ID_6600EEAFE663487098729FD6FB917C9D",1)</v>
      </c>
      <c r="B14" s="15" t="s">
        <v>333</v>
      </c>
      <c r="C14" s="15" t="s">
        <v>334</v>
      </c>
      <c r="D14" s="15" t="s">
        <v>335</v>
      </c>
      <c r="E14" s="15" t="s">
        <v>51</v>
      </c>
      <c r="F14" s="15" t="s">
        <v>336</v>
      </c>
      <c r="G14" s="15" t="s">
        <v>337</v>
      </c>
      <c r="H14" s="15" t="s">
        <v>338</v>
      </c>
      <c r="I14" s="15" t="s">
        <v>339</v>
      </c>
      <c r="J14" s="15" t="s">
        <v>340</v>
      </c>
      <c r="K14" s="15" t="s">
        <v>135</v>
      </c>
      <c r="L14" s="15" t="s">
        <v>136</v>
      </c>
      <c r="M14" s="18">
        <v>6319</v>
      </c>
      <c r="N14" s="18">
        <v>-3262</v>
      </c>
      <c r="O14" s="19">
        <v>-1.2702</v>
      </c>
      <c r="P14" s="20" t="s">
        <v>200</v>
      </c>
      <c r="Q14" s="22" t="s">
        <v>341</v>
      </c>
      <c r="R14" s="18">
        <v>6577</v>
      </c>
      <c r="S14" s="19">
        <v>0.2532</v>
      </c>
      <c r="T14" s="18">
        <v>130750.76</v>
      </c>
      <c r="U14" s="23" t="s">
        <v>161</v>
      </c>
      <c r="V14" s="18">
        <v>1988</v>
      </c>
      <c r="W14" s="24">
        <v>269</v>
      </c>
      <c r="X14" s="25">
        <v>19.88</v>
      </c>
      <c r="Z14" s="8"/>
      <c r="AA14" s="18">
        <v>246</v>
      </c>
      <c r="AB14" s="24">
        <v>32906</v>
      </c>
      <c r="AC14" s="18">
        <v>73</v>
      </c>
      <c r="AD14" s="28">
        <v>4.3</v>
      </c>
      <c r="AE14" s="29">
        <v>0.0111</v>
      </c>
      <c r="AF14" s="25">
        <v>4.94</v>
      </c>
      <c r="AG14" s="19">
        <v>0.5529</v>
      </c>
      <c r="AI14" s="1" t="s">
        <v>342</v>
      </c>
      <c r="AJ14" s="24">
        <v>2690</v>
      </c>
      <c r="AK14" s="1" t="s">
        <v>141</v>
      </c>
      <c r="AL14" s="24">
        <v>9.5</v>
      </c>
      <c r="AM14" s="24">
        <v>2</v>
      </c>
      <c r="AN14" s="15" t="s">
        <v>343</v>
      </c>
      <c r="AO14" s="1" t="s">
        <v>141</v>
      </c>
      <c r="AP14" s="1" t="s">
        <v>142</v>
      </c>
      <c r="AQ14" s="15" t="s">
        <v>344</v>
      </c>
      <c r="AR14" s="1" t="s">
        <v>345</v>
      </c>
      <c r="AS14" s="1" t="s">
        <v>146</v>
      </c>
      <c r="AT14" s="1" t="s">
        <v>145</v>
      </c>
      <c r="AU14" s="1" t="s">
        <v>146</v>
      </c>
      <c r="AV14" s="1" t="s">
        <v>145</v>
      </c>
      <c r="AW14" s="1" t="s">
        <v>145</v>
      </c>
      <c r="AX14" s="1" t="s">
        <v>146</v>
      </c>
      <c r="AY14" s="1" t="s">
        <v>145</v>
      </c>
      <c r="AZ14" s="1" t="s">
        <v>146</v>
      </c>
      <c r="BA14" s="15" t="s">
        <v>146</v>
      </c>
      <c r="BB14" s="23" t="s">
        <v>346</v>
      </c>
      <c r="BC14" s="23" t="s">
        <v>347</v>
      </c>
      <c r="BD14" s="23" t="s">
        <v>348</v>
      </c>
      <c r="BE14" s="23" t="s">
        <v>349</v>
      </c>
      <c r="BF14" s="1" t="s">
        <v>350</v>
      </c>
    </row>
    <row r="15" ht="24" hidden="1" customHeight="1" spans="1:58">
      <c r="A15" s="1" t="str">
        <f>_xlfn.DISPIMG("ID_2265562696AE40F49CEC8D03D18361C0",1)</f>
        <v>=DISPIMG("ID_2265562696AE40F49CEC8D03D18361C0",1)</v>
      </c>
      <c r="B15" s="15" t="s">
        <v>351</v>
      </c>
      <c r="C15" s="15" t="s">
        <v>128</v>
      </c>
      <c r="D15" s="15" t="s">
        <v>352</v>
      </c>
      <c r="E15" s="15" t="s">
        <v>4</v>
      </c>
      <c r="F15" s="15" t="s">
        <v>130</v>
      </c>
      <c r="G15" s="15" t="s">
        <v>353</v>
      </c>
      <c r="H15" s="15" t="s">
        <v>354</v>
      </c>
      <c r="I15" s="15" t="s">
        <v>355</v>
      </c>
      <c r="J15" s="15" t="s">
        <v>356</v>
      </c>
      <c r="K15" s="15" t="s">
        <v>135</v>
      </c>
      <c r="L15" s="15" t="s">
        <v>136</v>
      </c>
      <c r="M15" s="18">
        <v>13382</v>
      </c>
      <c r="N15" s="18">
        <v>-11960</v>
      </c>
      <c r="O15" s="19">
        <v>-4.1057</v>
      </c>
      <c r="P15" s="20" t="s">
        <v>324</v>
      </c>
      <c r="Q15" s="22" t="s">
        <v>357</v>
      </c>
      <c r="R15" s="18">
        <v>6513</v>
      </c>
      <c r="S15" s="19">
        <v>0.0103</v>
      </c>
      <c r="T15" s="18">
        <v>175785.88</v>
      </c>
      <c r="U15" s="23" t="s">
        <v>161</v>
      </c>
      <c r="V15" s="18">
        <v>2699</v>
      </c>
      <c r="W15" s="24">
        <v>81</v>
      </c>
      <c r="X15" s="25">
        <v>26.99</v>
      </c>
      <c r="Z15" s="8"/>
      <c r="AB15" s="24">
        <v>151</v>
      </c>
      <c r="AC15" s="18">
        <v>24</v>
      </c>
      <c r="AD15" s="28">
        <v>4.3</v>
      </c>
      <c r="AE15" s="29">
        <v>0.0037</v>
      </c>
      <c r="AF15" s="25">
        <v>3.92</v>
      </c>
      <c r="AG15" s="19">
        <v>0.6548</v>
      </c>
      <c r="AI15" s="1" t="s">
        <v>140</v>
      </c>
      <c r="AJ15" s="24">
        <v>185</v>
      </c>
      <c r="AK15" s="1" t="s">
        <v>141</v>
      </c>
      <c r="AL15" s="24">
        <v>10</v>
      </c>
      <c r="AM15" s="24">
        <v>1</v>
      </c>
      <c r="AN15" s="15" t="s">
        <v>4</v>
      </c>
      <c r="AO15" s="1" t="s">
        <v>141</v>
      </c>
      <c r="AP15" s="1" t="s">
        <v>142</v>
      </c>
      <c r="AQ15" s="15" t="s">
        <v>143</v>
      </c>
      <c r="AR15" s="1" t="s">
        <v>144</v>
      </c>
      <c r="AS15" s="1" t="s">
        <v>146</v>
      </c>
      <c r="AT15" s="1" t="s">
        <v>145</v>
      </c>
      <c r="AU15" s="1" t="s">
        <v>145</v>
      </c>
      <c r="AV15" s="1" t="s">
        <v>145</v>
      </c>
      <c r="AW15" s="1" t="s">
        <v>145</v>
      </c>
      <c r="AX15" s="1" t="s">
        <v>146</v>
      </c>
      <c r="AY15" s="1" t="s">
        <v>145</v>
      </c>
      <c r="AZ15" s="1" t="s">
        <v>146</v>
      </c>
      <c r="BA15" s="15" t="s">
        <v>146</v>
      </c>
      <c r="BB15" s="23" t="s">
        <v>146</v>
      </c>
      <c r="BC15" s="23" t="s">
        <v>358</v>
      </c>
      <c r="BD15" s="23" t="s">
        <v>359</v>
      </c>
      <c r="BE15" s="23" t="s">
        <v>360</v>
      </c>
      <c r="BF15" s="1" t="s">
        <v>361</v>
      </c>
    </row>
    <row r="16" ht="24" customHeight="1" spans="1:58">
      <c r="A16" s="1" t="str">
        <f>_xlfn.DISPIMG("ID_CB5BCA490BF7400C98F20DDF3D7B0DC2",1)</f>
        <v>=DISPIMG("ID_CB5BCA490BF7400C98F20DDF3D7B0DC2",1)</v>
      </c>
      <c r="B16" s="15" t="s">
        <v>362</v>
      </c>
      <c r="C16" s="15" t="s">
        <v>128</v>
      </c>
      <c r="D16" s="15" t="s">
        <v>363</v>
      </c>
      <c r="E16" s="15" t="s">
        <v>8</v>
      </c>
      <c r="F16" s="15" t="s">
        <v>364</v>
      </c>
      <c r="G16" s="15" t="s">
        <v>365</v>
      </c>
      <c r="H16" s="15" t="s">
        <v>366</v>
      </c>
      <c r="I16" s="15" t="s">
        <v>367</v>
      </c>
      <c r="J16" s="15" t="s">
        <v>368</v>
      </c>
      <c r="K16" s="15" t="s">
        <v>135</v>
      </c>
      <c r="L16" s="15" t="s">
        <v>136</v>
      </c>
      <c r="M16" s="18">
        <v>7976</v>
      </c>
      <c r="N16" s="18">
        <v>-1676</v>
      </c>
      <c r="O16" s="19">
        <v>-0.3864</v>
      </c>
      <c r="P16" s="20" t="s">
        <v>324</v>
      </c>
      <c r="Q16" s="22" t="s">
        <v>369</v>
      </c>
      <c r="R16" s="18">
        <v>6200</v>
      </c>
      <c r="S16" s="19">
        <v>0.1038</v>
      </c>
      <c r="T16" s="18">
        <v>123938</v>
      </c>
      <c r="U16" s="23" t="s">
        <v>181</v>
      </c>
      <c r="V16" s="18">
        <v>11994</v>
      </c>
      <c r="W16" s="24">
        <v>64</v>
      </c>
      <c r="X16" s="25">
        <v>19.99</v>
      </c>
      <c r="Z16" s="8"/>
      <c r="AA16" s="18">
        <v>4</v>
      </c>
      <c r="AB16" s="24">
        <v>989</v>
      </c>
      <c r="AC16" s="18">
        <v>82</v>
      </c>
      <c r="AD16" s="28">
        <v>4.4</v>
      </c>
      <c r="AE16" s="29">
        <v>0.0132</v>
      </c>
      <c r="AF16" s="25">
        <v>4.71</v>
      </c>
      <c r="AG16" s="19">
        <v>0.5644</v>
      </c>
      <c r="AI16" s="1" t="s">
        <v>370</v>
      </c>
      <c r="AJ16" s="24">
        <v>478</v>
      </c>
      <c r="AK16" s="1" t="s">
        <v>141</v>
      </c>
      <c r="AL16" s="24">
        <v>9</v>
      </c>
      <c r="AM16" s="24">
        <v>1</v>
      </c>
      <c r="AN16" s="15" t="s">
        <v>371</v>
      </c>
      <c r="AO16" s="1" t="s">
        <v>141</v>
      </c>
      <c r="AP16" s="1" t="s">
        <v>142</v>
      </c>
      <c r="AQ16" s="15" t="s">
        <v>372</v>
      </c>
      <c r="AR16" s="1" t="s">
        <v>373</v>
      </c>
      <c r="AS16" s="1" t="s">
        <v>145</v>
      </c>
      <c r="AT16" s="1" t="s">
        <v>145</v>
      </c>
      <c r="AU16" s="1" t="s">
        <v>145</v>
      </c>
      <c r="AV16" s="1" t="s">
        <v>145</v>
      </c>
      <c r="AW16" s="1" t="s">
        <v>145</v>
      </c>
      <c r="AX16" s="1" t="s">
        <v>146</v>
      </c>
      <c r="AY16" s="1" t="s">
        <v>145</v>
      </c>
      <c r="AZ16" s="1" t="s">
        <v>146</v>
      </c>
      <c r="BA16" s="15" t="s">
        <v>146</v>
      </c>
      <c r="BB16" s="23" t="s">
        <v>146</v>
      </c>
      <c r="BC16" s="23" t="s">
        <v>299</v>
      </c>
      <c r="BD16" s="23" t="s">
        <v>300</v>
      </c>
      <c r="BE16" s="23" t="s">
        <v>374</v>
      </c>
      <c r="BF16" s="1" t="s">
        <v>375</v>
      </c>
    </row>
    <row r="17" ht="24" customHeight="1" spans="1:58">
      <c r="A17" s="1" t="str">
        <f>_xlfn.DISPIMG("ID_E3E5ECCEC79943B5A53D5ACD7DFEF443",1)</f>
        <v>=DISPIMG("ID_E3E5ECCEC79943B5A53D5ACD7DFEF443",1)</v>
      </c>
      <c r="B17" s="15" t="s">
        <v>376</v>
      </c>
      <c r="C17" s="15" t="s">
        <v>146</v>
      </c>
      <c r="D17" s="15" t="s">
        <v>146</v>
      </c>
      <c r="E17" s="15" t="s">
        <v>21</v>
      </c>
      <c r="F17" s="15" t="s">
        <v>377</v>
      </c>
      <c r="G17" s="15" t="s">
        <v>378</v>
      </c>
      <c r="H17" s="15" t="s">
        <v>379</v>
      </c>
      <c r="I17" s="15" t="s">
        <v>380</v>
      </c>
      <c r="J17" s="15" t="s">
        <v>376</v>
      </c>
      <c r="K17" s="15" t="s">
        <v>381</v>
      </c>
      <c r="L17" s="15" t="s">
        <v>136</v>
      </c>
      <c r="M17" s="18">
        <v>5670</v>
      </c>
      <c r="N17" s="18">
        <v>-1946</v>
      </c>
      <c r="O17" s="19">
        <v>-0.5226</v>
      </c>
      <c r="P17" s="20" t="s">
        <v>382</v>
      </c>
      <c r="Q17" s="22" t="s">
        <v>383</v>
      </c>
      <c r="R17" s="18">
        <v>6021</v>
      </c>
      <c r="S17" s="19">
        <v>0.0339</v>
      </c>
      <c r="T17" s="18">
        <v>143841.69</v>
      </c>
      <c r="U17" s="23" t="s">
        <v>384</v>
      </c>
      <c r="V17" s="18">
        <v>1194.5</v>
      </c>
      <c r="W17" s="24">
        <v>94</v>
      </c>
      <c r="X17" s="25">
        <v>23.89</v>
      </c>
      <c r="AA17" s="18">
        <v>14</v>
      </c>
      <c r="AB17" s="24">
        <v>1088</v>
      </c>
      <c r="AC17" s="18">
        <v>51</v>
      </c>
      <c r="AD17" s="28">
        <v>4.3</v>
      </c>
      <c r="AE17" s="29">
        <v>0.0085</v>
      </c>
      <c r="AF17" s="25">
        <v>5.39</v>
      </c>
      <c r="AG17" s="19">
        <v>0.5744</v>
      </c>
      <c r="AI17" s="1" t="s">
        <v>385</v>
      </c>
      <c r="AJ17" s="24">
        <v>1193</v>
      </c>
      <c r="AK17" s="1" t="s">
        <v>141</v>
      </c>
      <c r="AL17" s="24">
        <v>10</v>
      </c>
      <c r="AM17" s="24">
        <v>1</v>
      </c>
      <c r="AN17" s="15" t="s">
        <v>21</v>
      </c>
      <c r="AO17" s="1" t="s">
        <v>141</v>
      </c>
      <c r="AP17" s="1" t="s">
        <v>142</v>
      </c>
      <c r="AQ17" s="15" t="s">
        <v>386</v>
      </c>
      <c r="AR17" s="1" t="s">
        <v>387</v>
      </c>
      <c r="AS17" s="1" t="s">
        <v>146</v>
      </c>
      <c r="AT17" s="1" t="s">
        <v>146</v>
      </c>
      <c r="AU17" s="1" t="s">
        <v>146</v>
      </c>
      <c r="AV17" s="1" t="s">
        <v>145</v>
      </c>
      <c r="AW17" s="1" t="s">
        <v>145</v>
      </c>
      <c r="AX17" s="1" t="s">
        <v>146</v>
      </c>
      <c r="AY17" s="1" t="s">
        <v>146</v>
      </c>
      <c r="AZ17" s="1" t="s">
        <v>146</v>
      </c>
      <c r="BA17" s="15" t="s">
        <v>146</v>
      </c>
      <c r="BC17" s="23" t="s">
        <v>388</v>
      </c>
      <c r="BD17" s="23" t="s">
        <v>389</v>
      </c>
      <c r="BE17" s="23" t="s">
        <v>390</v>
      </c>
      <c r="BF17" s="1" t="s">
        <v>391</v>
      </c>
    </row>
    <row r="18" ht="24" customHeight="1" spans="1:58">
      <c r="A18" s="1" t="str">
        <f>_xlfn.DISPIMG("ID_9D7AF2B568F145E7BF56DF80FE5D5661",1)</f>
        <v>=DISPIMG("ID_9D7AF2B568F145E7BF56DF80FE5D5661",1)</v>
      </c>
      <c r="B18" s="15" t="s">
        <v>392</v>
      </c>
      <c r="C18" s="15" t="s">
        <v>393</v>
      </c>
      <c r="D18" s="15" t="s">
        <v>394</v>
      </c>
      <c r="E18" s="15" t="s">
        <v>11</v>
      </c>
      <c r="F18" s="15" t="s">
        <v>395</v>
      </c>
      <c r="G18" s="15" t="s">
        <v>396</v>
      </c>
      <c r="H18" s="15" t="s">
        <v>397</v>
      </c>
      <c r="I18" s="15" t="s">
        <v>398</v>
      </c>
      <c r="J18" s="15" t="s">
        <v>399</v>
      </c>
      <c r="K18" s="15" t="s">
        <v>135</v>
      </c>
      <c r="L18" s="15" t="s">
        <v>136</v>
      </c>
      <c r="M18" s="18">
        <v>2471</v>
      </c>
      <c r="N18" s="18">
        <v>2887</v>
      </c>
      <c r="O18" s="19">
        <v>0.5249</v>
      </c>
      <c r="P18" s="20" t="s">
        <v>324</v>
      </c>
      <c r="Q18" s="22" t="s">
        <v>400</v>
      </c>
      <c r="R18" s="18">
        <v>5546</v>
      </c>
      <c r="S18" s="19">
        <v>-0.1966</v>
      </c>
      <c r="T18" s="18">
        <v>149686.53</v>
      </c>
      <c r="U18" s="23" t="s">
        <v>202</v>
      </c>
      <c r="V18" s="18">
        <v>5398</v>
      </c>
      <c r="W18" s="24">
        <v>113</v>
      </c>
      <c r="X18" s="25">
        <v>26.99</v>
      </c>
      <c r="Z18" s="8"/>
      <c r="AB18" s="24">
        <v>364</v>
      </c>
      <c r="AC18" s="18">
        <v>61</v>
      </c>
      <c r="AD18" s="28">
        <v>4.5</v>
      </c>
      <c r="AE18" s="29">
        <v>0.011</v>
      </c>
      <c r="AF18" s="25">
        <v>4.61</v>
      </c>
      <c r="AG18" s="19">
        <v>0.6292</v>
      </c>
      <c r="AI18" s="1" t="s">
        <v>401</v>
      </c>
      <c r="AJ18" s="24">
        <v>329</v>
      </c>
      <c r="AK18" s="1" t="s">
        <v>141</v>
      </c>
      <c r="AL18" s="24">
        <v>8.7</v>
      </c>
      <c r="AM18" s="24">
        <v>1</v>
      </c>
      <c r="AN18" s="15" t="s">
        <v>402</v>
      </c>
      <c r="AO18" s="1" t="s">
        <v>141</v>
      </c>
      <c r="AP18" s="1" t="s">
        <v>142</v>
      </c>
      <c r="AQ18" s="15" t="s">
        <v>403</v>
      </c>
      <c r="AR18" s="1" t="s">
        <v>404</v>
      </c>
      <c r="AS18" s="1" t="s">
        <v>146</v>
      </c>
      <c r="AT18" s="1" t="s">
        <v>146</v>
      </c>
      <c r="AU18" s="1" t="s">
        <v>146</v>
      </c>
      <c r="AV18" s="1" t="s">
        <v>145</v>
      </c>
      <c r="AW18" s="1" t="s">
        <v>145</v>
      </c>
      <c r="AX18" s="1" t="s">
        <v>146</v>
      </c>
      <c r="AY18" s="1" t="s">
        <v>146</v>
      </c>
      <c r="AZ18" s="1" t="s">
        <v>146</v>
      </c>
      <c r="BA18" s="15" t="s">
        <v>145</v>
      </c>
      <c r="BC18" s="23" t="s">
        <v>405</v>
      </c>
      <c r="BD18" s="23" t="s">
        <v>406</v>
      </c>
      <c r="BE18" s="23" t="s">
        <v>407</v>
      </c>
      <c r="BF18" s="1" t="s">
        <v>408</v>
      </c>
    </row>
    <row r="19" ht="24" customHeight="1" spans="1:58">
      <c r="A19" s="1" t="str">
        <f>_xlfn.DISPIMG("ID_73A9EA489E794FDD860392923C6EFA53",1)</f>
        <v>=DISPIMG("ID_73A9EA489E794FDD860392923C6EFA53",1)</v>
      </c>
      <c r="B19" s="15" t="s">
        <v>409</v>
      </c>
      <c r="C19" s="15" t="s">
        <v>410</v>
      </c>
      <c r="D19" s="15" t="s">
        <v>411</v>
      </c>
      <c r="E19" s="15" t="s">
        <v>26</v>
      </c>
      <c r="F19" s="15" t="s">
        <v>412</v>
      </c>
      <c r="G19" s="15" t="s">
        <v>413</v>
      </c>
      <c r="H19" s="15" t="s">
        <v>414</v>
      </c>
      <c r="I19" s="15" t="s">
        <v>415</v>
      </c>
      <c r="J19" s="15" t="s">
        <v>416</v>
      </c>
      <c r="K19" s="15" t="s">
        <v>135</v>
      </c>
      <c r="L19" s="15" t="s">
        <v>136</v>
      </c>
      <c r="M19" s="18">
        <v>3945</v>
      </c>
      <c r="N19" s="18">
        <v>3486</v>
      </c>
      <c r="O19" s="19">
        <v>0.498</v>
      </c>
      <c r="P19" s="20" t="s">
        <v>324</v>
      </c>
      <c r="Q19" s="22" t="s">
        <v>417</v>
      </c>
      <c r="R19" s="18">
        <v>5073</v>
      </c>
      <c r="S19" s="19">
        <v>-0.1363</v>
      </c>
      <c r="T19" s="18">
        <v>126774.266</v>
      </c>
      <c r="U19" s="23" t="s">
        <v>384</v>
      </c>
      <c r="V19" s="18">
        <v>2499</v>
      </c>
      <c r="W19" s="24">
        <v>103</v>
      </c>
      <c r="X19" s="25">
        <v>24.99</v>
      </c>
      <c r="Z19" s="8"/>
      <c r="AA19" s="18">
        <v>14</v>
      </c>
      <c r="AB19" s="24">
        <v>690</v>
      </c>
      <c r="AC19" s="18">
        <v>23</v>
      </c>
      <c r="AD19" s="28">
        <v>4.4</v>
      </c>
      <c r="AE19" s="29">
        <v>0.0045</v>
      </c>
      <c r="AF19" s="25">
        <v>5.05</v>
      </c>
      <c r="AG19" s="19">
        <v>0.5895</v>
      </c>
      <c r="AI19" s="1" t="s">
        <v>418</v>
      </c>
      <c r="AJ19" s="24">
        <v>1036</v>
      </c>
      <c r="AK19" s="1" t="s">
        <v>141</v>
      </c>
      <c r="AL19" s="24">
        <v>10</v>
      </c>
      <c r="AM19" s="24">
        <v>1</v>
      </c>
      <c r="AN19" s="15" t="s">
        <v>419</v>
      </c>
      <c r="AO19" s="1" t="s">
        <v>141</v>
      </c>
      <c r="AP19" s="1" t="s">
        <v>142</v>
      </c>
      <c r="AQ19" s="15" t="s">
        <v>420</v>
      </c>
      <c r="AR19" s="1" t="s">
        <v>421</v>
      </c>
      <c r="AS19" s="1" t="s">
        <v>146</v>
      </c>
      <c r="AT19" s="1" t="s">
        <v>145</v>
      </c>
      <c r="AU19" s="1" t="s">
        <v>146</v>
      </c>
      <c r="AV19" s="1" t="s">
        <v>145</v>
      </c>
      <c r="AW19" s="1" t="s">
        <v>145</v>
      </c>
      <c r="AX19" s="1" t="s">
        <v>146</v>
      </c>
      <c r="AY19" s="1" t="s">
        <v>146</v>
      </c>
      <c r="AZ19" s="1" t="s">
        <v>146</v>
      </c>
      <c r="BA19" s="15" t="s">
        <v>146</v>
      </c>
      <c r="BB19" s="23" t="s">
        <v>422</v>
      </c>
      <c r="BC19" s="23" t="s">
        <v>423</v>
      </c>
      <c r="BD19" s="23" t="s">
        <v>424</v>
      </c>
      <c r="BE19" s="23" t="s">
        <v>425</v>
      </c>
      <c r="BF19" s="1" t="s">
        <v>426</v>
      </c>
    </row>
    <row r="20" ht="24" customHeight="1" spans="1:58">
      <c r="A20" s="1" t="str">
        <f>_xlfn.DISPIMG("ID_31EFF97ECEB749999D2696B609548397",1)</f>
        <v>=DISPIMG("ID_31EFF97ECEB749999D2696B609548397",1)</v>
      </c>
      <c r="B20" s="15" t="s">
        <v>427</v>
      </c>
      <c r="C20" s="15" t="s">
        <v>428</v>
      </c>
      <c r="D20" s="15" t="s">
        <v>429</v>
      </c>
      <c r="E20" s="15" t="s">
        <v>43</v>
      </c>
      <c r="F20" s="15" t="s">
        <v>430</v>
      </c>
      <c r="G20" s="15" t="s">
        <v>431</v>
      </c>
      <c r="H20" s="15" t="s">
        <v>432</v>
      </c>
      <c r="I20" s="15" t="s">
        <v>433</v>
      </c>
      <c r="J20" s="15" t="s">
        <v>434</v>
      </c>
      <c r="K20" s="15" t="s">
        <v>135</v>
      </c>
      <c r="L20" s="15" t="s">
        <v>136</v>
      </c>
      <c r="M20" s="18">
        <v>8781</v>
      </c>
      <c r="N20" s="18">
        <v>-104</v>
      </c>
      <c r="O20" s="19">
        <v>-0.0175</v>
      </c>
      <c r="P20" s="20" t="s">
        <v>324</v>
      </c>
      <c r="Q20" s="22" t="s">
        <v>435</v>
      </c>
      <c r="R20" s="18">
        <v>4602</v>
      </c>
      <c r="S20" s="19">
        <v>-0.1292</v>
      </c>
      <c r="T20" s="18">
        <v>87391.98</v>
      </c>
      <c r="U20" s="23" t="s">
        <v>202</v>
      </c>
      <c r="V20" s="18">
        <v>3798</v>
      </c>
      <c r="W20" s="24">
        <v>49</v>
      </c>
      <c r="X20" s="25">
        <v>18.99</v>
      </c>
      <c r="Z20" s="23" t="s">
        <v>436</v>
      </c>
      <c r="AA20" s="18">
        <v>7</v>
      </c>
      <c r="AB20" s="24">
        <v>3135</v>
      </c>
      <c r="AC20" s="18">
        <v>50</v>
      </c>
      <c r="AD20" s="28">
        <v>4.3</v>
      </c>
      <c r="AE20" s="29">
        <v>0.0109</v>
      </c>
      <c r="AF20" s="25">
        <v>5.39</v>
      </c>
      <c r="AG20" s="19">
        <v>0.5162</v>
      </c>
      <c r="AI20" s="1" t="s">
        <v>437</v>
      </c>
      <c r="AJ20" s="24">
        <v>2410</v>
      </c>
      <c r="AK20" s="1" t="s">
        <v>141</v>
      </c>
      <c r="AL20" s="24">
        <v>9.9</v>
      </c>
      <c r="AM20" s="24">
        <v>1</v>
      </c>
      <c r="AN20" s="15" t="s">
        <v>438</v>
      </c>
      <c r="AO20" s="1" t="s">
        <v>141</v>
      </c>
      <c r="AP20" s="1" t="s">
        <v>142</v>
      </c>
      <c r="AQ20" s="15" t="s">
        <v>439</v>
      </c>
      <c r="AR20" s="1" t="s">
        <v>440</v>
      </c>
      <c r="AS20" s="1" t="s">
        <v>145</v>
      </c>
      <c r="AT20" s="1" t="s">
        <v>145</v>
      </c>
      <c r="AU20" s="1" t="s">
        <v>146</v>
      </c>
      <c r="AV20" s="1" t="s">
        <v>145</v>
      </c>
      <c r="AW20" s="1" t="s">
        <v>146</v>
      </c>
      <c r="AX20" s="1" t="s">
        <v>146</v>
      </c>
      <c r="AY20" s="1" t="s">
        <v>145</v>
      </c>
      <c r="AZ20" s="1" t="s">
        <v>146</v>
      </c>
      <c r="BA20" s="15" t="s">
        <v>146</v>
      </c>
      <c r="BB20" s="23" t="s">
        <v>146</v>
      </c>
      <c r="BC20" s="23" t="s">
        <v>441</v>
      </c>
      <c r="BD20" s="23" t="s">
        <v>442</v>
      </c>
      <c r="BE20" s="23" t="s">
        <v>443</v>
      </c>
      <c r="BF20" s="1" t="s">
        <v>444</v>
      </c>
    </row>
    <row r="21" ht="24" customHeight="1" spans="1:58">
      <c r="A21" s="1" t="str">
        <f>_xlfn.DISPIMG("ID_01EAA1F0E0DB4A618A4CF76B48EC7E95",1)</f>
        <v>=DISPIMG("ID_01EAA1F0E0DB4A618A4CF76B48EC7E95",1)</v>
      </c>
      <c r="B21" s="15" t="s">
        <v>445</v>
      </c>
      <c r="C21" s="15" t="s">
        <v>446</v>
      </c>
      <c r="D21" s="15" t="s">
        <v>447</v>
      </c>
      <c r="E21" s="15" t="s">
        <v>45</v>
      </c>
      <c r="F21" s="15" t="s">
        <v>448</v>
      </c>
      <c r="G21" s="15" t="s">
        <v>449</v>
      </c>
      <c r="H21" s="15" t="s">
        <v>450</v>
      </c>
      <c r="I21" s="15" t="s">
        <v>451</v>
      </c>
      <c r="J21" s="15" t="s">
        <v>452</v>
      </c>
      <c r="K21" s="15" t="s">
        <v>135</v>
      </c>
      <c r="L21" s="15" t="s">
        <v>136</v>
      </c>
      <c r="M21" s="18">
        <v>9885</v>
      </c>
      <c r="N21" s="18">
        <v>-3569</v>
      </c>
      <c r="O21" s="19">
        <v>-0.6633</v>
      </c>
      <c r="P21" s="20" t="s">
        <v>324</v>
      </c>
      <c r="Q21" s="22" t="s">
        <v>453</v>
      </c>
      <c r="R21" s="18">
        <v>4590</v>
      </c>
      <c r="S21" s="19">
        <v>0.06</v>
      </c>
      <c r="T21" s="18">
        <v>156014.11</v>
      </c>
      <c r="U21" s="23" t="s">
        <v>454</v>
      </c>
      <c r="V21" s="18">
        <v>16995</v>
      </c>
      <c r="W21" s="24">
        <v>92</v>
      </c>
      <c r="X21" s="25">
        <v>33.99</v>
      </c>
      <c r="Z21" s="8"/>
      <c r="AA21" s="18">
        <v>28</v>
      </c>
      <c r="AB21" s="24">
        <v>1790</v>
      </c>
      <c r="AC21" s="18">
        <v>22</v>
      </c>
      <c r="AD21" s="28">
        <v>4.3</v>
      </c>
      <c r="AE21" s="29">
        <v>0.0048</v>
      </c>
      <c r="AF21" s="25">
        <v>5.39</v>
      </c>
      <c r="AG21" s="19">
        <v>0.6414</v>
      </c>
      <c r="AI21" s="1" t="s">
        <v>455</v>
      </c>
      <c r="AJ21" s="24">
        <v>1219</v>
      </c>
      <c r="AK21" s="1" t="s">
        <v>141</v>
      </c>
      <c r="AL21" s="24">
        <v>9.5</v>
      </c>
      <c r="AM21" s="24">
        <v>1</v>
      </c>
      <c r="AN21" s="15" t="s">
        <v>456</v>
      </c>
      <c r="AO21" s="1" t="s">
        <v>141</v>
      </c>
      <c r="AP21" s="1" t="s">
        <v>142</v>
      </c>
      <c r="AQ21" s="15" t="s">
        <v>457</v>
      </c>
      <c r="AR21" s="1" t="s">
        <v>458</v>
      </c>
      <c r="AS21" s="1" t="s">
        <v>146</v>
      </c>
      <c r="AT21" s="1" t="s">
        <v>145</v>
      </c>
      <c r="AU21" s="1" t="s">
        <v>146</v>
      </c>
      <c r="AV21" s="1" t="s">
        <v>145</v>
      </c>
      <c r="AW21" s="1" t="s">
        <v>145</v>
      </c>
      <c r="AX21" s="1" t="s">
        <v>146</v>
      </c>
      <c r="AY21" s="1" t="s">
        <v>145</v>
      </c>
      <c r="AZ21" s="1" t="s">
        <v>146</v>
      </c>
      <c r="BA21" s="15" t="s">
        <v>146</v>
      </c>
      <c r="BB21" s="23" t="s">
        <v>146</v>
      </c>
      <c r="BC21" s="23" t="s">
        <v>441</v>
      </c>
      <c r="BD21" s="23" t="s">
        <v>442</v>
      </c>
      <c r="BE21" s="23" t="s">
        <v>459</v>
      </c>
      <c r="BF21" s="1" t="s">
        <v>460</v>
      </c>
    </row>
    <row r="22" ht="24" customHeight="1" spans="1:58">
      <c r="A22" s="1" t="str">
        <f>_xlfn.DISPIMG("ID_0879418C6B694FD4ADCF887279A062FC",1)</f>
        <v>=DISPIMG("ID_0879418C6B694FD4ADCF887279A062FC",1)</v>
      </c>
      <c r="B22" s="15" t="s">
        <v>461</v>
      </c>
      <c r="C22" s="15" t="s">
        <v>292</v>
      </c>
      <c r="D22" s="15" t="s">
        <v>462</v>
      </c>
      <c r="E22" s="15" t="s">
        <v>18</v>
      </c>
      <c r="F22" s="15" t="s">
        <v>463</v>
      </c>
      <c r="G22" s="15" t="s">
        <v>464</v>
      </c>
      <c r="H22" s="15" t="s">
        <v>465</v>
      </c>
      <c r="I22" s="15" t="s">
        <v>466</v>
      </c>
      <c r="J22" s="15" t="s">
        <v>467</v>
      </c>
      <c r="K22" s="15" t="s">
        <v>135</v>
      </c>
      <c r="L22" s="15" t="s">
        <v>136</v>
      </c>
      <c r="M22" s="18">
        <v>6760</v>
      </c>
      <c r="N22" s="18">
        <v>-799</v>
      </c>
      <c r="O22" s="19">
        <v>-0.2241</v>
      </c>
      <c r="P22" s="20" t="s">
        <v>324</v>
      </c>
      <c r="Q22" s="22" t="s">
        <v>468</v>
      </c>
      <c r="R22" s="18">
        <v>4519</v>
      </c>
      <c r="S22" s="19">
        <v>-0.3351</v>
      </c>
      <c r="T22" s="18">
        <v>67739.81</v>
      </c>
      <c r="U22" s="23" t="s">
        <v>309</v>
      </c>
      <c r="V22" s="18">
        <v>5996</v>
      </c>
      <c r="W22" s="24">
        <v>65</v>
      </c>
      <c r="X22" s="25">
        <v>14.99</v>
      </c>
      <c r="Z22" s="8"/>
      <c r="AB22" s="24">
        <v>257</v>
      </c>
      <c r="AC22" s="18">
        <v>35</v>
      </c>
      <c r="AD22" s="28">
        <v>4.4</v>
      </c>
      <c r="AE22" s="29">
        <v>0.0077</v>
      </c>
      <c r="AF22" s="25">
        <v>5.46</v>
      </c>
      <c r="AG22" s="19">
        <v>0.4358</v>
      </c>
      <c r="AI22" s="1" t="s">
        <v>469</v>
      </c>
      <c r="AJ22" s="24">
        <v>286</v>
      </c>
      <c r="AK22" s="1" t="s">
        <v>141</v>
      </c>
      <c r="AL22" s="24">
        <v>9</v>
      </c>
      <c r="AM22" s="24">
        <v>1</v>
      </c>
      <c r="AN22" s="15" t="s">
        <v>18</v>
      </c>
      <c r="AO22" s="1" t="s">
        <v>141</v>
      </c>
      <c r="AP22" s="1" t="s">
        <v>142</v>
      </c>
      <c r="AQ22" s="15" t="s">
        <v>470</v>
      </c>
      <c r="AR22" s="1" t="s">
        <v>471</v>
      </c>
      <c r="AS22" s="1" t="s">
        <v>146</v>
      </c>
      <c r="AT22" s="1" t="s">
        <v>145</v>
      </c>
      <c r="AU22" s="1" t="s">
        <v>145</v>
      </c>
      <c r="AV22" s="1" t="s">
        <v>145</v>
      </c>
      <c r="AW22" s="1" t="s">
        <v>145</v>
      </c>
      <c r="AX22" s="1" t="s">
        <v>146</v>
      </c>
      <c r="AY22" s="1" t="s">
        <v>145</v>
      </c>
      <c r="AZ22" s="1" t="s">
        <v>146</v>
      </c>
      <c r="BA22" s="15" t="s">
        <v>146</v>
      </c>
      <c r="BB22" s="23" t="s">
        <v>146</v>
      </c>
      <c r="BC22" s="23" t="s">
        <v>472</v>
      </c>
      <c r="BD22" s="23" t="s">
        <v>473</v>
      </c>
      <c r="BE22" s="23" t="s">
        <v>474</v>
      </c>
      <c r="BF22" s="1" t="s">
        <v>475</v>
      </c>
    </row>
    <row r="23" ht="24" customHeight="1" spans="1:58">
      <c r="A23" s="1" t="str">
        <f>_xlfn.DISPIMG("ID_43E6E1E3477C4B5A89D9C0ED20BA30AD",1)</f>
        <v>=DISPIMG("ID_43E6E1E3477C4B5A89D9C0ED20BA30AD",1)</v>
      </c>
      <c r="B23" s="15" t="s">
        <v>476</v>
      </c>
      <c r="C23" s="15" t="s">
        <v>128</v>
      </c>
      <c r="D23" s="15" t="s">
        <v>477</v>
      </c>
      <c r="E23" s="15" t="s">
        <v>13</v>
      </c>
      <c r="F23" s="15" t="s">
        <v>478</v>
      </c>
      <c r="G23" s="15" t="s">
        <v>479</v>
      </c>
      <c r="H23" s="15" t="s">
        <v>480</v>
      </c>
      <c r="I23" s="15" t="s">
        <v>481</v>
      </c>
      <c r="J23" s="15" t="s">
        <v>482</v>
      </c>
      <c r="K23" s="15" t="s">
        <v>135</v>
      </c>
      <c r="L23" s="15" t="s">
        <v>136</v>
      </c>
      <c r="M23" s="18">
        <v>9680</v>
      </c>
      <c r="N23" s="18">
        <v>-938</v>
      </c>
      <c r="O23" s="19">
        <v>-0.1262</v>
      </c>
      <c r="P23" s="20" t="s">
        <v>324</v>
      </c>
      <c r="Q23" s="22" t="s">
        <v>483</v>
      </c>
      <c r="R23" s="18">
        <v>4236</v>
      </c>
      <c r="S23" s="19">
        <v>-0.2433</v>
      </c>
      <c r="T23" s="18">
        <v>93107.28</v>
      </c>
      <c r="U23" s="23" t="s">
        <v>454</v>
      </c>
      <c r="V23" s="18">
        <v>10990</v>
      </c>
      <c r="W23" s="24">
        <v>86</v>
      </c>
      <c r="X23" s="25">
        <v>21.98</v>
      </c>
      <c r="Y23" s="25">
        <v>19.78</v>
      </c>
      <c r="Z23" s="8"/>
      <c r="AA23" s="18">
        <v>4</v>
      </c>
      <c r="AB23" s="24">
        <v>707</v>
      </c>
      <c r="AC23" s="18">
        <v>115</v>
      </c>
      <c r="AD23" s="28">
        <v>4.4</v>
      </c>
      <c r="AE23" s="29">
        <v>0.0271</v>
      </c>
      <c r="AF23" s="25">
        <v>4.94</v>
      </c>
      <c r="AG23" s="19">
        <v>0.5753</v>
      </c>
      <c r="AI23" s="1" t="s">
        <v>484</v>
      </c>
      <c r="AJ23" s="24">
        <v>151</v>
      </c>
      <c r="AK23" s="1" t="s">
        <v>141</v>
      </c>
      <c r="AL23" s="24">
        <v>10</v>
      </c>
      <c r="AM23" s="24">
        <v>1</v>
      </c>
      <c r="AN23" s="15" t="s">
        <v>13</v>
      </c>
      <c r="AO23" s="1" t="s">
        <v>141</v>
      </c>
      <c r="AP23" s="1" t="s">
        <v>485</v>
      </c>
      <c r="AQ23" s="15" t="s">
        <v>486</v>
      </c>
      <c r="AR23" s="1" t="s">
        <v>487</v>
      </c>
      <c r="AS23" s="1" t="s">
        <v>146</v>
      </c>
      <c r="AT23" s="1" t="s">
        <v>146</v>
      </c>
      <c r="AU23" s="1" t="s">
        <v>146</v>
      </c>
      <c r="AV23" s="1" t="s">
        <v>145</v>
      </c>
      <c r="AW23" s="1" t="s">
        <v>145</v>
      </c>
      <c r="AX23" s="1" t="s">
        <v>146</v>
      </c>
      <c r="AY23" s="1" t="s">
        <v>145</v>
      </c>
      <c r="AZ23" s="1" t="s">
        <v>146</v>
      </c>
      <c r="BA23" s="15" t="s">
        <v>146</v>
      </c>
      <c r="BC23" s="23" t="s">
        <v>488</v>
      </c>
      <c r="BD23" s="23" t="s">
        <v>489</v>
      </c>
      <c r="BE23" s="23" t="s">
        <v>490</v>
      </c>
      <c r="BF23" s="1" t="s">
        <v>491</v>
      </c>
    </row>
    <row r="24" ht="24" customHeight="1" spans="1:58">
      <c r="A24" s="1" t="str">
        <f>_xlfn.DISPIMG("ID_BF29F93AF4594679B94E6BD346B231FD",1)</f>
        <v>=DISPIMG("ID_BF29F93AF4594679B94E6BD346B231FD",1)</v>
      </c>
      <c r="B24" s="15" t="s">
        <v>492</v>
      </c>
      <c r="C24" s="15" t="s">
        <v>128</v>
      </c>
      <c r="D24" s="15" t="s">
        <v>493</v>
      </c>
      <c r="E24" s="15" t="s">
        <v>8</v>
      </c>
      <c r="F24" s="15" t="s">
        <v>364</v>
      </c>
      <c r="G24" s="15" t="s">
        <v>494</v>
      </c>
      <c r="H24" s="15" t="s">
        <v>495</v>
      </c>
      <c r="I24" s="15" t="s">
        <v>496</v>
      </c>
      <c r="J24" s="15" t="s">
        <v>497</v>
      </c>
      <c r="K24" s="15" t="s">
        <v>135</v>
      </c>
      <c r="L24" s="15" t="s">
        <v>136</v>
      </c>
      <c r="M24" s="18">
        <v>6440</v>
      </c>
      <c r="N24" s="18">
        <v>801</v>
      </c>
      <c r="O24" s="19">
        <v>0.1122</v>
      </c>
      <c r="P24" s="20" t="s">
        <v>324</v>
      </c>
      <c r="Q24" s="22" t="s">
        <v>498</v>
      </c>
      <c r="R24" s="18">
        <v>4035</v>
      </c>
      <c r="S24" s="19">
        <v>-0.3374</v>
      </c>
      <c r="T24" s="18">
        <v>80659.65</v>
      </c>
      <c r="U24" s="23" t="s">
        <v>454</v>
      </c>
      <c r="V24" s="18">
        <v>9995</v>
      </c>
      <c r="W24" s="24">
        <v>42</v>
      </c>
      <c r="X24" s="25">
        <v>19.99</v>
      </c>
      <c r="Y24" s="25">
        <v>14.99</v>
      </c>
      <c r="Z24" s="8"/>
      <c r="AB24" s="24">
        <v>396</v>
      </c>
      <c r="AC24" s="18">
        <v>58</v>
      </c>
      <c r="AD24" s="28">
        <v>4.4</v>
      </c>
      <c r="AE24" s="29">
        <v>0.0144</v>
      </c>
      <c r="AF24" s="25">
        <v>4.77</v>
      </c>
      <c r="AG24" s="19">
        <v>0.5614</v>
      </c>
      <c r="AI24" s="1" t="s">
        <v>499</v>
      </c>
      <c r="AJ24" s="24">
        <v>231</v>
      </c>
      <c r="AK24" s="1" t="s">
        <v>141</v>
      </c>
      <c r="AL24" s="24">
        <v>8.8</v>
      </c>
      <c r="AM24" s="24">
        <v>1</v>
      </c>
      <c r="AN24" s="15" t="s">
        <v>500</v>
      </c>
      <c r="AO24" s="1" t="s">
        <v>141</v>
      </c>
      <c r="AP24" s="1" t="s">
        <v>142</v>
      </c>
      <c r="AQ24" s="15" t="s">
        <v>501</v>
      </c>
      <c r="AR24" s="1" t="s">
        <v>502</v>
      </c>
      <c r="AS24" s="1" t="s">
        <v>146</v>
      </c>
      <c r="AT24" s="1" t="s">
        <v>145</v>
      </c>
      <c r="AU24" s="1" t="s">
        <v>145</v>
      </c>
      <c r="AV24" s="1" t="s">
        <v>145</v>
      </c>
      <c r="AW24" s="1" t="s">
        <v>145</v>
      </c>
      <c r="AX24" s="1" t="s">
        <v>146</v>
      </c>
      <c r="AY24" s="1" t="s">
        <v>145</v>
      </c>
      <c r="AZ24" s="1" t="s">
        <v>146</v>
      </c>
      <c r="BA24" s="15" t="s">
        <v>146</v>
      </c>
      <c r="BB24" s="23" t="s">
        <v>146</v>
      </c>
      <c r="BC24" s="23" t="s">
        <v>503</v>
      </c>
      <c r="BD24" s="23" t="s">
        <v>504</v>
      </c>
      <c r="BE24" s="23" t="s">
        <v>505</v>
      </c>
      <c r="BF24" s="1" t="s">
        <v>506</v>
      </c>
    </row>
    <row r="25" ht="24" customHeight="1" spans="1:58">
      <c r="A25" s="1" t="str">
        <f>_xlfn.DISPIMG("ID_436BDD67F7D740CD9F316008F1D44D4C",1)</f>
        <v>=DISPIMG("ID_436BDD67F7D740CD9F316008F1D44D4C",1)</v>
      </c>
      <c r="B25" s="15" t="s">
        <v>507</v>
      </c>
      <c r="C25" s="15" t="s">
        <v>146</v>
      </c>
      <c r="D25" s="15" t="s">
        <v>146</v>
      </c>
      <c r="E25" s="15" t="s">
        <v>21</v>
      </c>
      <c r="F25" s="15" t="s">
        <v>377</v>
      </c>
      <c r="G25" s="15" t="s">
        <v>508</v>
      </c>
      <c r="H25" s="15" t="s">
        <v>509</v>
      </c>
      <c r="I25" s="15" t="s">
        <v>510</v>
      </c>
      <c r="J25" s="15" t="s">
        <v>507</v>
      </c>
      <c r="K25" s="15" t="s">
        <v>135</v>
      </c>
      <c r="L25" s="15" t="s">
        <v>136</v>
      </c>
      <c r="M25" s="18">
        <v>5145</v>
      </c>
      <c r="N25" s="18">
        <v>-46</v>
      </c>
      <c r="O25" s="19">
        <v>-0.009</v>
      </c>
      <c r="P25" s="20" t="s">
        <v>511</v>
      </c>
      <c r="Q25" s="22" t="s">
        <v>512</v>
      </c>
      <c r="R25" s="18">
        <v>3722</v>
      </c>
      <c r="S25" s="19">
        <v>0.7043</v>
      </c>
      <c r="T25" s="18">
        <v>94873.78</v>
      </c>
      <c r="U25" s="23" t="s">
        <v>384</v>
      </c>
      <c r="V25" s="18">
        <v>1274.5</v>
      </c>
      <c r="W25" s="24">
        <v>70</v>
      </c>
      <c r="X25" s="25">
        <v>25.49</v>
      </c>
      <c r="AA25" s="18">
        <v>3</v>
      </c>
      <c r="AB25" s="24">
        <v>511</v>
      </c>
      <c r="AC25" s="18">
        <v>10</v>
      </c>
      <c r="AD25" s="28">
        <v>4.5</v>
      </c>
      <c r="AE25" s="29">
        <v>0.0027</v>
      </c>
      <c r="AF25" s="25">
        <v>4.94</v>
      </c>
      <c r="AG25" s="19">
        <v>0.6062</v>
      </c>
      <c r="AI25" s="1" t="s">
        <v>513</v>
      </c>
      <c r="AJ25" s="24">
        <v>1136</v>
      </c>
      <c r="AK25" s="1" t="s">
        <v>141</v>
      </c>
      <c r="AL25" s="24">
        <v>9.8</v>
      </c>
      <c r="AM25" s="24">
        <v>1</v>
      </c>
      <c r="AN25" s="15" t="s">
        <v>21</v>
      </c>
      <c r="AO25" s="1" t="s">
        <v>141</v>
      </c>
      <c r="AP25" s="1" t="s">
        <v>142</v>
      </c>
      <c r="AQ25" s="15" t="s">
        <v>386</v>
      </c>
      <c r="AR25" s="1" t="s">
        <v>387</v>
      </c>
      <c r="AS25" s="1" t="s">
        <v>146</v>
      </c>
      <c r="AT25" s="1" t="s">
        <v>146</v>
      </c>
      <c r="AU25" s="1" t="s">
        <v>146</v>
      </c>
      <c r="AV25" s="1" t="s">
        <v>145</v>
      </c>
      <c r="AW25" s="1" t="s">
        <v>145</v>
      </c>
      <c r="AX25" s="1" t="s">
        <v>146</v>
      </c>
      <c r="AY25" s="1" t="s">
        <v>146</v>
      </c>
      <c r="AZ25" s="1" t="s">
        <v>146</v>
      </c>
      <c r="BA25" s="15" t="s">
        <v>146</v>
      </c>
      <c r="BC25" s="23" t="s">
        <v>514</v>
      </c>
      <c r="BD25" s="23" t="s">
        <v>515</v>
      </c>
      <c r="BE25" s="23" t="s">
        <v>516</v>
      </c>
      <c r="BF25" s="1" t="s">
        <v>517</v>
      </c>
    </row>
    <row r="26" ht="24" customHeight="1" spans="1:58">
      <c r="A26" s="1" t="str">
        <f>_xlfn.DISPIMG("ID_491A2D6CDE95472A8DF582EE81FCCF02",1)</f>
        <v>=DISPIMG("ID_491A2D6CDE95472A8DF582EE81FCCF02",1)</v>
      </c>
      <c r="B26" s="15" t="s">
        <v>518</v>
      </c>
      <c r="C26" s="15" t="s">
        <v>146</v>
      </c>
      <c r="D26" s="15" t="s">
        <v>146</v>
      </c>
      <c r="E26" s="15" t="s">
        <v>33</v>
      </c>
      <c r="F26" s="15" t="s">
        <v>519</v>
      </c>
      <c r="G26" s="15" t="s">
        <v>520</v>
      </c>
      <c r="H26" s="15" t="s">
        <v>521</v>
      </c>
      <c r="I26" s="15" t="s">
        <v>522</v>
      </c>
      <c r="J26" s="15" t="s">
        <v>518</v>
      </c>
      <c r="K26" s="15" t="s">
        <v>523</v>
      </c>
      <c r="L26" s="15" t="s">
        <v>136</v>
      </c>
      <c r="M26" s="18">
        <v>12784</v>
      </c>
      <c r="N26" s="18">
        <v>-1757</v>
      </c>
      <c r="O26" s="19">
        <v>-0.2507</v>
      </c>
      <c r="P26" s="20" t="s">
        <v>524</v>
      </c>
      <c r="Q26" s="22" t="s">
        <v>525</v>
      </c>
      <c r="R26" s="18">
        <v>3655</v>
      </c>
      <c r="S26" s="19">
        <v>0.377</v>
      </c>
      <c r="T26" s="18">
        <v>105958.445</v>
      </c>
      <c r="U26" s="23" t="s">
        <v>161</v>
      </c>
      <c r="V26" s="18">
        <v>2899</v>
      </c>
      <c r="W26" s="24">
        <v>53</v>
      </c>
      <c r="X26" s="25">
        <v>28.99</v>
      </c>
      <c r="AA26" s="18">
        <v>4</v>
      </c>
      <c r="AB26" s="24">
        <v>159</v>
      </c>
      <c r="AC26" s="18">
        <v>18</v>
      </c>
      <c r="AD26" s="28">
        <v>4.2</v>
      </c>
      <c r="AE26" s="29">
        <v>0.0049</v>
      </c>
      <c r="AF26" s="25">
        <v>5.2</v>
      </c>
      <c r="AG26" s="19">
        <v>0.6206</v>
      </c>
      <c r="AI26" s="1" t="s">
        <v>526</v>
      </c>
      <c r="AJ26" s="24">
        <v>493</v>
      </c>
      <c r="AK26" s="1" t="s">
        <v>141</v>
      </c>
      <c r="AL26" s="24">
        <v>10</v>
      </c>
      <c r="AM26" s="24">
        <v>1</v>
      </c>
      <c r="AN26" s="15" t="s">
        <v>527</v>
      </c>
      <c r="AO26" s="1" t="s">
        <v>141</v>
      </c>
      <c r="AP26" s="1" t="s">
        <v>142</v>
      </c>
      <c r="AQ26" s="15" t="s">
        <v>528</v>
      </c>
      <c r="AR26" s="1" t="s">
        <v>529</v>
      </c>
      <c r="AS26" s="1" t="s">
        <v>146</v>
      </c>
      <c r="AT26" s="1" t="s">
        <v>145</v>
      </c>
      <c r="AU26" s="1" t="s">
        <v>145</v>
      </c>
      <c r="AV26" s="1" t="s">
        <v>145</v>
      </c>
      <c r="AW26" s="1" t="s">
        <v>145</v>
      </c>
      <c r="AX26" s="1" t="s">
        <v>146</v>
      </c>
      <c r="AY26" s="1" t="s">
        <v>146</v>
      </c>
      <c r="AZ26" s="1" t="s">
        <v>146</v>
      </c>
      <c r="BA26" s="15" t="s">
        <v>146</v>
      </c>
      <c r="BB26" s="23" t="s">
        <v>187</v>
      </c>
      <c r="BC26" s="23" t="s">
        <v>329</v>
      </c>
      <c r="BD26" s="23" t="s">
        <v>330</v>
      </c>
      <c r="BE26" s="23" t="s">
        <v>530</v>
      </c>
      <c r="BF26" s="1" t="s">
        <v>531</v>
      </c>
    </row>
    <row r="27" ht="24" customHeight="1" spans="1:58">
      <c r="A27" s="1" t="str">
        <f>_xlfn.DISPIMG("ID_1F4DE94EF6CE4F6BBFFD22154643DFEA",1)</f>
        <v>=DISPIMG("ID_1F4DE94EF6CE4F6BBFFD22154643DFEA",1)</v>
      </c>
      <c r="B27" s="15" t="s">
        <v>532</v>
      </c>
      <c r="C27" s="15" t="s">
        <v>533</v>
      </c>
      <c r="D27" s="15" t="s">
        <v>534</v>
      </c>
      <c r="E27" s="15" t="s">
        <v>49</v>
      </c>
      <c r="F27" s="15" t="s">
        <v>535</v>
      </c>
      <c r="G27" s="15" t="s">
        <v>536</v>
      </c>
      <c r="H27" s="15" t="s">
        <v>537</v>
      </c>
      <c r="I27" s="15" t="s">
        <v>538</v>
      </c>
      <c r="J27" s="15" t="s">
        <v>539</v>
      </c>
      <c r="K27" s="15" t="s">
        <v>135</v>
      </c>
      <c r="L27" s="15" t="s">
        <v>136</v>
      </c>
      <c r="M27" s="18">
        <v>13008</v>
      </c>
      <c r="N27" s="18">
        <v>-4529</v>
      </c>
      <c r="O27" s="19">
        <v>-0.7094</v>
      </c>
      <c r="P27" s="20" t="s">
        <v>159</v>
      </c>
      <c r="Q27" s="22" t="s">
        <v>540</v>
      </c>
      <c r="R27" s="18">
        <v>3559</v>
      </c>
      <c r="S27" s="19">
        <v>-0.3944</v>
      </c>
      <c r="T27" s="18">
        <v>106734.41</v>
      </c>
      <c r="U27" s="23" t="s">
        <v>161</v>
      </c>
      <c r="V27" s="18">
        <v>2999</v>
      </c>
      <c r="W27" s="24">
        <v>56</v>
      </c>
      <c r="X27" s="25">
        <v>29.99</v>
      </c>
      <c r="Z27" s="8"/>
      <c r="AA27" s="18">
        <v>15</v>
      </c>
      <c r="AB27" s="24">
        <v>1858</v>
      </c>
      <c r="AC27" s="18">
        <v>27</v>
      </c>
      <c r="AD27" s="28">
        <v>4.4</v>
      </c>
      <c r="AE27" s="29">
        <v>0.0076</v>
      </c>
      <c r="AF27" s="25">
        <v>5.39</v>
      </c>
      <c r="AG27" s="19">
        <v>0.6203</v>
      </c>
      <c r="AI27" s="1" t="s">
        <v>541</v>
      </c>
      <c r="AJ27" s="24">
        <v>870</v>
      </c>
      <c r="AK27" s="1" t="s">
        <v>141</v>
      </c>
      <c r="AL27" s="24">
        <v>9.8</v>
      </c>
      <c r="AM27" s="24">
        <v>1</v>
      </c>
      <c r="AN27" s="15" t="s">
        <v>542</v>
      </c>
      <c r="AO27" s="1" t="s">
        <v>141</v>
      </c>
      <c r="AP27" s="1" t="s">
        <v>142</v>
      </c>
      <c r="AQ27" s="15" t="s">
        <v>543</v>
      </c>
      <c r="AR27" s="1" t="s">
        <v>544</v>
      </c>
      <c r="AS27" s="1" t="s">
        <v>146</v>
      </c>
      <c r="AT27" s="1" t="s">
        <v>145</v>
      </c>
      <c r="AU27" s="1" t="s">
        <v>146</v>
      </c>
      <c r="AV27" s="1" t="s">
        <v>145</v>
      </c>
      <c r="AW27" s="1" t="s">
        <v>145</v>
      </c>
      <c r="AX27" s="1" t="s">
        <v>146</v>
      </c>
      <c r="AY27" s="1" t="s">
        <v>145</v>
      </c>
      <c r="AZ27" s="1" t="s">
        <v>146</v>
      </c>
      <c r="BA27" s="15" t="s">
        <v>146</v>
      </c>
      <c r="BB27" s="23" t="s">
        <v>146</v>
      </c>
      <c r="BC27" s="23" t="s">
        <v>545</v>
      </c>
      <c r="BD27" s="23" t="s">
        <v>546</v>
      </c>
      <c r="BE27" s="23" t="s">
        <v>547</v>
      </c>
      <c r="BF27" s="1" t="s">
        <v>548</v>
      </c>
    </row>
    <row r="28" ht="24" customHeight="1" spans="1:58">
      <c r="A28" s="1" t="str">
        <f>_xlfn.DISPIMG("ID_FB938CE3F56A422D9411C4B261C205BB",1)</f>
        <v>=DISPIMG("ID_FB938CE3F56A422D9411C4B261C205BB",1)</v>
      </c>
      <c r="B28" s="15" t="s">
        <v>549</v>
      </c>
      <c r="C28" s="15" t="s">
        <v>550</v>
      </c>
      <c r="D28" s="15" t="s">
        <v>551</v>
      </c>
      <c r="E28" s="15" t="s">
        <v>18</v>
      </c>
      <c r="F28" s="15" t="s">
        <v>463</v>
      </c>
      <c r="G28" s="15" t="s">
        <v>552</v>
      </c>
      <c r="H28" s="15" t="s">
        <v>553</v>
      </c>
      <c r="I28" s="15" t="s">
        <v>554</v>
      </c>
      <c r="J28" s="15" t="s">
        <v>555</v>
      </c>
      <c r="K28" s="15" t="s">
        <v>135</v>
      </c>
      <c r="L28" s="15" t="s">
        <v>136</v>
      </c>
      <c r="M28" s="18">
        <v>25857</v>
      </c>
      <c r="N28" s="18">
        <v>-12697</v>
      </c>
      <c r="O28" s="19">
        <v>-1.1876</v>
      </c>
      <c r="P28" s="20" t="s">
        <v>324</v>
      </c>
      <c r="Q28" s="22" t="s">
        <v>556</v>
      </c>
      <c r="R28" s="18">
        <v>3327</v>
      </c>
      <c r="S28" s="19">
        <v>0.2015</v>
      </c>
      <c r="T28" s="18">
        <v>49871.73</v>
      </c>
      <c r="U28" s="23" t="s">
        <v>202</v>
      </c>
      <c r="V28" s="18">
        <v>2998</v>
      </c>
      <c r="W28" s="24">
        <v>38</v>
      </c>
      <c r="X28" s="25">
        <v>14.99</v>
      </c>
      <c r="Z28" s="8"/>
      <c r="AB28" s="24">
        <v>140</v>
      </c>
      <c r="AC28" s="18">
        <v>18</v>
      </c>
      <c r="AD28" s="28">
        <v>4.3</v>
      </c>
      <c r="AE28" s="29">
        <v>0.0054</v>
      </c>
      <c r="AF28" s="25">
        <v>4.94</v>
      </c>
      <c r="AG28" s="19">
        <v>0.4704</v>
      </c>
      <c r="AI28" s="1" t="s">
        <v>557</v>
      </c>
      <c r="AJ28" s="24">
        <v>284</v>
      </c>
      <c r="AK28" s="1" t="s">
        <v>141</v>
      </c>
      <c r="AL28" s="24">
        <v>10</v>
      </c>
      <c r="AM28" s="24">
        <v>1</v>
      </c>
      <c r="AN28" s="15" t="s">
        <v>18</v>
      </c>
      <c r="AO28" s="1" t="s">
        <v>141</v>
      </c>
      <c r="AP28" s="1" t="s">
        <v>142</v>
      </c>
      <c r="AQ28" s="15" t="s">
        <v>470</v>
      </c>
      <c r="AR28" s="1" t="s">
        <v>471</v>
      </c>
      <c r="AS28" s="1" t="s">
        <v>146</v>
      </c>
      <c r="AT28" s="1" t="s">
        <v>145</v>
      </c>
      <c r="AU28" s="1" t="s">
        <v>146</v>
      </c>
      <c r="AV28" s="1" t="s">
        <v>145</v>
      </c>
      <c r="AW28" s="1" t="s">
        <v>145</v>
      </c>
      <c r="AX28" s="1" t="s">
        <v>146</v>
      </c>
      <c r="AY28" s="1" t="s">
        <v>145</v>
      </c>
      <c r="AZ28" s="1" t="s">
        <v>146</v>
      </c>
      <c r="BA28" s="15" t="s">
        <v>146</v>
      </c>
      <c r="BB28" s="23" t="s">
        <v>146</v>
      </c>
      <c r="BC28" s="23" t="s">
        <v>558</v>
      </c>
      <c r="BD28" s="23" t="s">
        <v>559</v>
      </c>
      <c r="BE28" s="23" t="s">
        <v>560</v>
      </c>
      <c r="BF28" s="1" t="s">
        <v>561</v>
      </c>
    </row>
    <row r="29" ht="24" customHeight="1" spans="1:58">
      <c r="A29" s="1" t="str">
        <f>_xlfn.DISPIMG("ID_7BC7586186424269BCC3107C9D20DFF0",1)</f>
        <v>=DISPIMG("ID_7BC7586186424269BCC3107C9D20DFF0",1)</v>
      </c>
      <c r="B29" s="15" t="s">
        <v>562</v>
      </c>
      <c r="C29" s="15" t="s">
        <v>146</v>
      </c>
      <c r="D29" s="15" t="s">
        <v>146</v>
      </c>
      <c r="E29" s="15" t="s">
        <v>56</v>
      </c>
      <c r="F29" s="15" t="s">
        <v>563</v>
      </c>
      <c r="G29" s="15" t="s">
        <v>564</v>
      </c>
      <c r="H29" s="15" t="s">
        <v>565</v>
      </c>
      <c r="I29" s="15" t="s">
        <v>566</v>
      </c>
      <c r="J29" s="15" t="s">
        <v>562</v>
      </c>
      <c r="K29" s="15" t="s">
        <v>567</v>
      </c>
      <c r="L29" s="15" t="s">
        <v>136</v>
      </c>
      <c r="M29" s="18">
        <v>15749</v>
      </c>
      <c r="N29" s="18">
        <v>7042</v>
      </c>
      <c r="O29" s="19">
        <v>0.3251</v>
      </c>
      <c r="P29" s="20" t="s">
        <v>568</v>
      </c>
      <c r="Q29" s="22" t="s">
        <v>569</v>
      </c>
      <c r="R29" s="18">
        <v>2854</v>
      </c>
      <c r="S29" s="19">
        <v>-0.4992</v>
      </c>
      <c r="T29" s="18">
        <v>85591.46</v>
      </c>
      <c r="U29" s="23" t="s">
        <v>384</v>
      </c>
      <c r="V29" s="18">
        <v>1499.5</v>
      </c>
      <c r="W29" s="24">
        <v>112</v>
      </c>
      <c r="X29" s="25">
        <v>29.99</v>
      </c>
      <c r="AB29" s="24">
        <v>508</v>
      </c>
      <c r="AC29" s="18">
        <v>62</v>
      </c>
      <c r="AD29" s="28">
        <v>4.5</v>
      </c>
      <c r="AE29" s="29">
        <v>0.0217</v>
      </c>
      <c r="AF29" s="25">
        <v>4.61</v>
      </c>
      <c r="AG29" s="19">
        <v>0.6463</v>
      </c>
      <c r="AI29" s="1" t="s">
        <v>401</v>
      </c>
      <c r="AJ29" s="24">
        <v>329</v>
      </c>
      <c r="AK29" s="1" t="s">
        <v>141</v>
      </c>
      <c r="AL29" s="24">
        <v>10</v>
      </c>
      <c r="AM29" s="24">
        <v>1</v>
      </c>
      <c r="AN29" s="15" t="s">
        <v>570</v>
      </c>
      <c r="AO29" s="1" t="s">
        <v>141</v>
      </c>
      <c r="AP29" s="1" t="s">
        <v>142</v>
      </c>
      <c r="AQ29" s="15" t="s">
        <v>571</v>
      </c>
      <c r="AR29" s="1" t="s">
        <v>572</v>
      </c>
      <c r="AS29" s="1" t="s">
        <v>146</v>
      </c>
      <c r="AT29" s="1" t="s">
        <v>146</v>
      </c>
      <c r="AU29" s="1" t="s">
        <v>146</v>
      </c>
      <c r="AV29" s="1" t="s">
        <v>145</v>
      </c>
      <c r="AW29" s="1" t="s">
        <v>146</v>
      </c>
      <c r="AX29" s="1" t="s">
        <v>146</v>
      </c>
      <c r="AY29" s="1" t="s">
        <v>146</v>
      </c>
      <c r="AZ29" s="1" t="s">
        <v>146</v>
      </c>
      <c r="BA29" s="15" t="s">
        <v>146</v>
      </c>
      <c r="BC29" s="23" t="s">
        <v>347</v>
      </c>
      <c r="BD29" s="23" t="s">
        <v>348</v>
      </c>
      <c r="BE29" s="23" t="s">
        <v>573</v>
      </c>
      <c r="BF29" s="1" t="s">
        <v>574</v>
      </c>
    </row>
    <row r="30" ht="24" customHeight="1" spans="1:58">
      <c r="A30" s="1" t="str">
        <f>_xlfn.DISPIMG("ID_A36566CC420D406EADA141D0D6367FA1",1)</f>
        <v>=DISPIMG("ID_A36566CC420D406EADA141D0D6367FA1",1)</v>
      </c>
      <c r="B30" s="15" t="s">
        <v>575</v>
      </c>
      <c r="C30" s="15" t="s">
        <v>231</v>
      </c>
      <c r="D30" s="15" t="s">
        <v>576</v>
      </c>
      <c r="E30" s="15" t="s">
        <v>6</v>
      </c>
      <c r="F30" s="15" t="s">
        <v>265</v>
      </c>
      <c r="G30" s="15" t="s">
        <v>577</v>
      </c>
      <c r="H30" s="15" t="s">
        <v>578</v>
      </c>
      <c r="I30" s="15" t="s">
        <v>579</v>
      </c>
      <c r="J30" s="15" t="s">
        <v>580</v>
      </c>
      <c r="K30" s="15" t="s">
        <v>135</v>
      </c>
      <c r="L30" s="15" t="s">
        <v>136</v>
      </c>
      <c r="M30" s="18">
        <v>12877</v>
      </c>
      <c r="N30" s="18">
        <v>-595</v>
      </c>
      <c r="O30" s="19">
        <v>-0.0519</v>
      </c>
      <c r="P30" s="20" t="s">
        <v>159</v>
      </c>
      <c r="Q30" s="22" t="s">
        <v>581</v>
      </c>
      <c r="R30" s="18">
        <v>2794</v>
      </c>
      <c r="S30" s="19">
        <v>0.3961</v>
      </c>
      <c r="T30" s="18">
        <v>83792.06</v>
      </c>
      <c r="U30" s="23" t="s">
        <v>161</v>
      </c>
      <c r="V30" s="18">
        <v>2999</v>
      </c>
      <c r="W30" s="24">
        <v>60</v>
      </c>
      <c r="X30" s="25">
        <v>29.99</v>
      </c>
      <c r="Z30" s="8"/>
      <c r="AB30" s="24">
        <v>58</v>
      </c>
      <c r="AC30" s="18">
        <v>11</v>
      </c>
      <c r="AD30" s="28">
        <v>4.3</v>
      </c>
      <c r="AE30" s="29">
        <v>0.0039</v>
      </c>
      <c r="AF30" s="25">
        <v>6.53</v>
      </c>
      <c r="AG30" s="19">
        <v>0.5823</v>
      </c>
      <c r="AI30" s="1" t="s">
        <v>582</v>
      </c>
      <c r="AJ30" s="24">
        <v>208</v>
      </c>
      <c r="AK30" s="1" t="s">
        <v>141</v>
      </c>
      <c r="AL30" s="24">
        <v>10</v>
      </c>
      <c r="AM30" s="24">
        <v>1</v>
      </c>
      <c r="AN30" s="15" t="s">
        <v>6</v>
      </c>
      <c r="AO30" s="1" t="s">
        <v>141</v>
      </c>
      <c r="AP30" s="1" t="s">
        <v>142</v>
      </c>
      <c r="AQ30" s="15" t="s">
        <v>273</v>
      </c>
      <c r="AR30" s="1" t="s">
        <v>274</v>
      </c>
      <c r="AS30" s="1" t="s">
        <v>146</v>
      </c>
      <c r="AT30" s="1" t="s">
        <v>145</v>
      </c>
      <c r="AU30" s="1" t="s">
        <v>146</v>
      </c>
      <c r="AV30" s="1" t="s">
        <v>145</v>
      </c>
      <c r="AW30" s="1" t="s">
        <v>145</v>
      </c>
      <c r="AX30" s="1" t="s">
        <v>146</v>
      </c>
      <c r="AY30" s="1" t="s">
        <v>146</v>
      </c>
      <c r="AZ30" s="1" t="s">
        <v>146</v>
      </c>
      <c r="BA30" s="15" t="s">
        <v>146</v>
      </c>
      <c r="BB30" s="23" t="s">
        <v>146</v>
      </c>
      <c r="BC30" s="23" t="s">
        <v>583</v>
      </c>
      <c r="BD30" s="23" t="s">
        <v>584</v>
      </c>
      <c r="BE30" s="23" t="s">
        <v>585</v>
      </c>
      <c r="BF30" s="1" t="s">
        <v>586</v>
      </c>
    </row>
    <row r="31" ht="24" customHeight="1" spans="1:58">
      <c r="A31" s="1" t="str">
        <f>_xlfn.DISPIMG("ID_8E217C2713DD4FE6A5207D7633F380CF",1)</f>
        <v>=DISPIMG("ID_8E217C2713DD4FE6A5207D7633F380CF",1)</v>
      </c>
      <c r="B31" s="15" t="s">
        <v>587</v>
      </c>
      <c r="C31" s="15" t="s">
        <v>263</v>
      </c>
      <c r="D31" s="15" t="s">
        <v>588</v>
      </c>
      <c r="E31" s="15" t="s">
        <v>68</v>
      </c>
      <c r="F31" s="15" t="s">
        <v>589</v>
      </c>
      <c r="G31" s="15" t="s">
        <v>590</v>
      </c>
      <c r="H31" s="15" t="s">
        <v>591</v>
      </c>
      <c r="I31" s="15" t="s">
        <v>592</v>
      </c>
      <c r="J31" s="15" t="s">
        <v>593</v>
      </c>
      <c r="K31" s="15" t="s">
        <v>135</v>
      </c>
      <c r="L31" s="15" t="s">
        <v>136</v>
      </c>
      <c r="M31" s="18">
        <v>12608</v>
      </c>
      <c r="N31" s="18">
        <v>-674</v>
      </c>
      <c r="O31" s="19">
        <v>-0.0774</v>
      </c>
      <c r="P31" s="20" t="s">
        <v>200</v>
      </c>
      <c r="Q31" s="22" t="s">
        <v>594</v>
      </c>
      <c r="R31" s="18">
        <v>2784</v>
      </c>
      <c r="S31" s="19">
        <v>-0.2024</v>
      </c>
      <c r="T31" s="18">
        <v>63976.32</v>
      </c>
      <c r="U31" s="23" t="s">
        <v>384</v>
      </c>
      <c r="V31" s="18">
        <v>1149</v>
      </c>
      <c r="W31" s="24">
        <v>86</v>
      </c>
      <c r="X31" s="25">
        <v>22.98</v>
      </c>
      <c r="Z31" s="8"/>
      <c r="AA31" s="18">
        <v>5</v>
      </c>
      <c r="AB31" s="24">
        <v>511</v>
      </c>
      <c r="AC31" s="18">
        <v>19</v>
      </c>
      <c r="AD31" s="28">
        <v>4.2</v>
      </c>
      <c r="AE31" s="29">
        <v>0.0068</v>
      </c>
      <c r="AF31" s="25">
        <v>6.19</v>
      </c>
      <c r="AG31" s="19">
        <v>0.5306</v>
      </c>
      <c r="AI31" s="1" t="s">
        <v>595</v>
      </c>
      <c r="AJ31" s="24">
        <v>924</v>
      </c>
      <c r="AK31" s="1" t="s">
        <v>141</v>
      </c>
      <c r="AL31" s="24">
        <v>10</v>
      </c>
      <c r="AM31" s="24">
        <v>1</v>
      </c>
      <c r="AN31" s="15" t="s">
        <v>596</v>
      </c>
      <c r="AO31" s="1" t="s">
        <v>141</v>
      </c>
      <c r="AP31" s="1" t="s">
        <v>142</v>
      </c>
      <c r="AQ31" s="15" t="s">
        <v>597</v>
      </c>
      <c r="AR31" s="1" t="s">
        <v>598</v>
      </c>
      <c r="AS31" s="1" t="s">
        <v>146</v>
      </c>
      <c r="AT31" s="1" t="s">
        <v>146</v>
      </c>
      <c r="AU31" s="1" t="s">
        <v>146</v>
      </c>
      <c r="AV31" s="1" t="s">
        <v>145</v>
      </c>
      <c r="AW31" s="1" t="s">
        <v>146</v>
      </c>
      <c r="AX31" s="1" t="s">
        <v>146</v>
      </c>
      <c r="AY31" s="1" t="s">
        <v>146</v>
      </c>
      <c r="AZ31" s="1" t="s">
        <v>146</v>
      </c>
      <c r="BA31" s="15" t="s">
        <v>146</v>
      </c>
      <c r="BC31" s="23" t="s">
        <v>388</v>
      </c>
      <c r="BD31" s="23" t="s">
        <v>389</v>
      </c>
      <c r="BE31" s="23" t="s">
        <v>599</v>
      </c>
      <c r="BF31" s="1" t="s">
        <v>600</v>
      </c>
    </row>
    <row r="32" ht="24" customHeight="1" spans="1:58">
      <c r="A32" s="1" t="str">
        <f>_xlfn.DISPIMG("ID_A9AA7B1047994531A8C0A628B8F76478",1)</f>
        <v>=DISPIMG("ID_A9AA7B1047994531A8C0A628B8F76478",1)</v>
      </c>
      <c r="B32" s="15" t="s">
        <v>601</v>
      </c>
      <c r="C32" s="15" t="s">
        <v>128</v>
      </c>
      <c r="D32" s="15" t="s">
        <v>602</v>
      </c>
      <c r="E32" s="15" t="s">
        <v>22</v>
      </c>
      <c r="F32" s="15" t="s">
        <v>603</v>
      </c>
      <c r="G32" s="15" t="s">
        <v>604</v>
      </c>
      <c r="H32" s="15" t="s">
        <v>605</v>
      </c>
      <c r="I32" s="15" t="s">
        <v>606</v>
      </c>
      <c r="J32" s="15" t="s">
        <v>607</v>
      </c>
      <c r="K32" s="15" t="s">
        <v>135</v>
      </c>
      <c r="L32" s="15" t="s">
        <v>136</v>
      </c>
      <c r="M32" s="18">
        <v>16573</v>
      </c>
      <c r="N32" s="18">
        <v>-4922</v>
      </c>
      <c r="O32" s="19">
        <v>-0.6437</v>
      </c>
      <c r="P32" s="20" t="s">
        <v>159</v>
      </c>
      <c r="Q32" s="22" t="s">
        <v>608</v>
      </c>
      <c r="R32" s="18">
        <v>2568</v>
      </c>
      <c r="S32" s="19">
        <v>-0.5389</v>
      </c>
      <c r="T32" s="18">
        <v>51334.32</v>
      </c>
      <c r="U32" s="23" t="s">
        <v>256</v>
      </c>
      <c r="V32" s="18">
        <v>5997</v>
      </c>
      <c r="W32" s="24">
        <v>57</v>
      </c>
      <c r="X32" s="25">
        <v>19.99</v>
      </c>
      <c r="Z32" s="8"/>
      <c r="AB32" s="24">
        <v>497</v>
      </c>
      <c r="AC32" s="18">
        <v>37</v>
      </c>
      <c r="AD32" s="28">
        <v>4.4</v>
      </c>
      <c r="AE32" s="29">
        <v>0.0144</v>
      </c>
      <c r="AF32" s="25">
        <v>4.94</v>
      </c>
      <c r="AG32" s="19">
        <v>0.5529</v>
      </c>
      <c r="AI32" s="1" t="s">
        <v>609</v>
      </c>
      <c r="AJ32" s="24">
        <v>238</v>
      </c>
      <c r="AK32" s="1" t="s">
        <v>141</v>
      </c>
      <c r="AL32" s="24">
        <v>8.8</v>
      </c>
      <c r="AM32" s="24">
        <v>1</v>
      </c>
      <c r="AN32" s="15" t="s">
        <v>610</v>
      </c>
      <c r="AO32" s="1" t="s">
        <v>141</v>
      </c>
      <c r="AP32" s="1" t="s">
        <v>142</v>
      </c>
      <c r="AQ32" s="15" t="s">
        <v>611</v>
      </c>
      <c r="AR32" s="1" t="s">
        <v>612</v>
      </c>
      <c r="AS32" s="1" t="s">
        <v>145</v>
      </c>
      <c r="AT32" s="1" t="s">
        <v>145</v>
      </c>
      <c r="AU32" s="1" t="s">
        <v>145</v>
      </c>
      <c r="AV32" s="1" t="s">
        <v>145</v>
      </c>
      <c r="AW32" s="1" t="s">
        <v>146</v>
      </c>
      <c r="AX32" s="1" t="s">
        <v>146</v>
      </c>
      <c r="AY32" s="1" t="s">
        <v>145</v>
      </c>
      <c r="AZ32" s="1" t="s">
        <v>146</v>
      </c>
      <c r="BA32" s="15" t="s">
        <v>146</v>
      </c>
      <c r="BB32" s="23" t="s">
        <v>146</v>
      </c>
      <c r="BC32" s="23" t="s">
        <v>405</v>
      </c>
      <c r="BD32" s="23" t="s">
        <v>406</v>
      </c>
      <c r="BE32" s="23" t="s">
        <v>613</v>
      </c>
      <c r="BF32" s="1" t="s">
        <v>614</v>
      </c>
    </row>
    <row r="33" ht="24" customHeight="1" spans="1:58">
      <c r="A33" s="1" t="str">
        <f>_xlfn.DISPIMG("ID_4D5D3BBA8AA0473CAB19FE0C97B12527",1)</f>
        <v>=DISPIMG("ID_4D5D3BBA8AA0473CAB19FE0C97B12527",1)</v>
      </c>
      <c r="B33" s="15" t="s">
        <v>615</v>
      </c>
      <c r="C33" s="15" t="s">
        <v>146</v>
      </c>
      <c r="D33" s="15" t="s">
        <v>146</v>
      </c>
      <c r="E33" s="15" t="s">
        <v>41</v>
      </c>
      <c r="F33" s="15" t="s">
        <v>616</v>
      </c>
      <c r="G33" s="15" t="s">
        <v>617</v>
      </c>
      <c r="H33" s="15" t="s">
        <v>618</v>
      </c>
      <c r="I33" s="15" t="s">
        <v>619</v>
      </c>
      <c r="J33" s="15" t="s">
        <v>615</v>
      </c>
      <c r="K33" s="15" t="s">
        <v>135</v>
      </c>
      <c r="L33" s="15" t="s">
        <v>136</v>
      </c>
      <c r="M33" s="18">
        <v>18531</v>
      </c>
      <c r="N33" s="18">
        <v>-5877</v>
      </c>
      <c r="O33" s="19">
        <v>-0.4644</v>
      </c>
      <c r="P33" s="20" t="s">
        <v>568</v>
      </c>
      <c r="Q33" s="22" t="s">
        <v>620</v>
      </c>
      <c r="R33" s="18">
        <v>2546</v>
      </c>
      <c r="S33" s="19">
        <v>-0.4354</v>
      </c>
      <c r="T33" s="18">
        <v>71262.54</v>
      </c>
      <c r="U33" s="23" t="s">
        <v>384</v>
      </c>
      <c r="V33" s="18">
        <v>1399.5</v>
      </c>
      <c r="W33" s="24">
        <v>164</v>
      </c>
      <c r="X33" s="25">
        <v>27.99</v>
      </c>
      <c r="AA33" s="18">
        <v>83</v>
      </c>
      <c r="AB33" s="24">
        <v>10686</v>
      </c>
      <c r="AC33" s="18">
        <v>73</v>
      </c>
      <c r="AD33" s="28">
        <v>4.4</v>
      </c>
      <c r="AE33" s="29">
        <v>0.0287</v>
      </c>
      <c r="AF33" s="25">
        <v>4.94</v>
      </c>
      <c r="AG33" s="19">
        <v>0.6235</v>
      </c>
      <c r="AI33" s="1" t="s">
        <v>621</v>
      </c>
      <c r="AJ33" s="24">
        <v>1550</v>
      </c>
      <c r="AK33" s="1" t="s">
        <v>141</v>
      </c>
      <c r="AL33" s="24">
        <v>10</v>
      </c>
      <c r="AM33" s="24">
        <v>1</v>
      </c>
      <c r="AN33" s="15" t="s">
        <v>41</v>
      </c>
      <c r="AO33" s="1" t="s">
        <v>141</v>
      </c>
      <c r="AP33" s="1" t="s">
        <v>142</v>
      </c>
      <c r="AQ33" s="15" t="s">
        <v>622</v>
      </c>
      <c r="AR33" s="1" t="s">
        <v>623</v>
      </c>
      <c r="AS33" s="1" t="s">
        <v>146</v>
      </c>
      <c r="AT33" s="1" t="s">
        <v>145</v>
      </c>
      <c r="AU33" s="1" t="s">
        <v>146</v>
      </c>
      <c r="AV33" s="1" t="s">
        <v>145</v>
      </c>
      <c r="AW33" s="1" t="s">
        <v>145</v>
      </c>
      <c r="AX33" s="1" t="s">
        <v>146</v>
      </c>
      <c r="AY33" s="1" t="s">
        <v>146</v>
      </c>
      <c r="AZ33" s="1" t="s">
        <v>146</v>
      </c>
      <c r="BA33" s="15" t="s">
        <v>146</v>
      </c>
      <c r="BB33" s="23" t="s">
        <v>624</v>
      </c>
      <c r="BC33" s="23" t="s">
        <v>388</v>
      </c>
      <c r="BD33" s="23" t="s">
        <v>389</v>
      </c>
      <c r="BE33" s="23" t="s">
        <v>625</v>
      </c>
      <c r="BF33" s="1" t="s">
        <v>626</v>
      </c>
    </row>
    <row r="34" ht="24" customHeight="1" spans="1:58">
      <c r="A34" s="1" t="str">
        <f>_xlfn.DISPIMG("ID_E10306F172B44197B62ECB1F8F76EED1",1)</f>
        <v>=DISPIMG("ID_E10306F172B44197B62ECB1F8F76EED1",1)</v>
      </c>
      <c r="B34" s="15" t="s">
        <v>627</v>
      </c>
      <c r="C34" s="15" t="s">
        <v>263</v>
      </c>
      <c r="D34" s="15" t="s">
        <v>628</v>
      </c>
      <c r="E34" s="15" t="s">
        <v>15</v>
      </c>
      <c r="F34" s="15" t="s">
        <v>629</v>
      </c>
      <c r="G34" s="15" t="s">
        <v>630</v>
      </c>
      <c r="H34" s="15" t="s">
        <v>631</v>
      </c>
      <c r="I34" s="15" t="s">
        <v>632</v>
      </c>
      <c r="J34" s="15" t="s">
        <v>633</v>
      </c>
      <c r="K34" s="15" t="s">
        <v>135</v>
      </c>
      <c r="L34" s="15" t="s">
        <v>136</v>
      </c>
      <c r="M34" s="18">
        <v>14893</v>
      </c>
      <c r="N34" s="18">
        <v>32</v>
      </c>
      <c r="O34" s="19">
        <v>0.0027</v>
      </c>
      <c r="P34" s="20" t="s">
        <v>324</v>
      </c>
      <c r="Q34" s="22" t="s">
        <v>634</v>
      </c>
      <c r="R34" s="18">
        <v>2481</v>
      </c>
      <c r="S34" s="19">
        <v>0.0216</v>
      </c>
      <c r="T34" s="18">
        <v>69443.19</v>
      </c>
      <c r="U34" s="23" t="s">
        <v>309</v>
      </c>
      <c r="V34" s="18">
        <v>11196</v>
      </c>
      <c r="W34" s="24">
        <v>55</v>
      </c>
      <c r="X34" s="25">
        <v>27.99</v>
      </c>
      <c r="Y34" s="25">
        <v>19.59</v>
      </c>
      <c r="Z34" s="8"/>
      <c r="AB34" s="24">
        <v>265</v>
      </c>
      <c r="AC34" s="18">
        <v>39</v>
      </c>
      <c r="AD34" s="28">
        <v>4.3</v>
      </c>
      <c r="AE34" s="29">
        <v>0.0157</v>
      </c>
      <c r="AF34" s="25">
        <v>4.94</v>
      </c>
      <c r="AG34" s="19">
        <v>0.6235</v>
      </c>
      <c r="AI34" s="1" t="s">
        <v>635</v>
      </c>
      <c r="AJ34" s="24">
        <v>324</v>
      </c>
      <c r="AK34" s="1" t="s">
        <v>141</v>
      </c>
      <c r="AL34" s="24">
        <v>8.8</v>
      </c>
      <c r="AM34" s="24">
        <v>1</v>
      </c>
      <c r="AN34" s="15" t="s">
        <v>15</v>
      </c>
      <c r="AO34" s="1" t="s">
        <v>141</v>
      </c>
      <c r="AP34" s="1" t="s">
        <v>142</v>
      </c>
      <c r="AQ34" s="15" t="s">
        <v>636</v>
      </c>
      <c r="AR34" s="1" t="s">
        <v>637</v>
      </c>
      <c r="AS34" s="1" t="s">
        <v>146</v>
      </c>
      <c r="AT34" s="1" t="s">
        <v>146</v>
      </c>
      <c r="AU34" s="1" t="s">
        <v>146</v>
      </c>
      <c r="AV34" s="1" t="s">
        <v>145</v>
      </c>
      <c r="AW34" s="1" t="s">
        <v>146</v>
      </c>
      <c r="AX34" s="1" t="s">
        <v>146</v>
      </c>
      <c r="AY34" s="1" t="s">
        <v>146</v>
      </c>
      <c r="AZ34" s="1" t="s">
        <v>146</v>
      </c>
      <c r="BA34" s="15" t="s">
        <v>146</v>
      </c>
      <c r="BC34" s="23" t="s">
        <v>638</v>
      </c>
      <c r="BD34" s="23" t="s">
        <v>639</v>
      </c>
      <c r="BE34" s="23" t="s">
        <v>640</v>
      </c>
      <c r="BF34" s="1" t="s">
        <v>641</v>
      </c>
    </row>
    <row r="35" ht="24" customHeight="1" spans="1:58">
      <c r="A35" s="1" t="str">
        <f>_xlfn.DISPIMG("ID_34C509C67E2D4AC3BA325EBEA8BE367C",1)</f>
        <v>=DISPIMG("ID_34C509C67E2D4AC3BA325EBEA8BE367C",1)</v>
      </c>
      <c r="B35" s="15" t="s">
        <v>642</v>
      </c>
      <c r="C35" s="15" t="s">
        <v>643</v>
      </c>
      <c r="D35" s="15" t="s">
        <v>644</v>
      </c>
      <c r="E35" s="15" t="s">
        <v>67</v>
      </c>
      <c r="F35" s="15" t="s">
        <v>645</v>
      </c>
      <c r="G35" s="15" t="s">
        <v>646</v>
      </c>
      <c r="H35" s="15" t="s">
        <v>647</v>
      </c>
      <c r="I35" s="15" t="s">
        <v>648</v>
      </c>
      <c r="J35" s="15" t="s">
        <v>649</v>
      </c>
      <c r="K35" s="15" t="s">
        <v>135</v>
      </c>
      <c r="L35" s="15" t="s">
        <v>136</v>
      </c>
      <c r="M35" s="18">
        <v>9754</v>
      </c>
      <c r="N35" s="18">
        <v>4618</v>
      </c>
      <c r="O35" s="19">
        <v>0.3628</v>
      </c>
      <c r="P35" s="20" t="s">
        <v>200</v>
      </c>
      <c r="Q35" s="22" t="s">
        <v>620</v>
      </c>
      <c r="R35" s="18">
        <v>2468</v>
      </c>
      <c r="S35" s="19">
        <v>0.1617</v>
      </c>
      <c r="T35" s="18">
        <v>44399.32</v>
      </c>
      <c r="U35" s="23" t="s">
        <v>161</v>
      </c>
      <c r="V35" s="18">
        <v>1799</v>
      </c>
      <c r="W35" s="24">
        <v>55</v>
      </c>
      <c r="X35" s="25">
        <v>17.99</v>
      </c>
      <c r="Z35" s="8"/>
      <c r="AB35" s="24">
        <v>503</v>
      </c>
      <c r="AC35" s="18">
        <v>7</v>
      </c>
      <c r="AD35" s="28">
        <v>4.3</v>
      </c>
      <c r="AE35" s="29">
        <v>0.0028</v>
      </c>
      <c r="AF35" s="25">
        <v>4.94</v>
      </c>
      <c r="AG35" s="19">
        <v>0.5254</v>
      </c>
      <c r="AI35" s="1" t="s">
        <v>650</v>
      </c>
      <c r="AJ35" s="24">
        <v>570</v>
      </c>
      <c r="AK35" s="1" t="s">
        <v>141</v>
      </c>
      <c r="AL35" s="24">
        <v>9.8</v>
      </c>
      <c r="AM35" s="24">
        <v>2</v>
      </c>
      <c r="AN35" s="15" t="s">
        <v>651</v>
      </c>
      <c r="AO35" s="1" t="s">
        <v>141</v>
      </c>
      <c r="AP35" s="1" t="s">
        <v>142</v>
      </c>
      <c r="AQ35" s="15" t="s">
        <v>652</v>
      </c>
      <c r="AR35" s="1" t="s">
        <v>653</v>
      </c>
      <c r="AS35" s="1" t="s">
        <v>146</v>
      </c>
      <c r="AT35" s="1" t="s">
        <v>145</v>
      </c>
      <c r="AU35" s="1" t="s">
        <v>146</v>
      </c>
      <c r="AV35" s="1" t="s">
        <v>145</v>
      </c>
      <c r="AW35" s="1" t="s">
        <v>146</v>
      </c>
      <c r="AX35" s="1" t="s">
        <v>146</v>
      </c>
      <c r="AY35" s="1" t="s">
        <v>145</v>
      </c>
      <c r="AZ35" s="1" t="s">
        <v>146</v>
      </c>
      <c r="BA35" s="15" t="s">
        <v>146</v>
      </c>
      <c r="BB35" s="23" t="s">
        <v>654</v>
      </c>
      <c r="BC35" s="23" t="s">
        <v>655</v>
      </c>
      <c r="BD35" s="23" t="s">
        <v>656</v>
      </c>
      <c r="BE35" s="23" t="s">
        <v>657</v>
      </c>
      <c r="BF35" s="1" t="s">
        <v>658</v>
      </c>
    </row>
    <row r="36" ht="24" customHeight="1" spans="1:58">
      <c r="A36" s="1" t="str">
        <f>_xlfn.DISPIMG("ID_20EDB8D0F11E407593C611FE6FD871C3",1)</f>
        <v>=DISPIMG("ID_20EDB8D0F11E407593C611FE6FD871C3",1)</v>
      </c>
      <c r="B36" s="15" t="s">
        <v>659</v>
      </c>
      <c r="C36" s="15" t="s">
        <v>146</v>
      </c>
      <c r="D36" s="15" t="s">
        <v>146</v>
      </c>
      <c r="E36" s="15" t="s">
        <v>7</v>
      </c>
      <c r="F36" s="15" t="s">
        <v>174</v>
      </c>
      <c r="G36" s="15" t="s">
        <v>660</v>
      </c>
      <c r="H36" s="15" t="s">
        <v>661</v>
      </c>
      <c r="I36" s="15" t="s">
        <v>662</v>
      </c>
      <c r="J36" s="15" t="s">
        <v>659</v>
      </c>
      <c r="K36" s="15" t="s">
        <v>135</v>
      </c>
      <c r="L36" s="15" t="s">
        <v>136</v>
      </c>
      <c r="M36" s="18">
        <v>4343</v>
      </c>
      <c r="N36" s="18">
        <v>27546</v>
      </c>
      <c r="O36" s="19">
        <v>0.8672</v>
      </c>
      <c r="P36" s="20" t="s">
        <v>663</v>
      </c>
      <c r="Q36" s="22" t="s">
        <v>664</v>
      </c>
      <c r="R36" s="18">
        <v>2311</v>
      </c>
      <c r="S36" s="19">
        <v>-0.0998</v>
      </c>
      <c r="T36" s="18">
        <v>43654.79</v>
      </c>
      <c r="U36" s="23" t="s">
        <v>146</v>
      </c>
      <c r="V36" s="18" t="s">
        <v>146</v>
      </c>
      <c r="W36" s="24">
        <v>74</v>
      </c>
      <c r="X36" s="25">
        <v>18.89</v>
      </c>
      <c r="AA36" s="18">
        <v>50</v>
      </c>
      <c r="AB36" s="24">
        <v>2560</v>
      </c>
      <c r="AC36" s="18">
        <v>72</v>
      </c>
      <c r="AD36" s="28">
        <v>4.3</v>
      </c>
      <c r="AE36" s="29">
        <v>0.0312</v>
      </c>
      <c r="AF36" s="25">
        <v>4.94</v>
      </c>
      <c r="AG36" s="19">
        <v>0.5385</v>
      </c>
      <c r="AI36" s="1" t="s">
        <v>665</v>
      </c>
      <c r="AJ36" s="24">
        <v>148</v>
      </c>
      <c r="AK36" s="1" t="s">
        <v>141</v>
      </c>
      <c r="AL36" s="24">
        <v>10</v>
      </c>
      <c r="AM36" s="24">
        <v>1</v>
      </c>
      <c r="AN36" s="15" t="s">
        <v>184</v>
      </c>
      <c r="AO36" s="1" t="s">
        <v>141</v>
      </c>
      <c r="AP36" s="1" t="s">
        <v>142</v>
      </c>
      <c r="AQ36" s="15" t="s">
        <v>185</v>
      </c>
      <c r="AR36" s="1" t="s">
        <v>186</v>
      </c>
      <c r="AS36" s="1" t="s">
        <v>146</v>
      </c>
      <c r="AT36" s="1" t="s">
        <v>146</v>
      </c>
      <c r="AU36" s="1" t="s">
        <v>146</v>
      </c>
      <c r="AV36" s="1" t="s">
        <v>145</v>
      </c>
      <c r="AW36" s="1" t="s">
        <v>145</v>
      </c>
      <c r="AX36" s="1" t="s">
        <v>146</v>
      </c>
      <c r="AY36" s="1" t="s">
        <v>146</v>
      </c>
      <c r="AZ36" s="1" t="s">
        <v>146</v>
      </c>
      <c r="BA36" s="15" t="s">
        <v>146</v>
      </c>
      <c r="BC36" s="23" t="s">
        <v>666</v>
      </c>
      <c r="BD36" s="23" t="s">
        <v>667</v>
      </c>
      <c r="BE36" s="23" t="s">
        <v>190</v>
      </c>
      <c r="BF36" s="1" t="s">
        <v>191</v>
      </c>
    </row>
    <row r="37" ht="24" customHeight="1" spans="1:58">
      <c r="A37" s="1" t="str">
        <f>_xlfn.DISPIMG("ID_DF69A4389833403E87C7EB637D9152F7",1)</f>
        <v>=DISPIMG("ID_DF69A4389833403E87C7EB637D9152F7",1)</v>
      </c>
      <c r="B37" s="15" t="s">
        <v>668</v>
      </c>
      <c r="C37" s="15" t="s">
        <v>669</v>
      </c>
      <c r="D37" s="15" t="s">
        <v>670</v>
      </c>
      <c r="E37" s="15" t="s">
        <v>2</v>
      </c>
      <c r="F37" s="15" t="s">
        <v>671</v>
      </c>
      <c r="G37" s="15" t="s">
        <v>672</v>
      </c>
      <c r="H37" s="15" t="s">
        <v>673</v>
      </c>
      <c r="I37" s="15" t="s">
        <v>674</v>
      </c>
      <c r="J37" s="15" t="s">
        <v>675</v>
      </c>
      <c r="K37" s="15" t="s">
        <v>135</v>
      </c>
      <c r="L37" s="15" t="s">
        <v>136</v>
      </c>
      <c r="M37" s="18">
        <v>24576</v>
      </c>
      <c r="N37" s="18">
        <v>2448</v>
      </c>
      <c r="O37" s="19">
        <v>0.0951</v>
      </c>
      <c r="P37" s="20" t="s">
        <v>200</v>
      </c>
      <c r="Q37" s="22" t="s">
        <v>676</v>
      </c>
      <c r="R37" s="18">
        <v>2266</v>
      </c>
      <c r="S37" s="19">
        <v>-0.4997</v>
      </c>
      <c r="T37" s="18">
        <v>72512</v>
      </c>
      <c r="U37" s="23" t="s">
        <v>384</v>
      </c>
      <c r="V37" s="18">
        <v>1600</v>
      </c>
      <c r="W37" s="24">
        <v>47</v>
      </c>
      <c r="X37" s="25">
        <v>32</v>
      </c>
      <c r="Z37" s="8"/>
      <c r="AB37" s="24">
        <v>213</v>
      </c>
      <c r="AC37" s="18">
        <v>32</v>
      </c>
      <c r="AD37" s="28">
        <v>4.4</v>
      </c>
      <c r="AE37" s="29">
        <v>0.0141</v>
      </c>
      <c r="AF37" s="25">
        <v>5.46</v>
      </c>
      <c r="AG37" s="19">
        <v>0.6294</v>
      </c>
      <c r="AI37" s="1" t="s">
        <v>677</v>
      </c>
      <c r="AJ37" s="24">
        <v>250</v>
      </c>
      <c r="AK37" s="1" t="s">
        <v>141</v>
      </c>
      <c r="AL37" s="24">
        <v>9.6</v>
      </c>
      <c r="AM37" s="24">
        <v>1</v>
      </c>
      <c r="AN37" s="15" t="s">
        <v>2</v>
      </c>
      <c r="AO37" s="1" t="s">
        <v>141</v>
      </c>
      <c r="AP37" s="1" t="s">
        <v>142</v>
      </c>
      <c r="AQ37" s="15" t="s">
        <v>678</v>
      </c>
      <c r="AR37" s="1" t="s">
        <v>679</v>
      </c>
      <c r="AS37" s="1" t="s">
        <v>146</v>
      </c>
      <c r="AT37" s="1" t="s">
        <v>145</v>
      </c>
      <c r="AU37" s="1" t="s">
        <v>146</v>
      </c>
      <c r="AV37" s="1" t="s">
        <v>145</v>
      </c>
      <c r="AW37" s="1" t="s">
        <v>146</v>
      </c>
      <c r="AX37" s="1" t="s">
        <v>146</v>
      </c>
      <c r="AY37" s="1" t="s">
        <v>145</v>
      </c>
      <c r="AZ37" s="1" t="s">
        <v>146</v>
      </c>
      <c r="BA37" s="15" t="s">
        <v>146</v>
      </c>
      <c r="BB37" s="23" t="s">
        <v>146</v>
      </c>
      <c r="BC37" s="23" t="s">
        <v>680</v>
      </c>
      <c r="BD37" s="23" t="s">
        <v>681</v>
      </c>
      <c r="BF37" s="1" t="s">
        <v>146</v>
      </c>
    </row>
    <row r="38" ht="24" customHeight="1" spans="1:58">
      <c r="A38" s="1" t="str">
        <f>_xlfn.DISPIMG("ID_790A37BAB54D4217A53EE8DF5D030563",1)</f>
        <v>=DISPIMG("ID_790A37BAB54D4217A53EE8DF5D030563",1)</v>
      </c>
      <c r="B38" s="15" t="s">
        <v>682</v>
      </c>
      <c r="C38" s="15" t="s">
        <v>146</v>
      </c>
      <c r="D38" s="15" t="s">
        <v>146</v>
      </c>
      <c r="E38" s="15" t="s">
        <v>5</v>
      </c>
      <c r="F38" s="15" t="s">
        <v>683</v>
      </c>
      <c r="G38" s="15" t="s">
        <v>684</v>
      </c>
      <c r="H38" s="15" t="s">
        <v>685</v>
      </c>
      <c r="I38" s="15" t="s">
        <v>686</v>
      </c>
      <c r="J38" s="15" t="s">
        <v>682</v>
      </c>
      <c r="K38" s="15" t="s">
        <v>135</v>
      </c>
      <c r="L38" s="15" t="s">
        <v>136</v>
      </c>
      <c r="M38" s="18">
        <v>58953</v>
      </c>
      <c r="N38" s="18">
        <v>-38494</v>
      </c>
      <c r="O38" s="19">
        <v>-1.8815</v>
      </c>
      <c r="P38" s="20" t="s">
        <v>324</v>
      </c>
      <c r="Q38" s="22" t="s">
        <v>687</v>
      </c>
      <c r="R38" s="18">
        <v>2033</v>
      </c>
      <c r="S38" s="19">
        <v>0.6567</v>
      </c>
      <c r="T38" s="18">
        <v>40578.68</v>
      </c>
      <c r="U38" s="23" t="s">
        <v>309</v>
      </c>
      <c r="V38" s="18">
        <v>7984</v>
      </c>
      <c r="W38" s="24">
        <v>16</v>
      </c>
      <c r="X38" s="25">
        <v>19.96</v>
      </c>
      <c r="AB38" s="24">
        <v>17</v>
      </c>
      <c r="AC38" s="18">
        <v>5</v>
      </c>
      <c r="AD38" s="28">
        <v>4.3</v>
      </c>
      <c r="AE38" s="29">
        <v>0.0025</v>
      </c>
      <c r="AF38" s="25">
        <v>5</v>
      </c>
      <c r="AG38" s="19">
        <v>0.5495</v>
      </c>
      <c r="AI38" s="1" t="s">
        <v>688</v>
      </c>
      <c r="AJ38" s="24">
        <v>132</v>
      </c>
      <c r="AK38" s="1" t="s">
        <v>141</v>
      </c>
      <c r="AL38" s="24">
        <v>10</v>
      </c>
      <c r="AM38" s="24">
        <v>1</v>
      </c>
      <c r="AN38" s="15" t="s">
        <v>689</v>
      </c>
      <c r="AO38" s="1" t="s">
        <v>141</v>
      </c>
      <c r="AP38" s="1" t="s">
        <v>142</v>
      </c>
      <c r="AQ38" s="15" t="s">
        <v>690</v>
      </c>
      <c r="AR38" s="1" t="s">
        <v>691</v>
      </c>
      <c r="AS38" s="1" t="s">
        <v>146</v>
      </c>
      <c r="AT38" s="1" t="s">
        <v>146</v>
      </c>
      <c r="AU38" s="1" t="s">
        <v>145</v>
      </c>
      <c r="AV38" s="1" t="s">
        <v>145</v>
      </c>
      <c r="AW38" s="1" t="s">
        <v>146</v>
      </c>
      <c r="AX38" s="1" t="s">
        <v>146</v>
      </c>
      <c r="AY38" s="1" t="s">
        <v>146</v>
      </c>
      <c r="AZ38" s="1" t="s">
        <v>146</v>
      </c>
      <c r="BA38" s="15" t="s">
        <v>146</v>
      </c>
      <c r="BC38" s="23" t="s">
        <v>692</v>
      </c>
      <c r="BD38" s="23" t="s">
        <v>693</v>
      </c>
      <c r="BE38" s="23" t="s">
        <v>694</v>
      </c>
      <c r="BF38" s="1" t="s">
        <v>695</v>
      </c>
    </row>
    <row r="39" ht="24" customHeight="1" spans="1:58">
      <c r="A39" s="1" t="str">
        <f>_xlfn.DISPIMG("ID_64B86DBC7AFA42038DECB44816B558AB",1)</f>
        <v>=DISPIMG("ID_64B86DBC7AFA42038DECB44816B558AB",1)</v>
      </c>
      <c r="B39" s="15" t="s">
        <v>696</v>
      </c>
      <c r="C39" s="15" t="s">
        <v>128</v>
      </c>
      <c r="D39" s="15" t="s">
        <v>697</v>
      </c>
      <c r="E39" s="15" t="s">
        <v>57</v>
      </c>
      <c r="F39" s="15" t="s">
        <v>698</v>
      </c>
      <c r="G39" s="15" t="s">
        <v>699</v>
      </c>
      <c r="H39" s="15" t="s">
        <v>700</v>
      </c>
      <c r="I39" s="15" t="s">
        <v>701</v>
      </c>
      <c r="J39" s="15" t="s">
        <v>702</v>
      </c>
      <c r="K39" s="15" t="s">
        <v>135</v>
      </c>
      <c r="L39" s="15" t="s">
        <v>136</v>
      </c>
      <c r="M39" s="18">
        <v>18764</v>
      </c>
      <c r="N39" s="18">
        <v>1244</v>
      </c>
      <c r="O39" s="19">
        <v>0.0588</v>
      </c>
      <c r="P39" s="20" t="s">
        <v>159</v>
      </c>
      <c r="Q39" s="22" t="s">
        <v>703</v>
      </c>
      <c r="R39" s="18">
        <v>2030</v>
      </c>
      <c r="S39" s="19">
        <v>-0.6435</v>
      </c>
      <c r="T39" s="18">
        <v>36519.7</v>
      </c>
      <c r="U39" s="23" t="s">
        <v>202</v>
      </c>
      <c r="V39" s="18">
        <v>3598</v>
      </c>
      <c r="W39" s="24">
        <v>40</v>
      </c>
      <c r="X39" s="25">
        <v>17.99</v>
      </c>
      <c r="Y39" s="25">
        <v>14.99</v>
      </c>
      <c r="Z39" s="8"/>
      <c r="AB39" s="24">
        <v>300</v>
      </c>
      <c r="AC39" s="18">
        <v>50</v>
      </c>
      <c r="AD39" s="28">
        <v>4.3</v>
      </c>
      <c r="AE39" s="29">
        <v>0.0246</v>
      </c>
      <c r="AF39" s="25">
        <v>5.39</v>
      </c>
      <c r="AG39" s="19">
        <v>0.5004</v>
      </c>
      <c r="AI39" s="1" t="s">
        <v>704</v>
      </c>
      <c r="AJ39" s="24">
        <v>215</v>
      </c>
      <c r="AK39" s="1" t="s">
        <v>141</v>
      </c>
      <c r="AL39" s="24">
        <v>9</v>
      </c>
      <c r="AM39" s="24">
        <v>1</v>
      </c>
      <c r="AN39" s="15" t="s">
        <v>705</v>
      </c>
      <c r="AO39" s="1" t="s">
        <v>141</v>
      </c>
      <c r="AP39" s="1" t="s">
        <v>142</v>
      </c>
      <c r="AQ39" s="15" t="s">
        <v>706</v>
      </c>
      <c r="AR39" s="1" t="s">
        <v>707</v>
      </c>
      <c r="AS39" s="1" t="s">
        <v>146</v>
      </c>
      <c r="AT39" s="1" t="s">
        <v>145</v>
      </c>
      <c r="AU39" s="1" t="s">
        <v>145</v>
      </c>
      <c r="AV39" s="1" t="s">
        <v>145</v>
      </c>
      <c r="AW39" s="1" t="s">
        <v>145</v>
      </c>
      <c r="AX39" s="1" t="s">
        <v>146</v>
      </c>
      <c r="AY39" s="1" t="s">
        <v>145</v>
      </c>
      <c r="AZ39" s="1" t="s">
        <v>146</v>
      </c>
      <c r="BA39" s="15" t="s">
        <v>146</v>
      </c>
      <c r="BB39" s="23" t="s">
        <v>146</v>
      </c>
      <c r="BC39" s="23" t="s">
        <v>147</v>
      </c>
      <c r="BD39" s="23" t="s">
        <v>148</v>
      </c>
      <c r="BE39" s="23" t="s">
        <v>708</v>
      </c>
      <c r="BF39" s="1" t="s">
        <v>709</v>
      </c>
    </row>
    <row r="40" ht="24" customHeight="1" spans="1:58">
      <c r="A40" s="1" t="str">
        <f>_xlfn.DISPIMG("ID_0220033C4C23430BA77D6AE369C48C9D",1)</f>
        <v>=DISPIMG("ID_0220033C4C23430BA77D6AE369C48C9D",1)</v>
      </c>
      <c r="B40" s="15" t="s">
        <v>710</v>
      </c>
      <c r="C40" s="15" t="s">
        <v>550</v>
      </c>
      <c r="D40" s="15" t="s">
        <v>711</v>
      </c>
      <c r="E40" s="15" t="s">
        <v>10</v>
      </c>
      <c r="F40" s="15" t="s">
        <v>712</v>
      </c>
      <c r="G40" s="15" t="s">
        <v>713</v>
      </c>
      <c r="H40" s="15" t="s">
        <v>714</v>
      </c>
      <c r="I40" s="15" t="s">
        <v>715</v>
      </c>
      <c r="J40" s="15" t="s">
        <v>716</v>
      </c>
      <c r="K40" s="15" t="s">
        <v>135</v>
      </c>
      <c r="L40" s="15" t="s">
        <v>136</v>
      </c>
      <c r="M40" s="18">
        <v>14162</v>
      </c>
      <c r="N40" s="18">
        <v>1663</v>
      </c>
      <c r="O40" s="19">
        <v>0.1171</v>
      </c>
      <c r="P40" s="20" t="s">
        <v>200</v>
      </c>
      <c r="Q40" s="22" t="s">
        <v>717</v>
      </c>
      <c r="R40" s="18">
        <v>1890</v>
      </c>
      <c r="S40" s="19">
        <v>-0.1386</v>
      </c>
      <c r="T40" s="18">
        <v>34001.098</v>
      </c>
      <c r="U40" s="23" t="s">
        <v>384</v>
      </c>
      <c r="V40" s="18">
        <v>899.5</v>
      </c>
      <c r="W40" s="24">
        <v>188</v>
      </c>
      <c r="X40" s="25">
        <v>19.99</v>
      </c>
      <c r="Z40" s="8"/>
      <c r="AA40" s="18">
        <v>1</v>
      </c>
      <c r="AB40" s="24">
        <v>225</v>
      </c>
      <c r="AC40" s="18">
        <v>18</v>
      </c>
      <c r="AD40" s="28">
        <v>4</v>
      </c>
      <c r="AE40" s="29">
        <v>0.0095</v>
      </c>
      <c r="AG40" s="19">
        <v>0</v>
      </c>
      <c r="AI40" s="1" t="s">
        <v>718</v>
      </c>
      <c r="AJ40" s="24">
        <v>71</v>
      </c>
      <c r="AK40" s="1" t="s">
        <v>141</v>
      </c>
      <c r="AL40" s="24">
        <v>10</v>
      </c>
      <c r="AM40" s="24">
        <v>1</v>
      </c>
      <c r="AN40" s="15" t="s">
        <v>10</v>
      </c>
      <c r="AO40" s="1" t="s">
        <v>141</v>
      </c>
      <c r="AP40" s="1" t="s">
        <v>142</v>
      </c>
      <c r="AQ40" s="15" t="s">
        <v>719</v>
      </c>
      <c r="AR40" s="1" t="s">
        <v>720</v>
      </c>
      <c r="AS40" s="1" t="s">
        <v>146</v>
      </c>
      <c r="AT40" s="1" t="s">
        <v>146</v>
      </c>
      <c r="AU40" s="1" t="s">
        <v>145</v>
      </c>
      <c r="AV40" s="1" t="s">
        <v>145</v>
      </c>
      <c r="AW40" s="1" t="s">
        <v>146</v>
      </c>
      <c r="AX40" s="1" t="s">
        <v>146</v>
      </c>
      <c r="AY40" s="1" t="s">
        <v>145</v>
      </c>
      <c r="AZ40" s="1" t="s">
        <v>146</v>
      </c>
      <c r="BA40" s="15" t="s">
        <v>146</v>
      </c>
      <c r="BC40" s="23" t="s">
        <v>721</v>
      </c>
      <c r="BD40" s="23" t="s">
        <v>722</v>
      </c>
      <c r="BE40" s="23" t="s">
        <v>723</v>
      </c>
      <c r="BF40" s="1" t="s">
        <v>724</v>
      </c>
    </row>
    <row r="41" ht="24" customHeight="1" spans="1:58">
      <c r="A41" s="1" t="str">
        <f>_xlfn.DISPIMG("ID_08A0FDEFFBC14DA29D589BA1FD5622D4",1)</f>
        <v>=DISPIMG("ID_08A0FDEFFBC14DA29D589BA1FD5622D4",1)</v>
      </c>
      <c r="B41" s="15" t="s">
        <v>725</v>
      </c>
      <c r="C41" s="15" t="s">
        <v>726</v>
      </c>
      <c r="D41" s="15" t="s">
        <v>727</v>
      </c>
      <c r="E41" s="15" t="s">
        <v>14</v>
      </c>
      <c r="F41" s="15" t="s">
        <v>728</v>
      </c>
      <c r="G41" s="15" t="s">
        <v>729</v>
      </c>
      <c r="H41" s="15" t="s">
        <v>730</v>
      </c>
      <c r="I41" s="15" t="s">
        <v>731</v>
      </c>
      <c r="J41" s="15" t="s">
        <v>732</v>
      </c>
      <c r="K41" s="15" t="s">
        <v>135</v>
      </c>
      <c r="L41" s="15" t="s">
        <v>136</v>
      </c>
      <c r="M41" s="18">
        <v>21201</v>
      </c>
      <c r="N41" s="18">
        <v>-1708</v>
      </c>
      <c r="O41" s="19">
        <v>-0.1208</v>
      </c>
      <c r="P41" s="20" t="s">
        <v>324</v>
      </c>
      <c r="Q41" s="22" t="s">
        <v>733</v>
      </c>
      <c r="R41" s="18">
        <v>1880</v>
      </c>
      <c r="S41" s="19">
        <v>-0.3776</v>
      </c>
      <c r="T41" s="18">
        <v>31490</v>
      </c>
      <c r="U41" s="23" t="s">
        <v>384</v>
      </c>
      <c r="V41" s="18">
        <v>837.5</v>
      </c>
      <c r="W41" s="24">
        <v>111</v>
      </c>
      <c r="X41" s="25">
        <v>16.75</v>
      </c>
      <c r="Z41" s="8"/>
      <c r="AA41" s="18">
        <v>6</v>
      </c>
      <c r="AB41" s="24">
        <v>1212</v>
      </c>
      <c r="AC41" s="18">
        <v>5</v>
      </c>
      <c r="AD41" s="28">
        <v>3.8</v>
      </c>
      <c r="AE41" s="29">
        <v>0.0027</v>
      </c>
      <c r="AF41" s="25">
        <v>4.94</v>
      </c>
      <c r="AG41" s="19">
        <v>0.4803</v>
      </c>
      <c r="AI41" s="1" t="s">
        <v>734</v>
      </c>
      <c r="AJ41" s="24">
        <v>1449</v>
      </c>
      <c r="AK41" s="1" t="s">
        <v>141</v>
      </c>
      <c r="AL41" s="24">
        <v>9.2</v>
      </c>
      <c r="AM41" s="24">
        <v>2</v>
      </c>
      <c r="AN41" s="15" t="s">
        <v>735</v>
      </c>
      <c r="AO41" s="1" t="s">
        <v>141</v>
      </c>
      <c r="AP41" s="1" t="s">
        <v>164</v>
      </c>
      <c r="AQ41" s="15" t="s">
        <v>736</v>
      </c>
      <c r="AR41" s="1" t="s">
        <v>737</v>
      </c>
      <c r="AS41" s="1" t="s">
        <v>146</v>
      </c>
      <c r="AT41" s="1" t="s">
        <v>146</v>
      </c>
      <c r="AU41" s="1" t="s">
        <v>146</v>
      </c>
      <c r="AV41" s="1" t="s">
        <v>145</v>
      </c>
      <c r="AW41" s="1" t="s">
        <v>145</v>
      </c>
      <c r="AX41" s="1" t="s">
        <v>146</v>
      </c>
      <c r="AY41" s="1" t="s">
        <v>145</v>
      </c>
      <c r="AZ41" s="1" t="s">
        <v>146</v>
      </c>
      <c r="BA41" s="15" t="s">
        <v>146</v>
      </c>
      <c r="BC41" s="23" t="s">
        <v>388</v>
      </c>
      <c r="BD41" s="23" t="s">
        <v>389</v>
      </c>
      <c r="BE41" s="23" t="s">
        <v>738</v>
      </c>
      <c r="BF41" s="1" t="s">
        <v>739</v>
      </c>
    </row>
    <row r="42" ht="24" customHeight="1" spans="1:58">
      <c r="A42" s="1" t="str">
        <f>_xlfn.DISPIMG("ID_E6AE45DFC3964EA390C2F90723B076E8",1)</f>
        <v>=DISPIMG("ID_E6AE45DFC3964EA390C2F90723B076E8",1)</v>
      </c>
      <c r="B42" s="15" t="s">
        <v>740</v>
      </c>
      <c r="C42" s="15" t="s">
        <v>741</v>
      </c>
      <c r="D42" s="15" t="s">
        <v>742</v>
      </c>
      <c r="E42" s="15" t="s">
        <v>2</v>
      </c>
      <c r="F42" s="15" t="s">
        <v>671</v>
      </c>
      <c r="G42" s="15" t="s">
        <v>743</v>
      </c>
      <c r="H42" s="15" t="s">
        <v>744</v>
      </c>
      <c r="I42" s="15" t="s">
        <v>745</v>
      </c>
      <c r="J42" s="15" t="s">
        <v>746</v>
      </c>
      <c r="K42" s="15" t="s">
        <v>135</v>
      </c>
      <c r="L42" s="15" t="s">
        <v>136</v>
      </c>
      <c r="M42" s="18">
        <v>17923</v>
      </c>
      <c r="N42" s="18">
        <v>237</v>
      </c>
      <c r="O42" s="19">
        <v>0.015</v>
      </c>
      <c r="P42" s="20" t="s">
        <v>324</v>
      </c>
      <c r="Q42" s="22" t="s">
        <v>747</v>
      </c>
      <c r="R42" s="18">
        <v>1847</v>
      </c>
      <c r="S42" s="19">
        <v>0.2504</v>
      </c>
      <c r="T42" s="18">
        <v>64645</v>
      </c>
      <c r="U42" s="23" t="s">
        <v>384</v>
      </c>
      <c r="V42" s="18">
        <v>1750</v>
      </c>
      <c r="W42" s="24">
        <v>73</v>
      </c>
      <c r="X42" s="25">
        <v>35</v>
      </c>
      <c r="Z42" s="8"/>
      <c r="AA42" s="18">
        <v>13</v>
      </c>
      <c r="AB42" s="24">
        <v>347</v>
      </c>
      <c r="AC42" s="18">
        <v>18</v>
      </c>
      <c r="AD42" s="28">
        <v>4.5</v>
      </c>
      <c r="AE42" s="29">
        <v>0.0097</v>
      </c>
      <c r="AF42" s="25">
        <v>6.27</v>
      </c>
      <c r="AG42" s="19">
        <v>0.6209</v>
      </c>
      <c r="AI42" s="1" t="s">
        <v>748</v>
      </c>
      <c r="AJ42" s="24">
        <v>742</v>
      </c>
      <c r="AK42" s="1" t="s">
        <v>141</v>
      </c>
      <c r="AL42" s="24">
        <v>9.8</v>
      </c>
      <c r="AM42" s="24">
        <v>1</v>
      </c>
      <c r="AN42" s="15" t="s">
        <v>2</v>
      </c>
      <c r="AO42" s="1" t="s">
        <v>141</v>
      </c>
      <c r="AP42" s="1" t="s">
        <v>142</v>
      </c>
      <c r="AQ42" s="15" t="s">
        <v>678</v>
      </c>
      <c r="AR42" s="1" t="s">
        <v>679</v>
      </c>
      <c r="AS42" s="1" t="s">
        <v>146</v>
      </c>
      <c r="AT42" s="1" t="s">
        <v>145</v>
      </c>
      <c r="AU42" s="1" t="s">
        <v>145</v>
      </c>
      <c r="AV42" s="1" t="s">
        <v>145</v>
      </c>
      <c r="AW42" s="1" t="s">
        <v>146</v>
      </c>
      <c r="AX42" s="1" t="s">
        <v>146</v>
      </c>
      <c r="AY42" s="1" t="s">
        <v>145</v>
      </c>
      <c r="AZ42" s="1" t="s">
        <v>146</v>
      </c>
      <c r="BA42" s="15" t="s">
        <v>146</v>
      </c>
      <c r="BB42" s="23" t="s">
        <v>146</v>
      </c>
      <c r="BC42" s="23" t="s">
        <v>749</v>
      </c>
      <c r="BD42" s="23" t="s">
        <v>750</v>
      </c>
      <c r="BE42" s="23" t="s">
        <v>751</v>
      </c>
      <c r="BF42" s="1" t="s">
        <v>752</v>
      </c>
    </row>
    <row r="43" ht="24" customHeight="1" spans="1:58">
      <c r="A43" s="1" t="str">
        <f>_xlfn.DISPIMG("ID_04FFE33BA5EB4026910DBF85501BCADF",1)</f>
        <v>=DISPIMG("ID_04FFE33BA5EB4026910DBF85501BCADF",1)</v>
      </c>
      <c r="B43" s="15" t="s">
        <v>753</v>
      </c>
      <c r="C43" s="15" t="s">
        <v>754</v>
      </c>
      <c r="D43" s="15" t="s">
        <v>755</v>
      </c>
      <c r="E43" s="15" t="s">
        <v>59</v>
      </c>
      <c r="F43" s="15" t="s">
        <v>756</v>
      </c>
      <c r="G43" s="15" t="s">
        <v>757</v>
      </c>
      <c r="H43" s="15" t="s">
        <v>758</v>
      </c>
      <c r="I43" s="15" t="s">
        <v>759</v>
      </c>
      <c r="J43" s="15" t="s">
        <v>760</v>
      </c>
      <c r="K43" s="15" t="s">
        <v>135</v>
      </c>
      <c r="L43" s="15" t="s">
        <v>136</v>
      </c>
      <c r="M43" s="18">
        <v>12316</v>
      </c>
      <c r="N43" s="18">
        <v>8094</v>
      </c>
      <c r="O43" s="19">
        <v>0.474</v>
      </c>
      <c r="P43" s="20" t="s">
        <v>324</v>
      </c>
      <c r="Q43" s="22" t="s">
        <v>761</v>
      </c>
      <c r="R43" s="18">
        <v>1791</v>
      </c>
      <c r="S43" s="19">
        <v>0.1477</v>
      </c>
      <c r="T43" s="18">
        <v>46548.09</v>
      </c>
      <c r="U43" s="23" t="s">
        <v>161</v>
      </c>
      <c r="V43" s="18">
        <v>2599</v>
      </c>
      <c r="W43" s="24">
        <v>40</v>
      </c>
      <c r="X43" s="25">
        <v>25.99</v>
      </c>
      <c r="Z43" s="8"/>
      <c r="AB43" s="24">
        <v>33</v>
      </c>
      <c r="AC43" s="18">
        <v>7</v>
      </c>
      <c r="AD43" s="28">
        <v>4.5</v>
      </c>
      <c r="AE43" s="29">
        <v>0.0039</v>
      </c>
      <c r="AF43" s="25">
        <v>5.46</v>
      </c>
      <c r="AG43" s="19">
        <v>0.5899</v>
      </c>
      <c r="AI43" s="1" t="s">
        <v>762</v>
      </c>
      <c r="AJ43" s="24">
        <v>170</v>
      </c>
      <c r="AK43" s="1" t="s">
        <v>141</v>
      </c>
      <c r="AL43" s="24">
        <v>9.8</v>
      </c>
      <c r="AM43" s="24">
        <v>1</v>
      </c>
      <c r="AN43" s="15" t="s">
        <v>763</v>
      </c>
      <c r="AO43" s="1" t="s">
        <v>141</v>
      </c>
      <c r="AP43" s="1" t="s">
        <v>142</v>
      </c>
      <c r="AQ43" s="15" t="s">
        <v>764</v>
      </c>
      <c r="AR43" s="1" t="s">
        <v>765</v>
      </c>
      <c r="AS43" s="1" t="s">
        <v>146</v>
      </c>
      <c r="AT43" s="1" t="s">
        <v>145</v>
      </c>
      <c r="AU43" s="1" t="s">
        <v>146</v>
      </c>
      <c r="AV43" s="1" t="s">
        <v>145</v>
      </c>
      <c r="AW43" s="1" t="s">
        <v>146</v>
      </c>
      <c r="AX43" s="1" t="s">
        <v>146</v>
      </c>
      <c r="AY43" s="1" t="s">
        <v>145</v>
      </c>
      <c r="AZ43" s="1" t="s">
        <v>146</v>
      </c>
      <c r="BA43" s="15" t="s">
        <v>146</v>
      </c>
      <c r="BB43" s="23" t="s">
        <v>146</v>
      </c>
      <c r="BD43" s="23" t="s">
        <v>146</v>
      </c>
      <c r="BF43" s="1" t="s">
        <v>146</v>
      </c>
    </row>
    <row r="44" ht="24" customHeight="1" spans="1:58">
      <c r="A44" s="1" t="str">
        <f>_xlfn.DISPIMG("ID_75FD6E31479B446393EDA7AC2AF0B864",1)</f>
        <v>=DISPIMG("ID_75FD6E31479B446393EDA7AC2AF0B864",1)</v>
      </c>
      <c r="B44" s="15" t="s">
        <v>766</v>
      </c>
      <c r="C44" s="15" t="s">
        <v>146</v>
      </c>
      <c r="D44" s="15" t="s">
        <v>146</v>
      </c>
      <c r="E44" s="15" t="s">
        <v>36</v>
      </c>
      <c r="F44" s="15" t="s">
        <v>767</v>
      </c>
      <c r="G44" s="15" t="s">
        <v>768</v>
      </c>
      <c r="H44" s="15" t="s">
        <v>769</v>
      </c>
      <c r="I44" s="15" t="s">
        <v>770</v>
      </c>
      <c r="J44" s="15" t="s">
        <v>766</v>
      </c>
      <c r="K44" s="15" t="s">
        <v>771</v>
      </c>
      <c r="L44" s="15" t="s">
        <v>136</v>
      </c>
      <c r="M44" s="18">
        <v>13705</v>
      </c>
      <c r="N44" s="18">
        <v>-600</v>
      </c>
      <c r="O44" s="19">
        <v>-0.0458</v>
      </c>
      <c r="P44" s="20" t="s">
        <v>772</v>
      </c>
      <c r="Q44" s="22" t="s">
        <v>773</v>
      </c>
      <c r="R44" s="18">
        <v>1756</v>
      </c>
      <c r="S44" s="19">
        <v>0.0473</v>
      </c>
      <c r="T44" s="18">
        <v>26322.44</v>
      </c>
      <c r="U44" s="23" t="s">
        <v>384</v>
      </c>
      <c r="V44" s="18">
        <v>749.5</v>
      </c>
      <c r="W44" s="24">
        <v>90</v>
      </c>
      <c r="X44" s="25">
        <v>14.99</v>
      </c>
      <c r="AB44" s="24">
        <v>47</v>
      </c>
      <c r="AC44" s="18">
        <v>10</v>
      </c>
      <c r="AD44" s="28">
        <v>4.6</v>
      </c>
      <c r="AE44" s="29">
        <v>0.0057</v>
      </c>
      <c r="AF44" s="25">
        <v>6.19</v>
      </c>
      <c r="AG44" s="19">
        <v>0.3871</v>
      </c>
      <c r="AI44" s="1" t="s">
        <v>774</v>
      </c>
      <c r="AJ44" s="24">
        <v>272</v>
      </c>
      <c r="AK44" s="1" t="s">
        <v>141</v>
      </c>
      <c r="AL44" s="24">
        <v>9.6</v>
      </c>
      <c r="AM44" s="24">
        <v>1</v>
      </c>
      <c r="AN44" s="15" t="s">
        <v>775</v>
      </c>
      <c r="AO44" s="1" t="s">
        <v>141</v>
      </c>
      <c r="AP44" s="1" t="s">
        <v>142</v>
      </c>
      <c r="AQ44" s="15" t="s">
        <v>776</v>
      </c>
      <c r="AR44" s="1" t="s">
        <v>777</v>
      </c>
      <c r="AS44" s="1" t="s">
        <v>146</v>
      </c>
      <c r="AT44" s="1" t="s">
        <v>146</v>
      </c>
      <c r="AU44" s="1" t="s">
        <v>146</v>
      </c>
      <c r="AV44" s="1" t="s">
        <v>145</v>
      </c>
      <c r="AW44" s="1" t="s">
        <v>145</v>
      </c>
      <c r="AX44" s="1" t="s">
        <v>146</v>
      </c>
      <c r="AY44" s="1" t="s">
        <v>146</v>
      </c>
      <c r="AZ44" s="1" t="s">
        <v>146</v>
      </c>
      <c r="BA44" s="15" t="s">
        <v>146</v>
      </c>
      <c r="BD44" s="23" t="s">
        <v>146</v>
      </c>
      <c r="BF44" s="1" t="s">
        <v>146</v>
      </c>
    </row>
    <row r="45" ht="24" customHeight="1" spans="1:58">
      <c r="A45" s="1" t="str">
        <f>_xlfn.DISPIMG("ID_F46D50B82DBF4E4DBCEDCEB54E670F90",1)</f>
        <v>=DISPIMG("ID_F46D50B82DBF4E4DBCEDCEB54E670F90",1)</v>
      </c>
      <c r="B45" s="15" t="s">
        <v>778</v>
      </c>
      <c r="C45" s="15" t="s">
        <v>550</v>
      </c>
      <c r="D45" s="15" t="s">
        <v>779</v>
      </c>
      <c r="E45" s="15" t="s">
        <v>25</v>
      </c>
      <c r="F45" s="15" t="s">
        <v>780</v>
      </c>
      <c r="G45" s="15" t="s">
        <v>781</v>
      </c>
      <c r="H45" s="15" t="s">
        <v>782</v>
      </c>
      <c r="I45" s="15" t="s">
        <v>783</v>
      </c>
      <c r="J45" s="15" t="s">
        <v>784</v>
      </c>
      <c r="K45" s="15" t="s">
        <v>135</v>
      </c>
      <c r="L45" s="15" t="s">
        <v>136</v>
      </c>
      <c r="M45" s="18">
        <v>28735</v>
      </c>
      <c r="N45" s="18">
        <v>-17075</v>
      </c>
      <c r="O45" s="19">
        <v>-1.5596</v>
      </c>
      <c r="P45" s="20" t="s">
        <v>284</v>
      </c>
      <c r="Q45" s="22" t="s">
        <v>785</v>
      </c>
      <c r="R45" s="18">
        <v>1693</v>
      </c>
      <c r="S45" s="19">
        <v>-0.0051</v>
      </c>
      <c r="T45" s="18">
        <v>42308.07</v>
      </c>
      <c r="U45" s="23" t="s">
        <v>161</v>
      </c>
      <c r="V45" s="18">
        <v>2499</v>
      </c>
      <c r="W45" s="24">
        <v>32</v>
      </c>
      <c r="X45" s="25">
        <v>24.99</v>
      </c>
      <c r="Z45" s="8"/>
      <c r="AA45" s="18">
        <v>14</v>
      </c>
      <c r="AB45" s="24">
        <v>2560</v>
      </c>
      <c r="AC45" s="18">
        <v>4</v>
      </c>
      <c r="AD45" s="28">
        <v>4.2</v>
      </c>
      <c r="AE45" s="29">
        <v>0.0024</v>
      </c>
      <c r="AF45" s="25">
        <v>6.19</v>
      </c>
      <c r="AG45" s="19">
        <v>0.5523</v>
      </c>
      <c r="AI45" s="1" t="s">
        <v>786</v>
      </c>
      <c r="AJ45" s="24">
        <v>2148</v>
      </c>
      <c r="AK45" s="1" t="s">
        <v>141</v>
      </c>
      <c r="AL45" s="24">
        <v>9.5</v>
      </c>
      <c r="AM45" s="24">
        <v>2</v>
      </c>
      <c r="AN45" s="15" t="s">
        <v>25</v>
      </c>
      <c r="AO45" s="1" t="s">
        <v>141</v>
      </c>
      <c r="AP45" s="1" t="s">
        <v>142</v>
      </c>
      <c r="AQ45" s="15" t="s">
        <v>787</v>
      </c>
      <c r="AR45" s="1" t="s">
        <v>788</v>
      </c>
      <c r="AS45" s="1" t="s">
        <v>145</v>
      </c>
      <c r="AT45" s="1" t="s">
        <v>145</v>
      </c>
      <c r="AU45" s="1" t="s">
        <v>146</v>
      </c>
      <c r="AV45" s="1" t="s">
        <v>145</v>
      </c>
      <c r="AW45" s="1" t="s">
        <v>145</v>
      </c>
      <c r="AX45" s="1" t="s">
        <v>146</v>
      </c>
      <c r="AY45" s="1" t="s">
        <v>145</v>
      </c>
      <c r="AZ45" s="1" t="s">
        <v>146</v>
      </c>
      <c r="BA45" s="15" t="s">
        <v>146</v>
      </c>
      <c r="BB45" s="23" t="s">
        <v>789</v>
      </c>
      <c r="BC45" s="23" t="s">
        <v>790</v>
      </c>
      <c r="BD45" s="23" t="s">
        <v>791</v>
      </c>
      <c r="BE45" s="23" t="s">
        <v>792</v>
      </c>
      <c r="BF45" s="1" t="s">
        <v>793</v>
      </c>
    </row>
    <row r="46" ht="24" customHeight="1" spans="1:58">
      <c r="A46" s="1" t="str">
        <f>_xlfn.DISPIMG("ID_FBCD735EE89E4EEA8E9751F906684320",1)</f>
        <v>=DISPIMG("ID_FBCD735EE89E4EEA8E9751F906684320",1)</v>
      </c>
      <c r="B46" s="15" t="s">
        <v>794</v>
      </c>
      <c r="C46" s="15" t="s">
        <v>128</v>
      </c>
      <c r="D46" s="15" t="s">
        <v>795</v>
      </c>
      <c r="E46" s="15" t="s">
        <v>17</v>
      </c>
      <c r="F46" s="15" t="s">
        <v>796</v>
      </c>
      <c r="G46" s="15" t="s">
        <v>797</v>
      </c>
      <c r="H46" s="15" t="s">
        <v>798</v>
      </c>
      <c r="I46" s="15" t="s">
        <v>799</v>
      </c>
      <c r="J46" s="15" t="s">
        <v>800</v>
      </c>
      <c r="K46" s="15" t="s">
        <v>135</v>
      </c>
      <c r="L46" s="15" t="s">
        <v>136</v>
      </c>
      <c r="M46" s="18">
        <v>9699</v>
      </c>
      <c r="N46" s="18">
        <v>23256</v>
      </c>
      <c r="O46" s="19">
        <v>0.6705</v>
      </c>
      <c r="P46" s="20" t="s">
        <v>200</v>
      </c>
      <c r="Q46" s="22" t="s">
        <v>801</v>
      </c>
      <c r="R46" s="18">
        <v>1609</v>
      </c>
      <c r="S46" s="19">
        <v>-0.5321</v>
      </c>
      <c r="T46" s="18">
        <v>24118.91</v>
      </c>
      <c r="U46" s="23" t="s">
        <v>256</v>
      </c>
      <c r="V46" s="18">
        <v>2998</v>
      </c>
      <c r="W46" s="24">
        <v>40</v>
      </c>
      <c r="X46" s="25">
        <v>14.99</v>
      </c>
      <c r="Z46" s="8"/>
      <c r="AA46" s="18">
        <v>5</v>
      </c>
      <c r="AB46" s="24">
        <v>353</v>
      </c>
      <c r="AC46" s="18">
        <v>31</v>
      </c>
      <c r="AD46" s="28">
        <v>4.4</v>
      </c>
      <c r="AE46" s="29">
        <v>0.0193</v>
      </c>
      <c r="AF46" s="25">
        <v>5</v>
      </c>
      <c r="AG46" s="19">
        <v>0.4664</v>
      </c>
      <c r="AI46" s="1" t="s">
        <v>802</v>
      </c>
      <c r="AJ46" s="24">
        <v>531</v>
      </c>
      <c r="AK46" s="1" t="s">
        <v>141</v>
      </c>
      <c r="AL46" s="24">
        <v>10</v>
      </c>
      <c r="AM46" s="24">
        <v>1</v>
      </c>
      <c r="AN46" s="15" t="s">
        <v>17</v>
      </c>
      <c r="AO46" s="1" t="s">
        <v>141</v>
      </c>
      <c r="AP46" s="1" t="s">
        <v>142</v>
      </c>
      <c r="AQ46" s="15" t="s">
        <v>803</v>
      </c>
      <c r="AR46" s="1" t="s">
        <v>804</v>
      </c>
      <c r="AS46" s="1" t="s">
        <v>146</v>
      </c>
      <c r="AT46" s="1" t="s">
        <v>145</v>
      </c>
      <c r="AU46" s="1" t="s">
        <v>145</v>
      </c>
      <c r="AV46" s="1" t="s">
        <v>145</v>
      </c>
      <c r="AW46" s="1" t="s">
        <v>146</v>
      </c>
      <c r="AX46" s="1" t="s">
        <v>146</v>
      </c>
      <c r="AY46" s="1" t="s">
        <v>145</v>
      </c>
      <c r="AZ46" s="1" t="s">
        <v>146</v>
      </c>
      <c r="BA46" s="15" t="s">
        <v>145</v>
      </c>
      <c r="BB46" s="23" t="s">
        <v>146</v>
      </c>
      <c r="BC46" s="23" t="s">
        <v>805</v>
      </c>
      <c r="BD46" s="23" t="s">
        <v>722</v>
      </c>
      <c r="BE46" s="23" t="s">
        <v>806</v>
      </c>
      <c r="BF46" s="1" t="s">
        <v>807</v>
      </c>
    </row>
    <row r="47" ht="24" customHeight="1" spans="1:58">
      <c r="A47" s="1" t="str">
        <f>_xlfn.DISPIMG("ID_F205F87D38994F6DA5D2AFD75A0EE2BC",1)</f>
        <v>=DISPIMG("ID_F205F87D38994F6DA5D2AFD75A0EE2BC",1)</v>
      </c>
      <c r="B47" s="15" t="s">
        <v>808</v>
      </c>
      <c r="C47" s="15" t="s">
        <v>809</v>
      </c>
      <c r="D47" s="15" t="s">
        <v>810</v>
      </c>
      <c r="E47" s="15" t="s">
        <v>9</v>
      </c>
      <c r="F47" s="15" t="s">
        <v>811</v>
      </c>
      <c r="G47" s="15" t="s">
        <v>812</v>
      </c>
      <c r="H47" s="15" t="s">
        <v>813</v>
      </c>
      <c r="I47" s="15" t="s">
        <v>814</v>
      </c>
      <c r="J47" s="15" t="s">
        <v>815</v>
      </c>
      <c r="K47" s="15" t="s">
        <v>135</v>
      </c>
      <c r="L47" s="15" t="s">
        <v>136</v>
      </c>
      <c r="M47" s="18">
        <v>26648</v>
      </c>
      <c r="N47" s="18">
        <v>2058</v>
      </c>
      <c r="O47" s="19">
        <v>0.0818</v>
      </c>
      <c r="P47" s="20" t="s">
        <v>324</v>
      </c>
      <c r="Q47" s="22" t="s">
        <v>816</v>
      </c>
      <c r="R47" s="18">
        <v>1599</v>
      </c>
      <c r="S47" s="19">
        <v>0.3672</v>
      </c>
      <c r="T47" s="18">
        <v>59115.03</v>
      </c>
      <c r="U47" s="23" t="s">
        <v>161</v>
      </c>
      <c r="V47" s="18">
        <v>3697</v>
      </c>
      <c r="W47" s="24">
        <v>135</v>
      </c>
      <c r="X47" s="25">
        <v>36.97</v>
      </c>
      <c r="Z47" s="8"/>
      <c r="AA47" s="18">
        <v>66</v>
      </c>
      <c r="AB47" s="24">
        <v>3955</v>
      </c>
      <c r="AC47" s="18">
        <v>20</v>
      </c>
      <c r="AD47" s="28">
        <v>4.4</v>
      </c>
      <c r="AE47" s="29">
        <v>0.0125</v>
      </c>
      <c r="AF47" s="25">
        <v>4.94</v>
      </c>
      <c r="AG47" s="19">
        <v>0.6615</v>
      </c>
      <c r="AI47" s="1" t="s">
        <v>817</v>
      </c>
      <c r="AJ47" s="24">
        <v>1803</v>
      </c>
      <c r="AK47" s="1" t="s">
        <v>141</v>
      </c>
      <c r="AL47" s="24">
        <v>9.9</v>
      </c>
      <c r="AM47" s="24">
        <v>1</v>
      </c>
      <c r="AN47" s="15" t="s">
        <v>818</v>
      </c>
      <c r="AO47" s="1" t="s">
        <v>141</v>
      </c>
      <c r="AP47" s="1" t="s">
        <v>142</v>
      </c>
      <c r="AQ47" s="15" t="s">
        <v>819</v>
      </c>
      <c r="AR47" s="1" t="s">
        <v>820</v>
      </c>
      <c r="AS47" s="1" t="s">
        <v>146</v>
      </c>
      <c r="AT47" s="1" t="s">
        <v>145</v>
      </c>
      <c r="AU47" s="1" t="s">
        <v>146</v>
      </c>
      <c r="AV47" s="1" t="s">
        <v>145</v>
      </c>
      <c r="AW47" s="1" t="s">
        <v>145</v>
      </c>
      <c r="AX47" s="1" t="s">
        <v>146</v>
      </c>
      <c r="AY47" s="1" t="s">
        <v>145</v>
      </c>
      <c r="AZ47" s="1" t="s">
        <v>146</v>
      </c>
      <c r="BA47" s="15" t="s">
        <v>146</v>
      </c>
      <c r="BB47" s="23" t="s">
        <v>146</v>
      </c>
      <c r="BC47" s="23" t="s">
        <v>821</v>
      </c>
      <c r="BD47" s="23" t="s">
        <v>822</v>
      </c>
      <c r="BE47" s="23" t="s">
        <v>823</v>
      </c>
      <c r="BF47" s="1" t="s">
        <v>824</v>
      </c>
    </row>
    <row r="48" ht="24" customHeight="1" spans="1:58">
      <c r="A48" s="1" t="str">
        <f>_xlfn.DISPIMG("ID_DBE6C953B7974F3B866E2ACEB717B31F",1)</f>
        <v>=DISPIMG("ID_DBE6C953B7974F3B866E2ACEB717B31F",1)</v>
      </c>
      <c r="B48" s="15" t="s">
        <v>825</v>
      </c>
      <c r="C48" s="15" t="s">
        <v>826</v>
      </c>
      <c r="D48" s="15" t="s">
        <v>827</v>
      </c>
      <c r="E48" s="15" t="s">
        <v>54</v>
      </c>
      <c r="F48" s="15" t="s">
        <v>828</v>
      </c>
      <c r="G48" s="15" t="s">
        <v>829</v>
      </c>
      <c r="H48" s="15" t="s">
        <v>830</v>
      </c>
      <c r="I48" s="15" t="s">
        <v>831</v>
      </c>
      <c r="J48" s="15" t="s">
        <v>832</v>
      </c>
      <c r="K48" s="15" t="s">
        <v>135</v>
      </c>
      <c r="L48" s="15" t="s">
        <v>136</v>
      </c>
      <c r="M48" s="18">
        <v>14600</v>
      </c>
      <c r="N48" s="18">
        <v>-1210</v>
      </c>
      <c r="O48" s="19">
        <v>-0.0995</v>
      </c>
      <c r="P48" s="20" t="s">
        <v>200</v>
      </c>
      <c r="Q48" s="22" t="s">
        <v>833</v>
      </c>
      <c r="R48" s="18">
        <v>1577</v>
      </c>
      <c r="S48" s="19">
        <v>0.0346</v>
      </c>
      <c r="T48" s="18">
        <v>18908.23</v>
      </c>
      <c r="U48" s="23" t="s">
        <v>384</v>
      </c>
      <c r="V48" s="18" t="s">
        <v>146</v>
      </c>
      <c r="W48" s="24">
        <v>59</v>
      </c>
      <c r="X48" s="25">
        <v>11.99</v>
      </c>
      <c r="Z48" s="8"/>
      <c r="AA48" s="18">
        <v>23</v>
      </c>
      <c r="AB48" s="24">
        <v>3386</v>
      </c>
      <c r="AC48" s="18">
        <v>6</v>
      </c>
      <c r="AD48" s="28">
        <v>4.2</v>
      </c>
      <c r="AE48" s="29">
        <v>0.0038</v>
      </c>
      <c r="AF48" s="25">
        <v>6.19</v>
      </c>
      <c r="AG48" s="19">
        <v>0.2837</v>
      </c>
      <c r="AI48" s="1" t="s">
        <v>834</v>
      </c>
      <c r="AJ48" s="24">
        <v>3110</v>
      </c>
      <c r="AK48" s="1" t="s">
        <v>141</v>
      </c>
      <c r="AL48" s="24">
        <v>9.3</v>
      </c>
      <c r="AM48" s="24">
        <v>1</v>
      </c>
      <c r="AN48" s="15" t="s">
        <v>835</v>
      </c>
      <c r="AO48" s="1" t="s">
        <v>141</v>
      </c>
      <c r="AP48" s="1" t="s">
        <v>142</v>
      </c>
      <c r="AQ48" s="15" t="s">
        <v>836</v>
      </c>
      <c r="AR48" s="1" t="s">
        <v>837</v>
      </c>
      <c r="AS48" s="1" t="s">
        <v>146</v>
      </c>
      <c r="AT48" s="1" t="s">
        <v>145</v>
      </c>
      <c r="AU48" s="1" t="s">
        <v>146</v>
      </c>
      <c r="AV48" s="1" t="s">
        <v>146</v>
      </c>
      <c r="AW48" s="1" t="s">
        <v>146</v>
      </c>
      <c r="AX48" s="1" t="s">
        <v>146</v>
      </c>
      <c r="AY48" s="1" t="s">
        <v>145</v>
      </c>
      <c r="AZ48" s="1" t="s">
        <v>146</v>
      </c>
      <c r="BA48" s="15" t="s">
        <v>146</v>
      </c>
      <c r="BB48" s="23" t="s">
        <v>146</v>
      </c>
      <c r="BD48" s="23" t="s">
        <v>146</v>
      </c>
      <c r="BF48" s="1" t="s">
        <v>146</v>
      </c>
    </row>
    <row r="49" ht="24" customHeight="1" spans="1:58">
      <c r="A49" s="1" t="str">
        <f>_xlfn.DISPIMG("ID_464F4C9ABE1A429A8D40D5714C49A37A",1)</f>
        <v>=DISPIMG("ID_464F4C9ABE1A429A8D40D5714C49A37A",1)</v>
      </c>
      <c r="B49" s="15" t="s">
        <v>838</v>
      </c>
      <c r="C49" s="15" t="s">
        <v>292</v>
      </c>
      <c r="D49" s="15" t="s">
        <v>839</v>
      </c>
      <c r="E49" s="15" t="s">
        <v>39</v>
      </c>
      <c r="F49" s="15" t="s">
        <v>840</v>
      </c>
      <c r="G49" s="15" t="s">
        <v>841</v>
      </c>
      <c r="H49" s="15" t="s">
        <v>842</v>
      </c>
      <c r="I49" s="15" t="s">
        <v>843</v>
      </c>
      <c r="J49" s="15" t="s">
        <v>844</v>
      </c>
      <c r="K49" s="15" t="s">
        <v>135</v>
      </c>
      <c r="L49" s="15" t="s">
        <v>136</v>
      </c>
      <c r="M49" s="18">
        <v>8500</v>
      </c>
      <c r="N49" s="18">
        <v>10177</v>
      </c>
      <c r="O49" s="19">
        <v>0.5004</v>
      </c>
      <c r="P49" s="20" t="s">
        <v>200</v>
      </c>
      <c r="Q49" s="22" t="s">
        <v>845</v>
      </c>
      <c r="R49" s="18">
        <v>1545</v>
      </c>
      <c r="S49" s="19">
        <v>-0.3782</v>
      </c>
      <c r="T49" s="18">
        <v>18524.549</v>
      </c>
      <c r="U49" s="23" t="s">
        <v>309</v>
      </c>
      <c r="V49" s="18">
        <v>3597</v>
      </c>
      <c r="W49" s="24">
        <v>6</v>
      </c>
      <c r="X49" s="25">
        <v>11.99</v>
      </c>
      <c r="Z49" s="8"/>
      <c r="AB49" s="24">
        <v>308</v>
      </c>
      <c r="AC49" s="18">
        <v>16</v>
      </c>
      <c r="AD49" s="28">
        <v>3.8</v>
      </c>
      <c r="AE49" s="29">
        <v>0.0104</v>
      </c>
      <c r="AF49" s="25">
        <v>5</v>
      </c>
      <c r="AG49" s="19">
        <v>0.383</v>
      </c>
      <c r="AI49" s="1" t="s">
        <v>846</v>
      </c>
      <c r="AJ49" s="24">
        <v>504</v>
      </c>
      <c r="AK49" s="1" t="s">
        <v>141</v>
      </c>
      <c r="AL49" s="24">
        <v>7.7</v>
      </c>
      <c r="AM49" s="24">
        <v>1</v>
      </c>
      <c r="AN49" s="15" t="s">
        <v>39</v>
      </c>
      <c r="AO49" s="1" t="s">
        <v>141</v>
      </c>
      <c r="AP49" s="1" t="s">
        <v>142</v>
      </c>
      <c r="AQ49" s="15" t="s">
        <v>847</v>
      </c>
      <c r="AR49" s="1" t="s">
        <v>848</v>
      </c>
      <c r="AS49" s="1" t="s">
        <v>146</v>
      </c>
      <c r="AT49" s="1" t="s">
        <v>146</v>
      </c>
      <c r="AU49" s="1" t="s">
        <v>146</v>
      </c>
      <c r="AV49" s="1" t="s">
        <v>146</v>
      </c>
      <c r="AW49" s="1" t="s">
        <v>146</v>
      </c>
      <c r="AX49" s="1" t="s">
        <v>146</v>
      </c>
      <c r="AY49" s="1" t="s">
        <v>146</v>
      </c>
      <c r="AZ49" s="1" t="s">
        <v>146</v>
      </c>
      <c r="BA49" s="15" t="s">
        <v>146</v>
      </c>
      <c r="BC49" s="23" t="s">
        <v>405</v>
      </c>
      <c r="BD49" s="23" t="s">
        <v>406</v>
      </c>
      <c r="BE49" s="23" t="s">
        <v>849</v>
      </c>
      <c r="BF49" s="1" t="s">
        <v>850</v>
      </c>
    </row>
    <row r="50" ht="24" customHeight="1" spans="1:58">
      <c r="A50" s="1" t="str">
        <f>_xlfn.DISPIMG("ID_9F6A34AE22364691919AE580CC396CA7",1)</f>
        <v>=DISPIMG("ID_9F6A34AE22364691919AE580CC396CA7",1)</v>
      </c>
      <c r="B50" s="15" t="s">
        <v>851</v>
      </c>
      <c r="C50" s="15" t="s">
        <v>852</v>
      </c>
      <c r="D50" s="15" t="s">
        <v>853</v>
      </c>
      <c r="E50" s="15" t="s">
        <v>9</v>
      </c>
      <c r="F50" s="15" t="s">
        <v>811</v>
      </c>
      <c r="G50" s="15" t="s">
        <v>854</v>
      </c>
      <c r="H50" s="15" t="s">
        <v>855</v>
      </c>
      <c r="I50" s="15" t="s">
        <v>856</v>
      </c>
      <c r="J50" s="15" t="s">
        <v>857</v>
      </c>
      <c r="K50" s="15" t="s">
        <v>135</v>
      </c>
      <c r="L50" s="15" t="s">
        <v>136</v>
      </c>
      <c r="M50" s="18">
        <v>28037</v>
      </c>
      <c r="N50" s="18">
        <v>5676</v>
      </c>
      <c r="O50" s="19">
        <v>0.1582</v>
      </c>
      <c r="P50" s="20" t="s">
        <v>200</v>
      </c>
      <c r="Q50" s="22" t="s">
        <v>858</v>
      </c>
      <c r="R50" s="18">
        <v>1545</v>
      </c>
      <c r="S50" s="19">
        <v>0.446</v>
      </c>
      <c r="T50" s="18">
        <v>52483.652</v>
      </c>
      <c r="U50" s="23" t="s">
        <v>161</v>
      </c>
      <c r="V50" s="18">
        <v>3397</v>
      </c>
      <c r="W50" s="24">
        <v>65</v>
      </c>
      <c r="X50" s="25">
        <v>33.97</v>
      </c>
      <c r="Z50" s="23" t="s">
        <v>271</v>
      </c>
      <c r="AA50" s="18">
        <v>12</v>
      </c>
      <c r="AB50" s="24">
        <v>1622</v>
      </c>
      <c r="AC50" s="18">
        <v>25</v>
      </c>
      <c r="AD50" s="28">
        <v>4.4</v>
      </c>
      <c r="AE50" s="29">
        <v>0.0162</v>
      </c>
      <c r="AF50" s="25">
        <v>4.77</v>
      </c>
      <c r="AG50" s="19">
        <v>0.6596</v>
      </c>
      <c r="AI50" s="1" t="s">
        <v>859</v>
      </c>
      <c r="AJ50" s="24">
        <v>1386</v>
      </c>
      <c r="AK50" s="1" t="s">
        <v>141</v>
      </c>
      <c r="AL50" s="24">
        <v>9.9</v>
      </c>
      <c r="AM50" s="24">
        <v>1</v>
      </c>
      <c r="AN50" s="15" t="s">
        <v>818</v>
      </c>
      <c r="AO50" s="1" t="s">
        <v>141</v>
      </c>
      <c r="AP50" s="1" t="s">
        <v>142</v>
      </c>
      <c r="AQ50" s="15" t="s">
        <v>819</v>
      </c>
      <c r="AR50" s="1" t="s">
        <v>820</v>
      </c>
      <c r="AS50" s="1" t="s">
        <v>146</v>
      </c>
      <c r="AT50" s="1" t="s">
        <v>145</v>
      </c>
      <c r="AU50" s="1" t="s">
        <v>146</v>
      </c>
      <c r="AV50" s="1" t="s">
        <v>145</v>
      </c>
      <c r="AW50" s="1" t="s">
        <v>145</v>
      </c>
      <c r="AX50" s="1" t="s">
        <v>146</v>
      </c>
      <c r="AY50" s="1" t="s">
        <v>145</v>
      </c>
      <c r="AZ50" s="1" t="s">
        <v>146</v>
      </c>
      <c r="BA50" s="15" t="s">
        <v>146</v>
      </c>
      <c r="BB50" s="23" t="s">
        <v>860</v>
      </c>
      <c r="BC50" s="23" t="s">
        <v>861</v>
      </c>
      <c r="BD50" s="23" t="s">
        <v>862</v>
      </c>
      <c r="BE50" s="23" t="s">
        <v>863</v>
      </c>
      <c r="BF50" s="1" t="s">
        <v>864</v>
      </c>
    </row>
    <row r="51" ht="24" customHeight="1" spans="1:58">
      <c r="A51" s="1" t="str">
        <f>_xlfn.DISPIMG("ID_C471C8A575B644B9B006A0C3E8E5FD06",1)</f>
        <v>=DISPIMG("ID_C471C8A575B644B9B006A0C3E8E5FD06",1)</v>
      </c>
      <c r="B51" s="15" t="s">
        <v>865</v>
      </c>
      <c r="C51" s="15" t="s">
        <v>866</v>
      </c>
      <c r="D51" s="15" t="s">
        <v>867</v>
      </c>
      <c r="E51" s="15" t="s">
        <v>5</v>
      </c>
      <c r="F51" s="15" t="s">
        <v>683</v>
      </c>
      <c r="G51" s="15" t="s">
        <v>868</v>
      </c>
      <c r="H51" s="15" t="s">
        <v>869</v>
      </c>
      <c r="I51" s="15" t="s">
        <v>870</v>
      </c>
      <c r="J51" s="15" t="s">
        <v>871</v>
      </c>
      <c r="K51" s="15" t="s">
        <v>135</v>
      </c>
      <c r="L51" s="15" t="s">
        <v>136</v>
      </c>
      <c r="M51" s="18">
        <v>28280</v>
      </c>
      <c r="N51" s="18">
        <v>-13938</v>
      </c>
      <c r="O51" s="19">
        <v>-0.9379</v>
      </c>
      <c r="P51" s="20" t="s">
        <v>324</v>
      </c>
      <c r="Q51" s="22" t="s">
        <v>872</v>
      </c>
      <c r="R51" s="18">
        <v>1400</v>
      </c>
      <c r="S51" s="19">
        <v>-0.1612</v>
      </c>
      <c r="T51" s="18">
        <v>39130</v>
      </c>
      <c r="U51" s="23" t="s">
        <v>202</v>
      </c>
      <c r="V51" s="18">
        <v>5590</v>
      </c>
      <c r="W51" s="24">
        <v>23</v>
      </c>
      <c r="X51" s="25">
        <v>27.95</v>
      </c>
      <c r="Z51" s="23" t="s">
        <v>873</v>
      </c>
      <c r="AB51" s="24">
        <v>93</v>
      </c>
      <c r="AC51" s="18">
        <v>29</v>
      </c>
      <c r="AD51" s="28">
        <v>4.4</v>
      </c>
      <c r="AE51" s="29">
        <v>0.0207</v>
      </c>
      <c r="AF51" s="25">
        <v>6.44</v>
      </c>
      <c r="AG51" s="19">
        <v>0.5696</v>
      </c>
      <c r="AI51" s="1" t="s">
        <v>688</v>
      </c>
      <c r="AJ51" s="24">
        <v>132</v>
      </c>
      <c r="AK51" s="1" t="s">
        <v>141</v>
      </c>
      <c r="AL51" s="24">
        <v>10</v>
      </c>
      <c r="AM51" s="24">
        <v>1</v>
      </c>
      <c r="AN51" s="15" t="s">
        <v>689</v>
      </c>
      <c r="AO51" s="1" t="s">
        <v>141</v>
      </c>
      <c r="AP51" s="1" t="s">
        <v>142</v>
      </c>
      <c r="AQ51" s="15" t="s">
        <v>690</v>
      </c>
      <c r="AR51" s="1" t="s">
        <v>691</v>
      </c>
      <c r="AS51" s="1" t="s">
        <v>146</v>
      </c>
      <c r="AT51" s="1" t="s">
        <v>145</v>
      </c>
      <c r="AU51" s="1" t="s">
        <v>146</v>
      </c>
      <c r="AV51" s="1" t="s">
        <v>145</v>
      </c>
      <c r="AW51" s="1" t="s">
        <v>146</v>
      </c>
      <c r="AX51" s="1" t="s">
        <v>146</v>
      </c>
      <c r="AY51" s="1" t="s">
        <v>146</v>
      </c>
      <c r="AZ51" s="1" t="s">
        <v>146</v>
      </c>
      <c r="BA51" s="15" t="s">
        <v>146</v>
      </c>
      <c r="BB51" s="23" t="s">
        <v>146</v>
      </c>
      <c r="BC51" s="23" t="s">
        <v>861</v>
      </c>
      <c r="BD51" s="23" t="s">
        <v>862</v>
      </c>
      <c r="BE51" s="23" t="s">
        <v>874</v>
      </c>
      <c r="BF51" s="1" t="s">
        <v>875</v>
      </c>
    </row>
    <row r="52" ht="24" customHeight="1" spans="1:58">
      <c r="A52" s="1" t="str">
        <f>_xlfn.DISPIMG("ID_EFD80A9A07A94F2C8227892790633D94",1)</f>
        <v>=DISPIMG("ID_EFD80A9A07A94F2C8227892790633D94",1)</v>
      </c>
      <c r="B52" s="15" t="s">
        <v>876</v>
      </c>
      <c r="C52" s="15" t="s">
        <v>877</v>
      </c>
      <c r="D52" s="15" t="s">
        <v>878</v>
      </c>
      <c r="E52" s="15" t="s">
        <v>19</v>
      </c>
      <c r="F52" s="15" t="s">
        <v>879</v>
      </c>
      <c r="G52" s="15" t="s">
        <v>880</v>
      </c>
      <c r="H52" s="15" t="s">
        <v>881</v>
      </c>
      <c r="I52" s="15" t="s">
        <v>882</v>
      </c>
      <c r="J52" s="15" t="s">
        <v>883</v>
      </c>
      <c r="K52" s="15" t="s">
        <v>135</v>
      </c>
      <c r="L52" s="15" t="s">
        <v>136</v>
      </c>
      <c r="M52" s="18">
        <v>28954</v>
      </c>
      <c r="N52" s="18">
        <v>-4978</v>
      </c>
      <c r="O52" s="19">
        <v>-0.245</v>
      </c>
      <c r="P52" s="20" t="s">
        <v>200</v>
      </c>
      <c r="Q52" s="22" t="s">
        <v>884</v>
      </c>
      <c r="R52" s="18">
        <v>1319</v>
      </c>
      <c r="S52" s="19">
        <v>0.0684</v>
      </c>
      <c r="T52" s="18">
        <v>23728.81</v>
      </c>
      <c r="U52" s="23" t="s">
        <v>384</v>
      </c>
      <c r="V52" s="18">
        <v>899.5</v>
      </c>
      <c r="W52" s="24">
        <v>52</v>
      </c>
      <c r="X52" s="25">
        <v>17.99</v>
      </c>
      <c r="Z52" s="8"/>
      <c r="AB52" s="24">
        <v>256</v>
      </c>
      <c r="AC52" s="18">
        <v>3</v>
      </c>
      <c r="AD52" s="28">
        <v>4.3</v>
      </c>
      <c r="AE52" s="29">
        <v>0.0023</v>
      </c>
      <c r="AF52" s="25">
        <v>4.94</v>
      </c>
      <c r="AG52" s="19">
        <v>0.5254</v>
      </c>
      <c r="AI52" s="1" t="s">
        <v>885</v>
      </c>
      <c r="AJ52" s="24">
        <v>889</v>
      </c>
      <c r="AK52" s="1" t="s">
        <v>141</v>
      </c>
      <c r="AL52" s="24">
        <v>9.8</v>
      </c>
      <c r="AM52" s="24">
        <v>1</v>
      </c>
      <c r="AN52" s="15" t="s">
        <v>886</v>
      </c>
      <c r="AO52" s="1" t="s">
        <v>141</v>
      </c>
      <c r="AP52" s="1" t="s">
        <v>142</v>
      </c>
      <c r="AQ52" s="15" t="s">
        <v>887</v>
      </c>
      <c r="AR52" s="1" t="s">
        <v>888</v>
      </c>
      <c r="AS52" s="1" t="s">
        <v>146</v>
      </c>
      <c r="AT52" s="1" t="s">
        <v>145</v>
      </c>
      <c r="AU52" s="1" t="s">
        <v>146</v>
      </c>
      <c r="AV52" s="1" t="s">
        <v>145</v>
      </c>
      <c r="AW52" s="1" t="s">
        <v>146</v>
      </c>
      <c r="AX52" s="1" t="s">
        <v>146</v>
      </c>
      <c r="AY52" s="1" t="s">
        <v>145</v>
      </c>
      <c r="AZ52" s="1" t="s">
        <v>146</v>
      </c>
      <c r="BA52" s="15" t="s">
        <v>146</v>
      </c>
      <c r="BB52" s="23" t="s">
        <v>889</v>
      </c>
      <c r="BC52" s="23" t="s">
        <v>890</v>
      </c>
      <c r="BD52" s="23" t="s">
        <v>891</v>
      </c>
      <c r="BE52" s="23" t="s">
        <v>892</v>
      </c>
      <c r="BF52" s="1" t="s">
        <v>893</v>
      </c>
    </row>
    <row r="53" ht="24" customHeight="1" spans="1:58">
      <c r="A53" s="1" t="str">
        <f>_xlfn.DISPIMG("ID_006774B8B0524DEF8B8AE82CC44BD9C0",1)</f>
        <v>=DISPIMG("ID_006774B8B0524DEF8B8AE82CC44BD9C0",1)</v>
      </c>
      <c r="B53" s="15" t="s">
        <v>894</v>
      </c>
      <c r="C53" s="15" t="s">
        <v>895</v>
      </c>
      <c r="D53" s="15" t="s">
        <v>896</v>
      </c>
      <c r="E53" s="15" t="s">
        <v>40</v>
      </c>
      <c r="F53" s="15" t="s">
        <v>897</v>
      </c>
      <c r="G53" s="15" t="s">
        <v>898</v>
      </c>
      <c r="H53" s="15" t="s">
        <v>899</v>
      </c>
      <c r="I53" s="15" t="s">
        <v>900</v>
      </c>
      <c r="J53" s="15" t="s">
        <v>901</v>
      </c>
      <c r="K53" s="15" t="s">
        <v>135</v>
      </c>
      <c r="L53" s="15" t="s">
        <v>136</v>
      </c>
      <c r="M53" s="18">
        <v>19457</v>
      </c>
      <c r="N53" s="18">
        <v>7887</v>
      </c>
      <c r="O53" s="19">
        <v>0.3233</v>
      </c>
      <c r="P53" s="20" t="s">
        <v>200</v>
      </c>
      <c r="Q53" s="22" t="s">
        <v>902</v>
      </c>
      <c r="R53" s="18">
        <v>1261</v>
      </c>
      <c r="S53" s="19">
        <v>-0.4808</v>
      </c>
      <c r="T53" s="18">
        <v>27729.39</v>
      </c>
      <c r="U53" s="23" t="s">
        <v>161</v>
      </c>
      <c r="V53" s="18">
        <v>2199</v>
      </c>
      <c r="W53" s="24">
        <v>40</v>
      </c>
      <c r="X53" s="25">
        <v>26.99</v>
      </c>
      <c r="Z53" s="23" t="s">
        <v>903</v>
      </c>
      <c r="AA53" s="18">
        <v>44</v>
      </c>
      <c r="AB53" s="24">
        <v>1279</v>
      </c>
      <c r="AC53" s="18">
        <v>7</v>
      </c>
      <c r="AD53" s="28">
        <v>4.4</v>
      </c>
      <c r="AE53" s="29">
        <v>0.0056</v>
      </c>
      <c r="AF53" s="25">
        <v>4.77</v>
      </c>
      <c r="AG53" s="19">
        <v>0.5831</v>
      </c>
      <c r="AI53" s="1" t="s">
        <v>904</v>
      </c>
      <c r="AJ53" s="24">
        <v>1558</v>
      </c>
      <c r="AK53" s="1" t="s">
        <v>141</v>
      </c>
      <c r="AL53" s="24">
        <v>7.5</v>
      </c>
      <c r="AM53" s="24">
        <v>1</v>
      </c>
      <c r="AN53" s="15" t="s">
        <v>905</v>
      </c>
      <c r="AO53" s="1" t="s">
        <v>141</v>
      </c>
      <c r="AP53" s="1" t="s">
        <v>142</v>
      </c>
      <c r="AQ53" s="15" t="s">
        <v>906</v>
      </c>
      <c r="AR53" s="1" t="s">
        <v>907</v>
      </c>
      <c r="AS53" s="1" t="s">
        <v>146</v>
      </c>
      <c r="AT53" s="1" t="s">
        <v>145</v>
      </c>
      <c r="AU53" s="1" t="s">
        <v>146</v>
      </c>
      <c r="AV53" s="1" t="s">
        <v>145</v>
      </c>
      <c r="AW53" s="1" t="s">
        <v>145</v>
      </c>
      <c r="AX53" s="1" t="s">
        <v>146</v>
      </c>
      <c r="AY53" s="1" t="s">
        <v>145</v>
      </c>
      <c r="AZ53" s="1" t="s">
        <v>146</v>
      </c>
      <c r="BA53" s="15" t="s">
        <v>146</v>
      </c>
      <c r="BB53" s="23" t="s">
        <v>146</v>
      </c>
      <c r="BC53" s="23" t="s">
        <v>441</v>
      </c>
      <c r="BD53" s="23" t="s">
        <v>442</v>
      </c>
      <c r="BE53" s="23" t="s">
        <v>908</v>
      </c>
      <c r="BF53" s="1" t="s">
        <v>909</v>
      </c>
    </row>
    <row r="54" ht="24" customHeight="1" spans="1:58">
      <c r="A54" s="1" t="str">
        <f>_xlfn.DISPIMG("ID_E937D74C62B74A17B0A0A537D5C5F72D",1)</f>
        <v>=DISPIMG("ID_E937D74C62B74A17B0A0A537D5C5F72D",1)</v>
      </c>
      <c r="B54" s="15" t="s">
        <v>910</v>
      </c>
      <c r="C54" s="15" t="s">
        <v>911</v>
      </c>
      <c r="D54" s="15" t="s">
        <v>912</v>
      </c>
      <c r="E54" s="15" t="s">
        <v>6</v>
      </c>
      <c r="F54" s="15" t="s">
        <v>265</v>
      </c>
      <c r="G54" s="15" t="s">
        <v>913</v>
      </c>
      <c r="H54" s="15" t="s">
        <v>914</v>
      </c>
      <c r="I54" s="15" t="s">
        <v>915</v>
      </c>
      <c r="J54" s="15" t="s">
        <v>916</v>
      </c>
      <c r="K54" s="15" t="s">
        <v>135</v>
      </c>
      <c r="L54" s="15" t="s">
        <v>136</v>
      </c>
      <c r="M54" s="18">
        <v>34291</v>
      </c>
      <c r="N54" s="18">
        <v>6045</v>
      </c>
      <c r="O54" s="19">
        <v>0.1952</v>
      </c>
      <c r="P54" s="20" t="s">
        <v>159</v>
      </c>
      <c r="Q54" s="22" t="s">
        <v>917</v>
      </c>
      <c r="R54" s="18">
        <v>1257</v>
      </c>
      <c r="S54" s="19">
        <v>0.0059</v>
      </c>
      <c r="T54" s="18">
        <v>35183.43</v>
      </c>
      <c r="U54" s="23" t="s">
        <v>384</v>
      </c>
      <c r="V54" s="18">
        <v>1399.5</v>
      </c>
      <c r="W54" s="24">
        <v>89</v>
      </c>
      <c r="X54" s="25">
        <v>27.99</v>
      </c>
      <c r="Z54" s="8"/>
      <c r="AB54" s="24">
        <v>80</v>
      </c>
      <c r="AC54" s="18">
        <v>7</v>
      </c>
      <c r="AD54" s="28">
        <v>4.6</v>
      </c>
      <c r="AE54" s="29">
        <v>0.0056</v>
      </c>
      <c r="AF54" s="25">
        <v>6.19</v>
      </c>
      <c r="AG54" s="19">
        <v>0.5789</v>
      </c>
      <c r="AI54" s="1" t="s">
        <v>918</v>
      </c>
      <c r="AJ54" s="24">
        <v>304</v>
      </c>
      <c r="AK54" s="1" t="s">
        <v>141</v>
      </c>
      <c r="AL54" s="24">
        <v>10</v>
      </c>
      <c r="AM54" s="24">
        <v>1</v>
      </c>
      <c r="AN54" s="15" t="s">
        <v>6</v>
      </c>
      <c r="AO54" s="1" t="s">
        <v>141</v>
      </c>
      <c r="AP54" s="1" t="s">
        <v>142</v>
      </c>
      <c r="AQ54" s="15" t="s">
        <v>273</v>
      </c>
      <c r="AR54" s="1" t="s">
        <v>274</v>
      </c>
      <c r="AS54" s="1" t="s">
        <v>146</v>
      </c>
      <c r="AT54" s="1" t="s">
        <v>146</v>
      </c>
      <c r="AU54" s="1" t="s">
        <v>146</v>
      </c>
      <c r="AV54" s="1" t="s">
        <v>145</v>
      </c>
      <c r="AW54" s="1" t="s">
        <v>145</v>
      </c>
      <c r="AX54" s="1" t="s">
        <v>146</v>
      </c>
      <c r="AY54" s="1" t="s">
        <v>146</v>
      </c>
      <c r="AZ54" s="1" t="s">
        <v>146</v>
      </c>
      <c r="BA54" s="15" t="s">
        <v>146</v>
      </c>
      <c r="BC54" s="23" t="s">
        <v>358</v>
      </c>
      <c r="BD54" s="23" t="s">
        <v>359</v>
      </c>
      <c r="BE54" s="23" t="s">
        <v>275</v>
      </c>
      <c r="BF54" s="1" t="s">
        <v>276</v>
      </c>
    </row>
    <row r="55" ht="24" customHeight="1" spans="1:58">
      <c r="A55" s="1" t="str">
        <f>_xlfn.DISPIMG("ID_1C16DA7C305A4E039F33E95444C25A31",1)</f>
        <v>=DISPIMG("ID_1C16DA7C305A4E039F33E95444C25A31",1)</v>
      </c>
      <c r="B55" s="15" t="s">
        <v>919</v>
      </c>
      <c r="C55" s="15" t="s">
        <v>249</v>
      </c>
      <c r="D55" s="15" t="s">
        <v>920</v>
      </c>
      <c r="E55" s="15" t="s">
        <v>19</v>
      </c>
      <c r="F55" s="15" t="s">
        <v>879</v>
      </c>
      <c r="G55" s="15" t="s">
        <v>921</v>
      </c>
      <c r="H55" s="15" t="s">
        <v>922</v>
      </c>
      <c r="I55" s="15" t="s">
        <v>923</v>
      </c>
      <c r="J55" s="15" t="s">
        <v>924</v>
      </c>
      <c r="K55" s="15" t="s">
        <v>135</v>
      </c>
      <c r="L55" s="15" t="s">
        <v>136</v>
      </c>
      <c r="M55" s="18">
        <v>18221</v>
      </c>
      <c r="N55" s="18">
        <v>-1270</v>
      </c>
      <c r="O55" s="19">
        <v>-0.104</v>
      </c>
      <c r="P55" s="20" t="s">
        <v>324</v>
      </c>
      <c r="Q55" s="22" t="s">
        <v>925</v>
      </c>
      <c r="R55" s="18">
        <v>1166</v>
      </c>
      <c r="S55" s="19">
        <v>0.5574</v>
      </c>
      <c r="T55" s="18">
        <v>19810.34</v>
      </c>
      <c r="U55" s="23" t="s">
        <v>384</v>
      </c>
      <c r="V55" s="18">
        <v>849.5</v>
      </c>
      <c r="W55" s="24">
        <v>48</v>
      </c>
      <c r="X55" s="25">
        <v>16.99</v>
      </c>
      <c r="Z55" s="8"/>
      <c r="AB55" s="24">
        <v>418</v>
      </c>
      <c r="AC55" s="18">
        <v>0</v>
      </c>
      <c r="AD55" s="28">
        <v>4.3</v>
      </c>
      <c r="AE55" s="29">
        <v>0</v>
      </c>
      <c r="AF55" s="25">
        <v>5.39</v>
      </c>
      <c r="AG55" s="19">
        <v>0.4828</v>
      </c>
      <c r="AI55" s="1" t="s">
        <v>926</v>
      </c>
      <c r="AJ55" s="24">
        <v>1208</v>
      </c>
      <c r="AK55" s="1" t="s">
        <v>141</v>
      </c>
      <c r="AL55" s="24">
        <v>10</v>
      </c>
      <c r="AM55" s="24">
        <v>2</v>
      </c>
      <c r="AN55" s="15" t="s">
        <v>886</v>
      </c>
      <c r="AO55" s="1" t="s">
        <v>141</v>
      </c>
      <c r="AP55" s="1" t="s">
        <v>142</v>
      </c>
      <c r="AQ55" s="15" t="s">
        <v>887</v>
      </c>
      <c r="AR55" s="1" t="s">
        <v>888</v>
      </c>
      <c r="AS55" s="1" t="s">
        <v>146</v>
      </c>
      <c r="AT55" s="1" t="s">
        <v>145</v>
      </c>
      <c r="AU55" s="1" t="s">
        <v>146</v>
      </c>
      <c r="AV55" s="1" t="s">
        <v>145</v>
      </c>
      <c r="AW55" s="1" t="s">
        <v>146</v>
      </c>
      <c r="AX55" s="1" t="s">
        <v>146</v>
      </c>
      <c r="AY55" s="1" t="s">
        <v>145</v>
      </c>
      <c r="AZ55" s="1" t="s">
        <v>146</v>
      </c>
      <c r="BA55" s="15" t="s">
        <v>146</v>
      </c>
      <c r="BB55" s="23" t="s">
        <v>146</v>
      </c>
      <c r="BC55" s="23" t="s">
        <v>721</v>
      </c>
      <c r="BD55" s="23" t="s">
        <v>722</v>
      </c>
      <c r="BE55" s="23" t="s">
        <v>927</v>
      </c>
      <c r="BF55" s="1" t="s">
        <v>928</v>
      </c>
    </row>
    <row r="56" ht="24" customHeight="1" spans="1:58">
      <c r="A56" s="1" t="str">
        <f>_xlfn.DISPIMG("ID_E016DC42D2E24AEF8DA960A59A794BE8",1)</f>
        <v>=DISPIMG("ID_E016DC42D2E24AEF8DA960A59A794BE8",1)</v>
      </c>
      <c r="B56" s="15" t="s">
        <v>929</v>
      </c>
      <c r="C56" s="15" t="s">
        <v>146</v>
      </c>
      <c r="D56" s="15" t="s">
        <v>146</v>
      </c>
      <c r="E56" s="15" t="s">
        <v>10</v>
      </c>
      <c r="F56" s="15" t="s">
        <v>712</v>
      </c>
      <c r="G56" s="15" t="s">
        <v>930</v>
      </c>
      <c r="H56" s="15" t="s">
        <v>931</v>
      </c>
      <c r="I56" s="15" t="s">
        <v>932</v>
      </c>
      <c r="J56" s="15" t="s">
        <v>929</v>
      </c>
      <c r="K56" s="15" t="s">
        <v>135</v>
      </c>
      <c r="L56" s="15" t="s">
        <v>136</v>
      </c>
      <c r="M56" s="18">
        <v>33057</v>
      </c>
      <c r="N56" s="18">
        <v>-3598</v>
      </c>
      <c r="O56" s="19">
        <v>-0.1221</v>
      </c>
      <c r="P56" s="20" t="s">
        <v>200</v>
      </c>
      <c r="Q56" s="22" t="s">
        <v>933</v>
      </c>
      <c r="R56" s="18">
        <v>1065</v>
      </c>
      <c r="S56" s="19">
        <v>1.7754</v>
      </c>
      <c r="T56" s="18">
        <v>19116.75</v>
      </c>
      <c r="U56" s="23" t="s">
        <v>146</v>
      </c>
      <c r="V56" s="18" t="s">
        <v>146</v>
      </c>
      <c r="W56" s="24">
        <v>150</v>
      </c>
      <c r="X56" s="25">
        <v>17.95</v>
      </c>
      <c r="AB56" s="24">
        <v>21</v>
      </c>
      <c r="AC56" s="18">
        <v>8</v>
      </c>
      <c r="AD56" s="28">
        <v>4.7</v>
      </c>
      <c r="AE56" s="29">
        <v>0.0075</v>
      </c>
      <c r="AG56" s="19">
        <v>0</v>
      </c>
      <c r="AI56" s="1" t="s">
        <v>934</v>
      </c>
      <c r="AJ56" s="24">
        <v>123</v>
      </c>
      <c r="AK56" s="1" t="s">
        <v>141</v>
      </c>
      <c r="AL56" s="24">
        <v>10</v>
      </c>
      <c r="AM56" s="24">
        <v>1</v>
      </c>
      <c r="AN56" s="15" t="s">
        <v>10</v>
      </c>
      <c r="AO56" s="1" t="s">
        <v>141</v>
      </c>
      <c r="AP56" s="1" t="s">
        <v>142</v>
      </c>
      <c r="AQ56" s="15" t="s">
        <v>719</v>
      </c>
      <c r="AR56" s="1" t="s">
        <v>720</v>
      </c>
      <c r="AS56" s="1" t="s">
        <v>146</v>
      </c>
      <c r="AT56" s="1" t="s">
        <v>146</v>
      </c>
      <c r="AU56" s="1" t="s">
        <v>146</v>
      </c>
      <c r="AV56" s="1" t="s">
        <v>145</v>
      </c>
      <c r="AW56" s="1" t="s">
        <v>146</v>
      </c>
      <c r="AX56" s="1" t="s">
        <v>146</v>
      </c>
      <c r="AY56" s="1" t="s">
        <v>146</v>
      </c>
      <c r="AZ56" s="1" t="s">
        <v>146</v>
      </c>
      <c r="BA56" s="15" t="s">
        <v>146</v>
      </c>
      <c r="BD56" s="23" t="s">
        <v>146</v>
      </c>
      <c r="BF56" s="1" t="s">
        <v>146</v>
      </c>
    </row>
    <row r="57" ht="24" customHeight="1" spans="1:58">
      <c r="A57" s="1" t="str">
        <f>_xlfn.DISPIMG("ID_053D5020751140AF9B03DF0130A1462B",1)</f>
        <v>=DISPIMG("ID_053D5020751140AF9B03DF0130A1462B",1)</v>
      </c>
      <c r="B57" s="15" t="s">
        <v>935</v>
      </c>
      <c r="C57" s="15" t="s">
        <v>550</v>
      </c>
      <c r="D57" s="15" t="s">
        <v>936</v>
      </c>
      <c r="E57" s="15" t="s">
        <v>15</v>
      </c>
      <c r="F57" s="15" t="s">
        <v>629</v>
      </c>
      <c r="G57" s="15" t="s">
        <v>937</v>
      </c>
      <c r="H57" s="15" t="s">
        <v>938</v>
      </c>
      <c r="I57" s="15" t="s">
        <v>939</v>
      </c>
      <c r="J57" s="15" t="s">
        <v>940</v>
      </c>
      <c r="K57" s="15" t="s">
        <v>135</v>
      </c>
      <c r="L57" s="15" t="s">
        <v>136</v>
      </c>
      <c r="M57" s="18">
        <v>30308</v>
      </c>
      <c r="N57" s="18">
        <v>7699</v>
      </c>
      <c r="O57" s="19">
        <v>0.2188</v>
      </c>
      <c r="P57" s="20" t="s">
        <v>324</v>
      </c>
      <c r="Q57" s="22" t="s">
        <v>941</v>
      </c>
      <c r="R57" s="18">
        <v>1061</v>
      </c>
      <c r="S57" s="19">
        <v>-0.2193</v>
      </c>
      <c r="T57" s="18">
        <v>21198.78</v>
      </c>
      <c r="U57" s="23" t="s">
        <v>384</v>
      </c>
      <c r="V57" s="18">
        <v>999</v>
      </c>
      <c r="W57" s="24">
        <v>58</v>
      </c>
      <c r="X57" s="25">
        <v>19.98</v>
      </c>
      <c r="Y57" s="25">
        <v>13.99</v>
      </c>
      <c r="Z57" s="8"/>
      <c r="AB57" s="24">
        <v>207</v>
      </c>
      <c r="AC57" s="18">
        <v>27</v>
      </c>
      <c r="AD57" s="28">
        <v>4.3</v>
      </c>
      <c r="AE57" s="29">
        <v>0.0254</v>
      </c>
      <c r="AF57" s="25">
        <v>4.71</v>
      </c>
      <c r="AG57" s="19">
        <v>0.5643</v>
      </c>
      <c r="AI57" s="1" t="s">
        <v>942</v>
      </c>
      <c r="AJ57" s="24">
        <v>290</v>
      </c>
      <c r="AK57" s="1" t="s">
        <v>141</v>
      </c>
      <c r="AL57" s="24">
        <v>10</v>
      </c>
      <c r="AM57" s="24">
        <v>1</v>
      </c>
      <c r="AN57" s="15" t="s">
        <v>15</v>
      </c>
      <c r="AO57" s="1" t="s">
        <v>141</v>
      </c>
      <c r="AP57" s="1" t="s">
        <v>142</v>
      </c>
      <c r="AQ57" s="15" t="s">
        <v>636</v>
      </c>
      <c r="AR57" s="1" t="s">
        <v>637</v>
      </c>
      <c r="AS57" s="1" t="s">
        <v>146</v>
      </c>
      <c r="AT57" s="1" t="s">
        <v>145</v>
      </c>
      <c r="AU57" s="1" t="s">
        <v>146</v>
      </c>
      <c r="AV57" s="1" t="s">
        <v>145</v>
      </c>
      <c r="AW57" s="1" t="s">
        <v>146</v>
      </c>
      <c r="AX57" s="1" t="s">
        <v>146</v>
      </c>
      <c r="AY57" s="1" t="s">
        <v>146</v>
      </c>
      <c r="AZ57" s="1" t="s">
        <v>146</v>
      </c>
      <c r="BA57" s="15" t="s">
        <v>146</v>
      </c>
      <c r="BB57" s="23" t="s">
        <v>146</v>
      </c>
      <c r="BC57" s="23" t="s">
        <v>943</v>
      </c>
      <c r="BD57" s="23" t="s">
        <v>639</v>
      </c>
      <c r="BE57" s="23" t="s">
        <v>944</v>
      </c>
      <c r="BF57" s="1" t="s">
        <v>945</v>
      </c>
    </row>
    <row r="58" ht="24" customHeight="1" spans="1:58">
      <c r="A58" s="1" t="str">
        <f>_xlfn.DISPIMG("ID_E9E34037BAF64FDE82729A0A80AD36D3",1)</f>
        <v>=DISPIMG("ID_E9E34037BAF64FDE82729A0A80AD36D3",1)</v>
      </c>
      <c r="B58" s="15" t="s">
        <v>946</v>
      </c>
      <c r="C58" s="15" t="s">
        <v>146</v>
      </c>
      <c r="D58" s="15" t="s">
        <v>146</v>
      </c>
      <c r="E58" s="15" t="s">
        <v>66</v>
      </c>
      <c r="F58" s="15" t="s">
        <v>947</v>
      </c>
      <c r="G58" s="15" t="s">
        <v>948</v>
      </c>
      <c r="H58" s="15" t="s">
        <v>949</v>
      </c>
      <c r="I58" s="15" t="s">
        <v>950</v>
      </c>
      <c r="J58" s="15" t="s">
        <v>946</v>
      </c>
      <c r="K58" s="15" t="s">
        <v>135</v>
      </c>
      <c r="L58" s="15" t="s">
        <v>136</v>
      </c>
      <c r="M58" s="18">
        <v>42065</v>
      </c>
      <c r="N58" s="18">
        <v>-5092</v>
      </c>
      <c r="O58" s="19">
        <v>-0.1648</v>
      </c>
      <c r="P58" s="20" t="s">
        <v>324</v>
      </c>
      <c r="Q58" s="22" t="s">
        <v>951</v>
      </c>
      <c r="R58" s="18">
        <v>1049</v>
      </c>
      <c r="S58" s="19">
        <v>-0.6494</v>
      </c>
      <c r="T58" s="18">
        <v>34606.51</v>
      </c>
      <c r="U58" s="23" t="s">
        <v>384</v>
      </c>
      <c r="V58" s="18">
        <v>1649.5</v>
      </c>
      <c r="W58" s="24">
        <v>62</v>
      </c>
      <c r="X58" s="25">
        <v>32.99</v>
      </c>
      <c r="AB58" s="24">
        <v>359</v>
      </c>
      <c r="AC58" s="18">
        <v>14</v>
      </c>
      <c r="AD58" s="28">
        <v>3.8</v>
      </c>
      <c r="AE58" s="29">
        <v>0.0133</v>
      </c>
      <c r="AF58" s="25">
        <v>3.6</v>
      </c>
      <c r="AG58" s="19">
        <v>0.6909</v>
      </c>
      <c r="AI58" s="1" t="s">
        <v>952</v>
      </c>
      <c r="AJ58" s="24">
        <v>354</v>
      </c>
      <c r="AK58" s="1" t="s">
        <v>141</v>
      </c>
      <c r="AL58" s="24">
        <v>9.5</v>
      </c>
      <c r="AM58" s="24">
        <v>1</v>
      </c>
      <c r="AN58" s="15" t="s">
        <v>66</v>
      </c>
      <c r="AO58" s="1" t="s">
        <v>141</v>
      </c>
      <c r="AP58" s="1" t="s">
        <v>142</v>
      </c>
      <c r="AQ58" s="15" t="s">
        <v>953</v>
      </c>
      <c r="AR58" s="1" t="s">
        <v>954</v>
      </c>
      <c r="AS58" s="1" t="s">
        <v>146</v>
      </c>
      <c r="AT58" s="1" t="s">
        <v>146</v>
      </c>
      <c r="AU58" s="1" t="s">
        <v>146</v>
      </c>
      <c r="AV58" s="1" t="s">
        <v>145</v>
      </c>
      <c r="AW58" s="1" t="s">
        <v>145</v>
      </c>
      <c r="AX58" s="1" t="s">
        <v>146</v>
      </c>
      <c r="AY58" s="1" t="s">
        <v>146</v>
      </c>
      <c r="AZ58" s="1" t="s">
        <v>146</v>
      </c>
      <c r="BA58" s="15" t="s">
        <v>146</v>
      </c>
      <c r="BC58" s="23" t="s">
        <v>955</v>
      </c>
      <c r="BD58" s="23" t="s">
        <v>956</v>
      </c>
      <c r="BE58" s="23" t="s">
        <v>957</v>
      </c>
      <c r="BF58" s="1" t="s">
        <v>958</v>
      </c>
    </row>
    <row r="59" ht="24" customHeight="1" spans="1:58">
      <c r="A59" s="1" t="str">
        <f>_xlfn.DISPIMG("ID_E75908695B0F41FEA0636B5516CFCCED",1)</f>
        <v>=DISPIMG("ID_E75908695B0F41FEA0636B5516CFCCED",1)</v>
      </c>
      <c r="B59" s="15" t="s">
        <v>959</v>
      </c>
      <c r="C59" s="15" t="s">
        <v>146</v>
      </c>
      <c r="D59" s="15" t="s">
        <v>146</v>
      </c>
      <c r="E59" s="15" t="s">
        <v>14</v>
      </c>
      <c r="F59" s="15" t="s">
        <v>728</v>
      </c>
      <c r="G59" s="15" t="s">
        <v>960</v>
      </c>
      <c r="H59" s="15" t="s">
        <v>961</v>
      </c>
      <c r="I59" s="15" t="s">
        <v>962</v>
      </c>
      <c r="J59" s="15" t="s">
        <v>959</v>
      </c>
      <c r="K59" s="15" t="s">
        <v>135</v>
      </c>
      <c r="L59" s="15" t="s">
        <v>136</v>
      </c>
      <c r="M59" s="18">
        <v>18869</v>
      </c>
      <c r="N59" s="18">
        <v>10285</v>
      </c>
      <c r="O59" s="19">
        <v>0.3528</v>
      </c>
      <c r="P59" s="20" t="s">
        <v>200</v>
      </c>
      <c r="Q59" s="22" t="s">
        <v>963</v>
      </c>
      <c r="R59" s="18">
        <v>1033</v>
      </c>
      <c r="S59" s="19">
        <v>-0.0855</v>
      </c>
      <c r="T59" s="18">
        <v>15443.35</v>
      </c>
      <c r="U59" s="23" t="s">
        <v>384</v>
      </c>
      <c r="V59" s="18">
        <v>747.5</v>
      </c>
      <c r="W59" s="24">
        <v>113</v>
      </c>
      <c r="X59" s="25">
        <v>14.95</v>
      </c>
      <c r="AB59" s="24">
        <v>332</v>
      </c>
      <c r="AC59" s="18">
        <v>6</v>
      </c>
      <c r="AD59" s="28">
        <v>4</v>
      </c>
      <c r="AE59" s="29">
        <v>0.0058</v>
      </c>
      <c r="AF59" s="25">
        <v>4.94</v>
      </c>
      <c r="AG59" s="19">
        <v>0.4407</v>
      </c>
      <c r="AI59" s="1" t="s">
        <v>964</v>
      </c>
      <c r="AJ59" s="24">
        <v>1025</v>
      </c>
      <c r="AK59" s="1" t="s">
        <v>141</v>
      </c>
      <c r="AL59" s="24">
        <v>10</v>
      </c>
      <c r="AM59" s="24">
        <v>2</v>
      </c>
      <c r="AN59" s="15" t="s">
        <v>735</v>
      </c>
      <c r="AO59" s="1" t="s">
        <v>141</v>
      </c>
      <c r="AP59" s="1" t="s">
        <v>164</v>
      </c>
      <c r="AQ59" s="15" t="s">
        <v>736</v>
      </c>
      <c r="AR59" s="1" t="s">
        <v>737</v>
      </c>
      <c r="AS59" s="1" t="s">
        <v>146</v>
      </c>
      <c r="AT59" s="1" t="s">
        <v>145</v>
      </c>
      <c r="AU59" s="1" t="s">
        <v>146</v>
      </c>
      <c r="AV59" s="1" t="s">
        <v>145</v>
      </c>
      <c r="AW59" s="1" t="s">
        <v>146</v>
      </c>
      <c r="AX59" s="1" t="s">
        <v>146</v>
      </c>
      <c r="AY59" s="1" t="s">
        <v>146</v>
      </c>
      <c r="AZ59" s="1" t="s">
        <v>146</v>
      </c>
      <c r="BA59" s="15" t="s">
        <v>146</v>
      </c>
      <c r="BB59" s="23" t="s">
        <v>965</v>
      </c>
      <c r="BD59" s="23" t="s">
        <v>146</v>
      </c>
      <c r="BF59" s="1" t="s">
        <v>146</v>
      </c>
    </row>
    <row r="60" ht="24" customHeight="1" spans="1:58">
      <c r="A60" s="1" t="str">
        <f>_xlfn.DISPIMG("ID_D0AB87EFD9D745FCBF532430ADF6C54E",1)</f>
        <v>=DISPIMG("ID_D0AB87EFD9D745FCBF532430ADF6C54E",1)</v>
      </c>
      <c r="B60" s="15" t="s">
        <v>966</v>
      </c>
      <c r="C60" s="15" t="s">
        <v>146</v>
      </c>
      <c r="D60" s="15" t="s">
        <v>146</v>
      </c>
      <c r="E60" s="15" t="s">
        <v>61</v>
      </c>
      <c r="F60" s="15" t="s">
        <v>967</v>
      </c>
      <c r="G60" s="15" t="s">
        <v>968</v>
      </c>
      <c r="H60" s="15" t="s">
        <v>969</v>
      </c>
      <c r="I60" s="15" t="s">
        <v>970</v>
      </c>
      <c r="J60" s="15" t="s">
        <v>966</v>
      </c>
      <c r="K60" s="15" t="s">
        <v>135</v>
      </c>
      <c r="L60" s="15" t="s">
        <v>136</v>
      </c>
      <c r="M60" s="18">
        <v>30145</v>
      </c>
      <c r="N60" s="18">
        <v>22518</v>
      </c>
      <c r="O60" s="19">
        <v>0.4276</v>
      </c>
      <c r="P60" s="20" t="s">
        <v>200</v>
      </c>
      <c r="Q60" s="22" t="s">
        <v>971</v>
      </c>
      <c r="R60" s="18">
        <v>970</v>
      </c>
      <c r="S60" s="19">
        <v>-0.3045</v>
      </c>
      <c r="T60" s="18">
        <v>36850.3</v>
      </c>
      <c r="U60" s="23" t="s">
        <v>146</v>
      </c>
      <c r="V60" s="18" t="s">
        <v>146</v>
      </c>
      <c r="W60" s="24">
        <v>242</v>
      </c>
      <c r="X60" s="25">
        <v>18.99</v>
      </c>
      <c r="AA60" s="18">
        <v>24</v>
      </c>
      <c r="AB60" s="24">
        <v>1563</v>
      </c>
      <c r="AC60" s="18">
        <v>48</v>
      </c>
      <c r="AD60" s="28">
        <v>4.5</v>
      </c>
      <c r="AE60" s="29">
        <v>0.0495</v>
      </c>
      <c r="AF60" s="25">
        <v>6.1</v>
      </c>
      <c r="AG60" s="19">
        <v>0.6435</v>
      </c>
      <c r="AI60" s="1" t="s">
        <v>972</v>
      </c>
      <c r="AJ60" s="24">
        <v>803</v>
      </c>
      <c r="AK60" s="1" t="s">
        <v>141</v>
      </c>
      <c r="AL60" s="24">
        <v>9.4</v>
      </c>
      <c r="AM60" s="24">
        <v>1</v>
      </c>
      <c r="AN60" s="15" t="s">
        <v>973</v>
      </c>
      <c r="AO60" s="1" t="s">
        <v>141</v>
      </c>
      <c r="AP60" s="1" t="s">
        <v>142</v>
      </c>
      <c r="AQ60" s="15" t="s">
        <v>974</v>
      </c>
      <c r="AR60" s="1" t="s">
        <v>975</v>
      </c>
      <c r="AS60" s="1" t="s">
        <v>146</v>
      </c>
      <c r="AT60" s="1" t="s">
        <v>146</v>
      </c>
      <c r="AU60" s="1" t="s">
        <v>146</v>
      </c>
      <c r="AV60" s="1" t="s">
        <v>145</v>
      </c>
      <c r="AW60" s="1" t="s">
        <v>146</v>
      </c>
      <c r="AX60" s="1" t="s">
        <v>146</v>
      </c>
      <c r="AY60" s="1" t="s">
        <v>146</v>
      </c>
      <c r="AZ60" s="1" t="s">
        <v>146</v>
      </c>
      <c r="BA60" s="15" t="s">
        <v>146</v>
      </c>
      <c r="BC60" s="23" t="s">
        <v>976</v>
      </c>
      <c r="BD60" s="23" t="s">
        <v>977</v>
      </c>
      <c r="BE60" s="23" t="s">
        <v>978</v>
      </c>
      <c r="BF60" s="1" t="s">
        <v>979</v>
      </c>
    </row>
    <row r="61" ht="24" customHeight="1" spans="1:58">
      <c r="A61" s="1" t="str">
        <f>_xlfn.DISPIMG("ID_FE9872C2797847F5835AA78213FC4F0A",1)</f>
        <v>=DISPIMG("ID_FE9872C2797847F5835AA78213FC4F0A",1)</v>
      </c>
      <c r="B61" s="15" t="s">
        <v>980</v>
      </c>
      <c r="C61" s="15" t="s">
        <v>981</v>
      </c>
      <c r="D61" s="15" t="s">
        <v>982</v>
      </c>
      <c r="E61" s="15" t="s">
        <v>9</v>
      </c>
      <c r="F61" s="15" t="s">
        <v>811</v>
      </c>
      <c r="G61" s="15" t="s">
        <v>983</v>
      </c>
      <c r="H61" s="15" t="s">
        <v>984</v>
      </c>
      <c r="I61" s="15" t="s">
        <v>985</v>
      </c>
      <c r="J61" s="15" t="s">
        <v>986</v>
      </c>
      <c r="K61" s="15" t="s">
        <v>135</v>
      </c>
      <c r="L61" s="15" t="s">
        <v>136</v>
      </c>
      <c r="M61" s="18">
        <v>29361</v>
      </c>
      <c r="N61" s="18">
        <v>7273</v>
      </c>
      <c r="O61" s="19">
        <v>0.2042</v>
      </c>
      <c r="P61" s="20" t="s">
        <v>200</v>
      </c>
      <c r="Q61" s="22" t="s">
        <v>987</v>
      </c>
      <c r="R61" s="18">
        <v>944</v>
      </c>
      <c r="S61" s="19">
        <v>-0.2292</v>
      </c>
      <c r="T61" s="18">
        <v>34899.68</v>
      </c>
      <c r="U61" s="23" t="s">
        <v>146</v>
      </c>
      <c r="V61" s="18" t="s">
        <v>146</v>
      </c>
      <c r="W61" s="24">
        <v>90</v>
      </c>
      <c r="X61" s="25">
        <v>36.97</v>
      </c>
      <c r="Y61" s="25">
        <v>33.27</v>
      </c>
      <c r="Z61" s="8"/>
      <c r="AA61" s="18">
        <v>26</v>
      </c>
      <c r="AB61" s="24">
        <v>1289</v>
      </c>
      <c r="AC61" s="18">
        <v>17</v>
      </c>
      <c r="AD61" s="28">
        <v>4.7</v>
      </c>
      <c r="AE61" s="29">
        <v>0.018</v>
      </c>
      <c r="AF61" s="25">
        <v>6.19</v>
      </c>
      <c r="AG61" s="19">
        <v>0.6326</v>
      </c>
      <c r="AI61" s="1" t="s">
        <v>988</v>
      </c>
      <c r="AJ61" s="24">
        <v>1205</v>
      </c>
      <c r="AK61" s="1" t="s">
        <v>141</v>
      </c>
      <c r="AL61" s="24">
        <v>10</v>
      </c>
      <c r="AM61" s="24">
        <v>1</v>
      </c>
      <c r="AN61" s="15" t="s">
        <v>818</v>
      </c>
      <c r="AO61" s="1" t="s">
        <v>141</v>
      </c>
      <c r="AP61" s="1" t="s">
        <v>142</v>
      </c>
      <c r="AQ61" s="15" t="s">
        <v>819</v>
      </c>
      <c r="AR61" s="1" t="s">
        <v>820</v>
      </c>
      <c r="AS61" s="1" t="s">
        <v>146</v>
      </c>
      <c r="AT61" s="1" t="s">
        <v>146</v>
      </c>
      <c r="AU61" s="1" t="s">
        <v>146</v>
      </c>
      <c r="AV61" s="1" t="s">
        <v>145</v>
      </c>
      <c r="AW61" s="1" t="s">
        <v>146</v>
      </c>
      <c r="AX61" s="1" t="s">
        <v>146</v>
      </c>
      <c r="AY61" s="1" t="s">
        <v>145</v>
      </c>
      <c r="AZ61" s="1" t="s">
        <v>146</v>
      </c>
      <c r="BA61" s="15" t="s">
        <v>146</v>
      </c>
      <c r="BC61" s="23" t="s">
        <v>989</v>
      </c>
      <c r="BD61" s="23" t="s">
        <v>990</v>
      </c>
      <c r="BE61" s="23" t="s">
        <v>991</v>
      </c>
      <c r="BF61" s="1" t="s">
        <v>992</v>
      </c>
    </row>
    <row r="62" ht="24" customHeight="1" spans="1:58">
      <c r="A62" s="1" t="str">
        <f>_xlfn.DISPIMG("ID_F105642A4C524658BC37C067649D7727",1)</f>
        <v>=DISPIMG("ID_F105642A4C524658BC37C067649D7727",1)</v>
      </c>
      <c r="B62" s="15" t="s">
        <v>993</v>
      </c>
      <c r="C62" s="15" t="s">
        <v>146</v>
      </c>
      <c r="D62" s="15" t="s">
        <v>146</v>
      </c>
      <c r="E62" s="15" t="s">
        <v>13</v>
      </c>
      <c r="F62" s="15" t="s">
        <v>478</v>
      </c>
      <c r="G62" s="15" t="s">
        <v>994</v>
      </c>
      <c r="H62" s="15" t="s">
        <v>995</v>
      </c>
      <c r="I62" s="15" t="s">
        <v>996</v>
      </c>
      <c r="J62" s="15" t="s">
        <v>993</v>
      </c>
      <c r="K62" s="15" t="s">
        <v>567</v>
      </c>
      <c r="L62" s="15" t="s">
        <v>136</v>
      </c>
      <c r="M62" s="18">
        <v>43547</v>
      </c>
      <c r="N62" s="18">
        <v>12727</v>
      </c>
      <c r="O62" s="19">
        <v>0.2262</v>
      </c>
      <c r="P62" s="20" t="s">
        <v>568</v>
      </c>
      <c r="Q62" s="22" t="s">
        <v>308</v>
      </c>
      <c r="R62" s="18">
        <v>938</v>
      </c>
      <c r="S62" s="19">
        <v>-0.2628</v>
      </c>
      <c r="T62" s="18">
        <v>20617.24</v>
      </c>
      <c r="U62" s="23" t="s">
        <v>161</v>
      </c>
      <c r="V62" s="18">
        <v>2198</v>
      </c>
      <c r="W62" s="24">
        <v>51</v>
      </c>
      <c r="X62" s="25">
        <v>21.98</v>
      </c>
      <c r="AA62" s="18">
        <v>5</v>
      </c>
      <c r="AB62" s="24">
        <v>197</v>
      </c>
      <c r="AC62" s="18">
        <v>16</v>
      </c>
      <c r="AD62" s="28">
        <v>4.5</v>
      </c>
      <c r="AE62" s="29">
        <v>0.0171</v>
      </c>
      <c r="AF62" s="25">
        <v>4.94</v>
      </c>
      <c r="AG62" s="19">
        <v>0.5753</v>
      </c>
      <c r="AI62" s="1" t="s">
        <v>997</v>
      </c>
      <c r="AJ62" s="24">
        <v>156</v>
      </c>
      <c r="AK62" s="1" t="s">
        <v>141</v>
      </c>
      <c r="AL62" s="24">
        <v>8.9</v>
      </c>
      <c r="AM62" s="24">
        <v>1</v>
      </c>
      <c r="AN62" s="15" t="s">
        <v>13</v>
      </c>
      <c r="AO62" s="1" t="s">
        <v>141</v>
      </c>
      <c r="AP62" s="1" t="s">
        <v>485</v>
      </c>
      <c r="AQ62" s="15" t="s">
        <v>486</v>
      </c>
      <c r="AR62" s="1" t="s">
        <v>487</v>
      </c>
      <c r="AS62" s="1" t="s">
        <v>146</v>
      </c>
      <c r="AT62" s="1" t="s">
        <v>146</v>
      </c>
      <c r="AU62" s="1" t="s">
        <v>146</v>
      </c>
      <c r="AV62" s="1" t="s">
        <v>145</v>
      </c>
      <c r="AW62" s="1" t="s">
        <v>145</v>
      </c>
      <c r="AX62" s="1" t="s">
        <v>146</v>
      </c>
      <c r="AY62" s="1" t="s">
        <v>146</v>
      </c>
      <c r="AZ62" s="1" t="s">
        <v>146</v>
      </c>
      <c r="BA62" s="15" t="s">
        <v>146</v>
      </c>
      <c r="BC62" s="23" t="s">
        <v>998</v>
      </c>
      <c r="BD62" s="23" t="s">
        <v>999</v>
      </c>
      <c r="BE62" s="23" t="s">
        <v>1000</v>
      </c>
      <c r="BF62" s="1" t="s">
        <v>1001</v>
      </c>
    </row>
    <row r="63" ht="24" customHeight="1" spans="1:58">
      <c r="A63" s="1" t="str">
        <f>_xlfn.DISPIMG("ID_C7B35E3486AC40299BA95592E00D3D0C",1)</f>
        <v>=DISPIMG("ID_C7B35E3486AC40299BA95592E00D3D0C",1)</v>
      </c>
      <c r="B63" s="15" t="s">
        <v>1002</v>
      </c>
      <c r="C63" s="15" t="s">
        <v>146</v>
      </c>
      <c r="D63" s="15" t="s">
        <v>146</v>
      </c>
      <c r="E63" s="15" t="s">
        <v>27</v>
      </c>
      <c r="F63" s="15" t="s">
        <v>1003</v>
      </c>
      <c r="G63" s="15" t="s">
        <v>1004</v>
      </c>
      <c r="H63" s="15" t="s">
        <v>1005</v>
      </c>
      <c r="I63" s="15" t="s">
        <v>1006</v>
      </c>
      <c r="J63" s="15" t="s">
        <v>1002</v>
      </c>
      <c r="K63" s="15" t="s">
        <v>135</v>
      </c>
      <c r="L63" s="15" t="s">
        <v>136</v>
      </c>
      <c r="M63" s="18">
        <v>35656</v>
      </c>
      <c r="N63" s="18">
        <v>278</v>
      </c>
      <c r="O63" s="19">
        <v>0.0077</v>
      </c>
      <c r="P63" s="20" t="s">
        <v>324</v>
      </c>
      <c r="Q63" s="22" t="s">
        <v>1007</v>
      </c>
      <c r="R63" s="18">
        <v>898</v>
      </c>
      <c r="S63" s="19">
        <v>-0.2474</v>
      </c>
      <c r="T63" s="18">
        <v>10677.221</v>
      </c>
      <c r="U63" s="23" t="s">
        <v>146</v>
      </c>
      <c r="V63" s="18" t="s">
        <v>146</v>
      </c>
      <c r="W63" s="24">
        <v>99</v>
      </c>
      <c r="X63" s="25">
        <v>11.89</v>
      </c>
      <c r="AA63" s="18">
        <v>3</v>
      </c>
      <c r="AB63" s="24">
        <v>297</v>
      </c>
      <c r="AC63" s="18">
        <v>9</v>
      </c>
      <c r="AD63" s="28">
        <v>3.8</v>
      </c>
      <c r="AE63" s="29">
        <v>0.01</v>
      </c>
      <c r="AF63" s="25">
        <v>4.17</v>
      </c>
      <c r="AG63" s="19">
        <v>0.4493</v>
      </c>
      <c r="AI63" s="1" t="s">
        <v>1008</v>
      </c>
      <c r="AJ63" s="24">
        <v>113</v>
      </c>
      <c r="AK63" s="1" t="s">
        <v>141</v>
      </c>
      <c r="AL63" s="24">
        <v>9.4</v>
      </c>
      <c r="AM63" s="24">
        <v>2</v>
      </c>
      <c r="AN63" s="15" t="s">
        <v>27</v>
      </c>
      <c r="AO63" s="1" t="s">
        <v>141</v>
      </c>
      <c r="AP63" s="1" t="s">
        <v>142</v>
      </c>
      <c r="AQ63" s="15" t="s">
        <v>1009</v>
      </c>
      <c r="AR63" s="1" t="s">
        <v>1010</v>
      </c>
      <c r="AS63" s="1" t="s">
        <v>146</v>
      </c>
      <c r="AT63" s="1" t="s">
        <v>145</v>
      </c>
      <c r="AU63" s="1" t="s">
        <v>145</v>
      </c>
      <c r="AV63" s="1" t="s">
        <v>145</v>
      </c>
      <c r="AW63" s="1" t="s">
        <v>146</v>
      </c>
      <c r="AX63" s="1" t="s">
        <v>146</v>
      </c>
      <c r="AY63" s="1" t="s">
        <v>146</v>
      </c>
      <c r="AZ63" s="1" t="s">
        <v>146</v>
      </c>
      <c r="BA63" s="15" t="s">
        <v>146</v>
      </c>
      <c r="BB63" s="23" t="s">
        <v>1011</v>
      </c>
      <c r="BC63" s="23" t="s">
        <v>861</v>
      </c>
      <c r="BD63" s="23" t="s">
        <v>862</v>
      </c>
      <c r="BE63" s="23" t="s">
        <v>1012</v>
      </c>
      <c r="BF63" s="1" t="s">
        <v>1013</v>
      </c>
    </row>
    <row r="64" ht="24" customHeight="1" spans="1:58">
      <c r="A64" s="1" t="str">
        <f>_xlfn.DISPIMG("ID_EC5E41A6DF0C4F1FB367D395F16335AA",1)</f>
        <v>=DISPIMG("ID_EC5E41A6DF0C4F1FB367D395F16335AA",1)</v>
      </c>
      <c r="B64" s="15" t="s">
        <v>1014</v>
      </c>
      <c r="C64" s="15" t="s">
        <v>146</v>
      </c>
      <c r="D64" s="15" t="s">
        <v>146</v>
      </c>
      <c r="E64" s="15" t="s">
        <v>12</v>
      </c>
      <c r="F64" s="15" t="s">
        <v>233</v>
      </c>
      <c r="G64" s="15" t="s">
        <v>1015</v>
      </c>
      <c r="H64" s="15" t="s">
        <v>1016</v>
      </c>
      <c r="I64" s="15" t="s">
        <v>1017</v>
      </c>
      <c r="J64" s="15" t="s">
        <v>1014</v>
      </c>
      <c r="K64" s="15" t="s">
        <v>135</v>
      </c>
      <c r="L64" s="15" t="s">
        <v>136</v>
      </c>
      <c r="M64" s="18">
        <v>41779</v>
      </c>
      <c r="N64" s="18">
        <v>-13991</v>
      </c>
      <c r="O64" s="19">
        <v>-0.5035</v>
      </c>
      <c r="P64" s="20" t="s">
        <v>200</v>
      </c>
      <c r="Q64" s="22" t="s">
        <v>1018</v>
      </c>
      <c r="R64" s="18">
        <v>876</v>
      </c>
      <c r="S64" s="19">
        <v>-0.3621</v>
      </c>
      <c r="T64" s="18">
        <v>25395.24</v>
      </c>
      <c r="U64" s="23" t="s">
        <v>146</v>
      </c>
      <c r="V64" s="18" t="s">
        <v>146</v>
      </c>
      <c r="W64" s="24">
        <v>411</v>
      </c>
      <c r="X64" s="25">
        <v>28.99</v>
      </c>
      <c r="AA64" s="18">
        <v>119</v>
      </c>
      <c r="AB64" s="24">
        <v>173</v>
      </c>
      <c r="AC64" s="18">
        <v>8</v>
      </c>
      <c r="AD64" s="28">
        <v>4.4</v>
      </c>
      <c r="AE64" s="29">
        <v>0.0091</v>
      </c>
      <c r="AG64" s="19">
        <v>0</v>
      </c>
      <c r="AI64" s="1" t="s">
        <v>1019</v>
      </c>
      <c r="AJ64" s="24">
        <v>848</v>
      </c>
      <c r="AK64" s="1" t="s">
        <v>141</v>
      </c>
      <c r="AL64" s="24">
        <v>10</v>
      </c>
      <c r="AM64" s="24">
        <v>1</v>
      </c>
      <c r="AN64" s="15" t="s">
        <v>240</v>
      </c>
      <c r="AO64" s="1" t="s">
        <v>141</v>
      </c>
      <c r="AP64" s="1" t="s">
        <v>142</v>
      </c>
      <c r="AQ64" s="15" t="s">
        <v>241</v>
      </c>
      <c r="AR64" s="1" t="s">
        <v>242</v>
      </c>
      <c r="AS64" s="1" t="s">
        <v>146</v>
      </c>
      <c r="AT64" s="1" t="s">
        <v>145</v>
      </c>
      <c r="AU64" s="1" t="s">
        <v>146</v>
      </c>
      <c r="AV64" s="1" t="s">
        <v>145</v>
      </c>
      <c r="AW64" s="1" t="s">
        <v>146</v>
      </c>
      <c r="AX64" s="1" t="s">
        <v>146</v>
      </c>
      <c r="AY64" s="1" t="s">
        <v>146</v>
      </c>
      <c r="AZ64" s="1" t="s">
        <v>146</v>
      </c>
      <c r="BA64" s="15" t="s">
        <v>146</v>
      </c>
      <c r="BB64" s="23" t="s">
        <v>1020</v>
      </c>
      <c r="BD64" s="23" t="s">
        <v>146</v>
      </c>
      <c r="BF64" s="1" t="s">
        <v>146</v>
      </c>
    </row>
    <row r="65" ht="24" customHeight="1" spans="1:58">
      <c r="A65" s="1" t="str">
        <f>_xlfn.DISPIMG("ID_5E2FD3DF481E4EB580CA99744BE7D9BB",1)</f>
        <v>=DISPIMG("ID_5E2FD3DF481E4EB580CA99744BE7D9BB",1)</v>
      </c>
      <c r="B65" s="15" t="s">
        <v>1021</v>
      </c>
      <c r="C65" s="15" t="s">
        <v>128</v>
      </c>
      <c r="D65" s="15" t="s">
        <v>411</v>
      </c>
      <c r="E65" s="15" t="s">
        <v>8</v>
      </c>
      <c r="F65" s="15" t="s">
        <v>364</v>
      </c>
      <c r="G65" s="15" t="s">
        <v>1022</v>
      </c>
      <c r="H65" s="15" t="s">
        <v>1023</v>
      </c>
      <c r="I65" s="15" t="s">
        <v>1024</v>
      </c>
      <c r="J65" s="15" t="s">
        <v>1025</v>
      </c>
      <c r="K65" s="15" t="s">
        <v>135</v>
      </c>
      <c r="L65" s="15" t="s">
        <v>136</v>
      </c>
      <c r="M65" s="18">
        <v>28163</v>
      </c>
      <c r="N65" s="18">
        <v>5411</v>
      </c>
      <c r="O65" s="19">
        <v>0.1626</v>
      </c>
      <c r="P65" s="20" t="s">
        <v>200</v>
      </c>
      <c r="Q65" s="22" t="s">
        <v>963</v>
      </c>
      <c r="R65" s="18">
        <v>850</v>
      </c>
      <c r="S65" s="19">
        <v>-0.0116</v>
      </c>
      <c r="T65" s="18">
        <v>12741.5</v>
      </c>
      <c r="U65" s="23" t="s">
        <v>161</v>
      </c>
      <c r="V65" s="18">
        <v>1499</v>
      </c>
      <c r="W65" s="24">
        <v>27</v>
      </c>
      <c r="X65" s="25">
        <v>14.99</v>
      </c>
      <c r="Z65" s="8"/>
      <c r="AB65" s="24">
        <v>37</v>
      </c>
      <c r="AC65" s="18">
        <v>6</v>
      </c>
      <c r="AD65" s="28">
        <v>4.4</v>
      </c>
      <c r="AE65" s="29">
        <v>0.0071</v>
      </c>
      <c r="AF65" s="25">
        <v>4.94</v>
      </c>
      <c r="AG65" s="19">
        <v>0.4704</v>
      </c>
      <c r="AI65" s="1" t="s">
        <v>1026</v>
      </c>
      <c r="AJ65" s="24">
        <v>121</v>
      </c>
      <c r="AK65" s="1" t="s">
        <v>141</v>
      </c>
      <c r="AL65" s="24">
        <v>10</v>
      </c>
      <c r="AM65" s="24">
        <v>1</v>
      </c>
      <c r="AN65" s="15" t="s">
        <v>371</v>
      </c>
      <c r="AO65" s="1" t="s">
        <v>141</v>
      </c>
      <c r="AP65" s="1" t="s">
        <v>142</v>
      </c>
      <c r="AQ65" s="15" t="s">
        <v>372</v>
      </c>
      <c r="AR65" s="1" t="s">
        <v>373</v>
      </c>
      <c r="AS65" s="1" t="s">
        <v>146</v>
      </c>
      <c r="AT65" s="1" t="s">
        <v>146</v>
      </c>
      <c r="AU65" s="1" t="s">
        <v>146</v>
      </c>
      <c r="AV65" s="1" t="s">
        <v>145</v>
      </c>
      <c r="AW65" s="1" t="s">
        <v>145</v>
      </c>
      <c r="AX65" s="1" t="s">
        <v>146</v>
      </c>
      <c r="AY65" s="1" t="s">
        <v>145</v>
      </c>
      <c r="AZ65" s="1" t="s">
        <v>146</v>
      </c>
      <c r="BA65" s="15" t="s">
        <v>146</v>
      </c>
      <c r="BC65" s="23" t="s">
        <v>655</v>
      </c>
      <c r="BD65" s="23" t="s">
        <v>656</v>
      </c>
      <c r="BE65" s="23" t="s">
        <v>1027</v>
      </c>
      <c r="BF65" s="1" t="s">
        <v>1028</v>
      </c>
    </row>
    <row r="66" ht="24" customHeight="1" spans="1:58">
      <c r="A66" s="1" t="str">
        <f>_xlfn.DISPIMG("ID_E3A8C2D14B63452E976895A08F715045",1)</f>
        <v>=DISPIMG("ID_E3A8C2D14B63452E976895A08F715045",1)</v>
      </c>
      <c r="B66" s="15" t="s">
        <v>1029</v>
      </c>
      <c r="C66" s="15" t="s">
        <v>146</v>
      </c>
      <c r="D66" s="15" t="s">
        <v>146</v>
      </c>
      <c r="E66" s="15" t="s">
        <v>28</v>
      </c>
      <c r="F66" s="15" t="s">
        <v>1030</v>
      </c>
      <c r="G66" s="15" t="s">
        <v>1031</v>
      </c>
      <c r="H66" s="15" t="s">
        <v>1032</v>
      </c>
      <c r="I66" s="15" t="s">
        <v>900</v>
      </c>
      <c r="J66" s="15" t="s">
        <v>1029</v>
      </c>
      <c r="K66" s="15" t="s">
        <v>135</v>
      </c>
      <c r="L66" s="15" t="s">
        <v>136</v>
      </c>
      <c r="M66" s="18">
        <v>32459</v>
      </c>
      <c r="N66" s="18">
        <v>1709</v>
      </c>
      <c r="O66" s="19">
        <v>0.05</v>
      </c>
      <c r="P66" s="20" t="s">
        <v>200</v>
      </c>
      <c r="Q66" s="22" t="s">
        <v>987</v>
      </c>
      <c r="R66" s="18">
        <v>849</v>
      </c>
      <c r="S66" s="19">
        <v>-0.1503</v>
      </c>
      <c r="T66" s="18">
        <v>16971.51</v>
      </c>
      <c r="U66" s="23" t="s">
        <v>384</v>
      </c>
      <c r="V66" s="18">
        <v>999.5</v>
      </c>
      <c r="W66" s="24">
        <v>34</v>
      </c>
      <c r="X66" s="25">
        <v>19.99</v>
      </c>
      <c r="AA66" s="18">
        <v>16</v>
      </c>
      <c r="AB66" s="24">
        <v>204</v>
      </c>
      <c r="AC66" s="18">
        <v>3</v>
      </c>
      <c r="AD66" s="28">
        <v>4.5</v>
      </c>
      <c r="AE66" s="29">
        <v>0.0035</v>
      </c>
      <c r="AF66" s="25">
        <v>4.77</v>
      </c>
      <c r="AG66" s="19">
        <v>0.5614</v>
      </c>
      <c r="AI66" s="1" t="s">
        <v>1033</v>
      </c>
      <c r="AJ66" s="24">
        <v>757</v>
      </c>
      <c r="AK66" s="1" t="s">
        <v>141</v>
      </c>
      <c r="AL66" s="24">
        <v>9.5</v>
      </c>
      <c r="AM66" s="24">
        <v>1</v>
      </c>
      <c r="AN66" s="15" t="s">
        <v>1034</v>
      </c>
      <c r="AO66" s="1" t="s">
        <v>141</v>
      </c>
      <c r="AP66" s="1" t="s">
        <v>142</v>
      </c>
      <c r="AQ66" s="15" t="s">
        <v>1035</v>
      </c>
      <c r="AR66" s="1" t="s">
        <v>1036</v>
      </c>
      <c r="AS66" s="1" t="s">
        <v>146</v>
      </c>
      <c r="AT66" s="1" t="s">
        <v>145</v>
      </c>
      <c r="AU66" s="1" t="s">
        <v>146</v>
      </c>
      <c r="AV66" s="1" t="s">
        <v>145</v>
      </c>
      <c r="AW66" s="1" t="s">
        <v>145</v>
      </c>
      <c r="AX66" s="1" t="s">
        <v>146</v>
      </c>
      <c r="AY66" s="1" t="s">
        <v>146</v>
      </c>
      <c r="AZ66" s="1" t="s">
        <v>146</v>
      </c>
      <c r="BA66" s="15" t="s">
        <v>146</v>
      </c>
      <c r="BB66" s="23" t="s">
        <v>1037</v>
      </c>
      <c r="BC66" s="23" t="s">
        <v>441</v>
      </c>
      <c r="BD66" s="23" t="s">
        <v>442</v>
      </c>
      <c r="BE66" s="23" t="s">
        <v>1038</v>
      </c>
      <c r="BF66" s="1" t="s">
        <v>1039</v>
      </c>
    </row>
    <row r="67" ht="24" customHeight="1" spans="1:58">
      <c r="A67" s="1" t="str">
        <f>_xlfn.DISPIMG("ID_039D349F37884787B8F5FAB566CF3452",1)</f>
        <v>=DISPIMG("ID_039D349F37884787B8F5FAB566CF3452",1)</v>
      </c>
      <c r="B67" s="15" t="s">
        <v>1040</v>
      </c>
      <c r="C67" s="15" t="s">
        <v>146</v>
      </c>
      <c r="D67" s="15" t="s">
        <v>146</v>
      </c>
      <c r="E67" s="15" t="s">
        <v>7</v>
      </c>
      <c r="F67" s="15" t="s">
        <v>174</v>
      </c>
      <c r="G67" s="15" t="s">
        <v>1041</v>
      </c>
      <c r="H67" s="15" t="s">
        <v>1042</v>
      </c>
      <c r="I67" s="15" t="s">
        <v>1043</v>
      </c>
      <c r="J67" s="15" t="s">
        <v>1040</v>
      </c>
      <c r="K67" s="15" t="s">
        <v>135</v>
      </c>
      <c r="L67" s="15" t="s">
        <v>136</v>
      </c>
      <c r="M67" s="18">
        <v>58653</v>
      </c>
      <c r="N67" s="18">
        <v>-31098</v>
      </c>
      <c r="O67" s="19">
        <v>-1.1286</v>
      </c>
      <c r="P67" s="20" t="s">
        <v>200</v>
      </c>
      <c r="Q67" s="22" t="s">
        <v>308</v>
      </c>
      <c r="R67" s="18">
        <v>842</v>
      </c>
      <c r="S67" s="19">
        <v>-0.4462</v>
      </c>
      <c r="T67" s="18">
        <v>22725.58</v>
      </c>
      <c r="U67" s="23" t="s">
        <v>161</v>
      </c>
      <c r="V67" s="18">
        <v>2699</v>
      </c>
      <c r="W67" s="24">
        <v>42</v>
      </c>
      <c r="X67" s="25">
        <v>26.99</v>
      </c>
      <c r="AA67" s="18">
        <v>83</v>
      </c>
      <c r="AB67" s="24">
        <v>355</v>
      </c>
      <c r="AC67" s="18">
        <v>33</v>
      </c>
      <c r="AD67" s="28">
        <v>4.4</v>
      </c>
      <c r="AE67" s="29">
        <v>0.0392</v>
      </c>
      <c r="AF67" s="25">
        <v>3.6</v>
      </c>
      <c r="AG67" s="19">
        <v>0.6666</v>
      </c>
      <c r="AI67" s="1" t="s">
        <v>1044</v>
      </c>
      <c r="AJ67" s="24">
        <v>625</v>
      </c>
      <c r="AK67" s="1" t="s">
        <v>141</v>
      </c>
      <c r="AL67" s="24">
        <v>10</v>
      </c>
      <c r="AM67" s="24">
        <v>1</v>
      </c>
      <c r="AN67" s="15" t="s">
        <v>184</v>
      </c>
      <c r="AO67" s="1" t="s">
        <v>141</v>
      </c>
      <c r="AP67" s="1" t="s">
        <v>142</v>
      </c>
      <c r="AQ67" s="15" t="s">
        <v>185</v>
      </c>
      <c r="AR67" s="1" t="s">
        <v>186</v>
      </c>
      <c r="AS67" s="1" t="s">
        <v>145</v>
      </c>
      <c r="AT67" s="1" t="s">
        <v>146</v>
      </c>
      <c r="AU67" s="1" t="s">
        <v>146</v>
      </c>
      <c r="AV67" s="1" t="s">
        <v>145</v>
      </c>
      <c r="AW67" s="1" t="s">
        <v>145</v>
      </c>
      <c r="AX67" s="1" t="s">
        <v>146</v>
      </c>
      <c r="AY67" s="1" t="s">
        <v>146</v>
      </c>
      <c r="AZ67" s="1" t="s">
        <v>146</v>
      </c>
      <c r="BA67" s="15" t="s">
        <v>146</v>
      </c>
      <c r="BC67" s="23" t="s">
        <v>1045</v>
      </c>
      <c r="BD67" s="23" t="s">
        <v>1046</v>
      </c>
      <c r="BE67" s="23" t="s">
        <v>1047</v>
      </c>
      <c r="BF67" s="1" t="s">
        <v>1048</v>
      </c>
    </row>
    <row r="68" ht="24" customHeight="1" spans="1:58">
      <c r="A68" s="1" t="str">
        <f>_xlfn.DISPIMG("ID_BD785481783D4BB98CB13937C03663B6",1)</f>
        <v>=DISPIMG("ID_BD785481783D4BB98CB13937C03663B6",1)</v>
      </c>
      <c r="B68" s="15" t="s">
        <v>1049</v>
      </c>
      <c r="C68" s="15" t="s">
        <v>146</v>
      </c>
      <c r="D68" s="15" t="s">
        <v>146</v>
      </c>
      <c r="E68" s="15" t="s">
        <v>29</v>
      </c>
      <c r="F68" s="15" t="s">
        <v>1050</v>
      </c>
      <c r="G68" s="15" t="s">
        <v>1051</v>
      </c>
      <c r="H68" s="15" t="s">
        <v>1052</v>
      </c>
      <c r="I68" s="15" t="s">
        <v>1053</v>
      </c>
      <c r="J68" s="15" t="s">
        <v>1049</v>
      </c>
      <c r="K68" s="15" t="s">
        <v>135</v>
      </c>
      <c r="L68" s="15" t="s">
        <v>136</v>
      </c>
      <c r="M68" s="18">
        <v>43390</v>
      </c>
      <c r="N68" s="18">
        <v>42385</v>
      </c>
      <c r="O68" s="19">
        <v>0.4941</v>
      </c>
      <c r="P68" s="20" t="s">
        <v>200</v>
      </c>
      <c r="Q68" s="22" t="s">
        <v>1054</v>
      </c>
      <c r="R68" s="18">
        <v>837</v>
      </c>
      <c r="S68" s="19">
        <v>0.2311</v>
      </c>
      <c r="T68" s="18">
        <v>30952.26</v>
      </c>
      <c r="U68" s="23" t="s">
        <v>146</v>
      </c>
      <c r="V68" s="18" t="s">
        <v>146</v>
      </c>
      <c r="W68" s="24">
        <v>116</v>
      </c>
      <c r="X68" s="25">
        <v>36.98</v>
      </c>
      <c r="AA68" s="18">
        <v>11</v>
      </c>
      <c r="AB68" s="24">
        <v>802</v>
      </c>
      <c r="AC68" s="18">
        <v>676</v>
      </c>
      <c r="AD68" s="28">
        <v>4.4</v>
      </c>
      <c r="AE68" s="29">
        <v>0.8076</v>
      </c>
      <c r="AF68" s="25">
        <v>5.82</v>
      </c>
      <c r="AG68" s="19">
        <v>0.6426</v>
      </c>
      <c r="AI68" s="1" t="s">
        <v>1055</v>
      </c>
      <c r="AJ68" s="24">
        <v>35</v>
      </c>
      <c r="AK68" s="1" t="s">
        <v>141</v>
      </c>
      <c r="AL68" s="24">
        <v>8.8</v>
      </c>
      <c r="AM68" s="24">
        <v>1</v>
      </c>
      <c r="AN68" s="15" t="s">
        <v>29</v>
      </c>
      <c r="AO68" s="1" t="s">
        <v>141</v>
      </c>
      <c r="AP68" s="1" t="s">
        <v>142</v>
      </c>
      <c r="AQ68" s="15" t="s">
        <v>1056</v>
      </c>
      <c r="AR68" s="1" t="s">
        <v>1057</v>
      </c>
      <c r="AS68" s="1" t="s">
        <v>146</v>
      </c>
      <c r="AT68" s="1" t="s">
        <v>146</v>
      </c>
      <c r="AU68" s="1" t="s">
        <v>146</v>
      </c>
      <c r="AV68" s="1" t="s">
        <v>145</v>
      </c>
      <c r="AW68" s="1" t="s">
        <v>145</v>
      </c>
      <c r="AX68" s="1" t="s">
        <v>146</v>
      </c>
      <c r="AY68" s="1" t="s">
        <v>146</v>
      </c>
      <c r="AZ68" s="1" t="s">
        <v>146</v>
      </c>
      <c r="BA68" s="15" t="s">
        <v>146</v>
      </c>
      <c r="BC68" s="23" t="s">
        <v>1058</v>
      </c>
      <c r="BD68" s="23" t="s">
        <v>1059</v>
      </c>
      <c r="BE68" s="23" t="s">
        <v>1060</v>
      </c>
      <c r="BF68" s="1" t="s">
        <v>1061</v>
      </c>
    </row>
    <row r="69" ht="24" customHeight="1" spans="1:58">
      <c r="A69" s="1" t="str">
        <f>_xlfn.DISPIMG("ID_9E9B7588A52B4EFA87F9AADCE69EE9F5",1)</f>
        <v>=DISPIMG("ID_9E9B7588A52B4EFA87F9AADCE69EE9F5",1)</v>
      </c>
      <c r="B69" s="15" t="s">
        <v>1062</v>
      </c>
      <c r="C69" s="15" t="s">
        <v>146</v>
      </c>
      <c r="D69" s="15" t="s">
        <v>146</v>
      </c>
      <c r="E69" s="15" t="s">
        <v>46</v>
      </c>
      <c r="F69" s="15" t="s">
        <v>1063</v>
      </c>
      <c r="G69" s="15" t="s">
        <v>1064</v>
      </c>
      <c r="H69" s="15" t="s">
        <v>1065</v>
      </c>
      <c r="I69" s="15" t="s">
        <v>1066</v>
      </c>
      <c r="J69" s="15" t="s">
        <v>1062</v>
      </c>
      <c r="K69" s="15" t="s">
        <v>135</v>
      </c>
      <c r="L69" s="15" t="s">
        <v>136</v>
      </c>
      <c r="M69" s="18">
        <v>33183</v>
      </c>
      <c r="N69" s="18">
        <v>-1928</v>
      </c>
      <c r="O69" s="19">
        <v>-0.0617</v>
      </c>
      <c r="P69" s="20" t="s">
        <v>324</v>
      </c>
      <c r="Q69" s="22" t="s">
        <v>1067</v>
      </c>
      <c r="R69" s="18">
        <v>830</v>
      </c>
      <c r="S69" s="19">
        <v>0.0518</v>
      </c>
      <c r="T69" s="18">
        <v>19911.7</v>
      </c>
      <c r="U69" s="23" t="s">
        <v>146</v>
      </c>
      <c r="V69" s="18" t="s">
        <v>146</v>
      </c>
      <c r="W69" s="24">
        <v>50</v>
      </c>
      <c r="X69" s="25">
        <v>23.99</v>
      </c>
      <c r="AB69" s="24">
        <v>157</v>
      </c>
      <c r="AC69" s="18">
        <v>1</v>
      </c>
      <c r="AD69" s="28">
        <v>4.5</v>
      </c>
      <c r="AE69" s="29">
        <v>0.0012</v>
      </c>
      <c r="AF69" s="25">
        <v>3.5</v>
      </c>
      <c r="AG69" s="19">
        <v>0.6541</v>
      </c>
      <c r="AI69" s="1" t="s">
        <v>1068</v>
      </c>
      <c r="AJ69" s="24">
        <v>1015</v>
      </c>
      <c r="AK69" s="1" t="s">
        <v>141</v>
      </c>
      <c r="AL69" s="24">
        <v>9.8</v>
      </c>
      <c r="AM69" s="24">
        <v>2</v>
      </c>
      <c r="AN69" s="15" t="s">
        <v>1069</v>
      </c>
      <c r="AO69" s="1" t="s">
        <v>141</v>
      </c>
      <c r="AP69" s="1" t="s">
        <v>142</v>
      </c>
      <c r="AQ69" s="15" t="s">
        <v>1070</v>
      </c>
      <c r="AR69" s="1" t="s">
        <v>1071</v>
      </c>
      <c r="AS69" s="1" t="s">
        <v>146</v>
      </c>
      <c r="AT69" s="1" t="s">
        <v>146</v>
      </c>
      <c r="AU69" s="1" t="s">
        <v>146</v>
      </c>
      <c r="AV69" s="1" t="s">
        <v>145</v>
      </c>
      <c r="AW69" s="1" t="s">
        <v>146</v>
      </c>
      <c r="AX69" s="1" t="s">
        <v>146</v>
      </c>
      <c r="AY69" s="1" t="s">
        <v>146</v>
      </c>
      <c r="AZ69" s="1" t="s">
        <v>146</v>
      </c>
      <c r="BA69" s="15" t="s">
        <v>146</v>
      </c>
      <c r="BC69" s="23" t="s">
        <v>329</v>
      </c>
      <c r="BD69" s="23" t="s">
        <v>330</v>
      </c>
      <c r="BE69" s="23" t="s">
        <v>892</v>
      </c>
      <c r="BF69" s="1" t="s">
        <v>893</v>
      </c>
    </row>
    <row r="70" ht="24" customHeight="1" spans="1:58">
      <c r="A70" s="1" t="str">
        <f>_xlfn.DISPIMG("ID_5567162D0AE8403392E7B16C3BE9CA50",1)</f>
        <v>=DISPIMG("ID_5567162D0AE8403392E7B16C3BE9CA50",1)</v>
      </c>
      <c r="B70" s="15" t="s">
        <v>1072</v>
      </c>
      <c r="C70" s="15" t="s">
        <v>146</v>
      </c>
      <c r="D70" s="15" t="s">
        <v>146</v>
      </c>
      <c r="E70" s="15" t="s">
        <v>30</v>
      </c>
      <c r="F70" s="15" t="s">
        <v>1073</v>
      </c>
      <c r="G70" s="15" t="s">
        <v>1074</v>
      </c>
      <c r="H70" s="15" t="s">
        <v>1075</v>
      </c>
      <c r="I70" s="15" t="s">
        <v>1076</v>
      </c>
      <c r="J70" s="15" t="s">
        <v>1072</v>
      </c>
      <c r="K70" s="15" t="s">
        <v>135</v>
      </c>
      <c r="L70" s="15" t="s">
        <v>136</v>
      </c>
      <c r="M70" s="18">
        <v>37578</v>
      </c>
      <c r="N70" s="18">
        <v>17151</v>
      </c>
      <c r="O70" s="19">
        <v>0.3134</v>
      </c>
      <c r="P70" s="20" t="s">
        <v>200</v>
      </c>
      <c r="Q70" s="22" t="s">
        <v>1077</v>
      </c>
      <c r="R70" s="18">
        <v>820</v>
      </c>
      <c r="S70" s="19">
        <v>1.5429</v>
      </c>
      <c r="T70" s="18">
        <v>28691.8</v>
      </c>
      <c r="U70" s="23" t="s">
        <v>161</v>
      </c>
      <c r="V70" s="18">
        <v>3499</v>
      </c>
      <c r="W70" s="24">
        <v>42</v>
      </c>
      <c r="X70" s="25">
        <v>34.99</v>
      </c>
      <c r="AA70" s="18">
        <v>5</v>
      </c>
      <c r="AB70" s="24">
        <v>291</v>
      </c>
      <c r="AC70" s="18">
        <v>10</v>
      </c>
      <c r="AD70" s="28">
        <v>4.4</v>
      </c>
      <c r="AE70" s="29">
        <v>0.0122</v>
      </c>
      <c r="AF70" s="25">
        <v>5.39</v>
      </c>
      <c r="AG70" s="19">
        <v>0.646</v>
      </c>
      <c r="AI70" s="1" t="s">
        <v>1078</v>
      </c>
      <c r="AJ70" s="24">
        <v>1113</v>
      </c>
      <c r="AK70" s="1" t="s">
        <v>141</v>
      </c>
      <c r="AL70" s="24">
        <v>10</v>
      </c>
      <c r="AM70" s="24">
        <v>1</v>
      </c>
      <c r="AN70" s="15" t="s">
        <v>1079</v>
      </c>
      <c r="AO70" s="1" t="s">
        <v>141</v>
      </c>
      <c r="AP70" s="1" t="s">
        <v>142</v>
      </c>
      <c r="AQ70" s="15" t="s">
        <v>1080</v>
      </c>
      <c r="AR70" s="1" t="s">
        <v>1081</v>
      </c>
      <c r="AS70" s="1" t="s">
        <v>146</v>
      </c>
      <c r="AT70" s="1" t="s">
        <v>145</v>
      </c>
      <c r="AU70" s="1" t="s">
        <v>146</v>
      </c>
      <c r="AV70" s="1" t="s">
        <v>145</v>
      </c>
      <c r="AW70" s="1" t="s">
        <v>145</v>
      </c>
      <c r="AX70" s="1" t="s">
        <v>146</v>
      </c>
      <c r="AY70" s="1" t="s">
        <v>146</v>
      </c>
      <c r="AZ70" s="1" t="s">
        <v>146</v>
      </c>
      <c r="BA70" s="15" t="s">
        <v>146</v>
      </c>
      <c r="BB70" s="23" t="s">
        <v>1082</v>
      </c>
      <c r="BC70" s="23" t="s">
        <v>976</v>
      </c>
      <c r="BD70" s="23" t="s">
        <v>977</v>
      </c>
      <c r="BE70" s="23" t="s">
        <v>1083</v>
      </c>
      <c r="BF70" s="1" t="s">
        <v>1084</v>
      </c>
    </row>
    <row r="71" ht="24" customHeight="1" spans="1:58">
      <c r="A71" s="1" t="str">
        <f>_xlfn.DISPIMG("ID_D6BD642D160944D389FE35CD742BB938",1)</f>
        <v>=DISPIMG("ID_D6BD642D160944D389FE35CD742BB938",1)</v>
      </c>
      <c r="B71" s="15" t="s">
        <v>1085</v>
      </c>
      <c r="C71" s="15" t="s">
        <v>146</v>
      </c>
      <c r="D71" s="15" t="s">
        <v>146</v>
      </c>
      <c r="E71" s="15" t="s">
        <v>62</v>
      </c>
      <c r="F71" s="15" t="s">
        <v>1086</v>
      </c>
      <c r="G71" s="15" t="s">
        <v>1087</v>
      </c>
      <c r="H71" s="15" t="s">
        <v>1088</v>
      </c>
      <c r="I71" s="15" t="s">
        <v>1089</v>
      </c>
      <c r="J71" s="15" t="s">
        <v>1085</v>
      </c>
      <c r="K71" s="15" t="s">
        <v>135</v>
      </c>
      <c r="L71" s="15" t="s">
        <v>136</v>
      </c>
      <c r="M71" s="18">
        <v>56043</v>
      </c>
      <c r="N71" s="18">
        <v>-12078</v>
      </c>
      <c r="O71" s="19">
        <v>-0.2747</v>
      </c>
      <c r="P71" s="20" t="s">
        <v>1090</v>
      </c>
      <c r="Q71" s="22" t="s">
        <v>1091</v>
      </c>
      <c r="R71" s="18">
        <v>808</v>
      </c>
      <c r="S71" s="19">
        <v>2.0758</v>
      </c>
      <c r="T71" s="18">
        <v>24231.92</v>
      </c>
      <c r="U71" s="23" t="s">
        <v>384</v>
      </c>
      <c r="V71" s="18">
        <v>1499.5</v>
      </c>
      <c r="W71" s="24">
        <v>24</v>
      </c>
      <c r="X71" s="25">
        <v>29.99</v>
      </c>
      <c r="AB71" s="24">
        <v>31</v>
      </c>
      <c r="AC71" s="18">
        <v>16</v>
      </c>
      <c r="AD71" s="28">
        <v>4.2</v>
      </c>
      <c r="AE71" s="29">
        <v>0.0198</v>
      </c>
      <c r="AF71" s="25">
        <v>4.77</v>
      </c>
      <c r="AG71" s="19">
        <v>0.641</v>
      </c>
      <c r="AI71" s="1" t="s">
        <v>1092</v>
      </c>
      <c r="AJ71" s="24">
        <v>161</v>
      </c>
      <c r="AK71" s="1" t="s">
        <v>141</v>
      </c>
      <c r="AL71" s="24">
        <v>9.7</v>
      </c>
      <c r="AM71" s="24">
        <v>2</v>
      </c>
      <c r="AN71" s="15" t="s">
        <v>62</v>
      </c>
      <c r="AO71" s="1" t="s">
        <v>141</v>
      </c>
      <c r="AP71" s="1" t="s">
        <v>142</v>
      </c>
      <c r="AQ71" s="15" t="s">
        <v>1093</v>
      </c>
      <c r="AR71" s="1" t="s">
        <v>1094</v>
      </c>
      <c r="AS71" s="1" t="s">
        <v>146</v>
      </c>
      <c r="AT71" s="1" t="s">
        <v>146</v>
      </c>
      <c r="AU71" s="1" t="s">
        <v>145</v>
      </c>
      <c r="AV71" s="1" t="s">
        <v>145</v>
      </c>
      <c r="AW71" s="1" t="s">
        <v>146</v>
      </c>
      <c r="AX71" s="1" t="s">
        <v>146</v>
      </c>
      <c r="AY71" s="1" t="s">
        <v>146</v>
      </c>
      <c r="AZ71" s="1" t="s">
        <v>146</v>
      </c>
      <c r="BA71" s="15" t="s">
        <v>146</v>
      </c>
      <c r="BD71" s="23" t="s">
        <v>146</v>
      </c>
      <c r="BE71" s="23" t="s">
        <v>1095</v>
      </c>
      <c r="BF71" s="1" t="s">
        <v>1096</v>
      </c>
    </row>
    <row r="72" ht="24" customHeight="1" spans="1:58">
      <c r="A72" s="1" t="str">
        <f>_xlfn.DISPIMG("ID_435B82F994F14710A9FFC36C16D14702",1)</f>
        <v>=DISPIMG("ID_435B82F994F14710A9FFC36C16D14702",1)</v>
      </c>
      <c r="B72" s="15" t="s">
        <v>1097</v>
      </c>
      <c r="C72" s="15" t="s">
        <v>550</v>
      </c>
      <c r="D72" s="15" t="s">
        <v>602</v>
      </c>
      <c r="E72" s="15" t="s">
        <v>23</v>
      </c>
      <c r="F72" s="15" t="s">
        <v>1098</v>
      </c>
      <c r="G72" s="15" t="s">
        <v>1099</v>
      </c>
      <c r="H72" s="15" t="s">
        <v>1100</v>
      </c>
      <c r="I72" s="15" t="s">
        <v>1101</v>
      </c>
      <c r="J72" s="15" t="s">
        <v>1102</v>
      </c>
      <c r="K72" s="15" t="s">
        <v>135</v>
      </c>
      <c r="L72" s="15" t="s">
        <v>136</v>
      </c>
      <c r="M72" s="18">
        <v>33431</v>
      </c>
      <c r="N72" s="18">
        <v>42028</v>
      </c>
      <c r="O72" s="19">
        <v>0.568</v>
      </c>
      <c r="P72" s="20" t="s">
        <v>200</v>
      </c>
      <c r="Q72" s="22" t="s">
        <v>1103</v>
      </c>
      <c r="R72" s="18">
        <v>807</v>
      </c>
      <c r="S72" s="19">
        <v>-0.0791</v>
      </c>
      <c r="T72" s="18">
        <v>18698.19</v>
      </c>
      <c r="U72" s="23" t="s">
        <v>384</v>
      </c>
      <c r="V72" s="18">
        <v>1158.5</v>
      </c>
      <c r="W72" s="24">
        <v>33</v>
      </c>
      <c r="X72" s="25">
        <v>23.01</v>
      </c>
      <c r="Z72" s="8"/>
      <c r="AA72" s="18">
        <v>8</v>
      </c>
      <c r="AB72" s="24">
        <v>372</v>
      </c>
      <c r="AC72" s="18">
        <v>8</v>
      </c>
      <c r="AD72" s="28">
        <v>4.6</v>
      </c>
      <c r="AE72" s="29">
        <v>0.0099</v>
      </c>
      <c r="AF72" s="25">
        <v>4.2</v>
      </c>
      <c r="AG72" s="19">
        <v>0.6187</v>
      </c>
      <c r="AI72" s="1" t="s">
        <v>1104</v>
      </c>
      <c r="AJ72" s="24">
        <v>863</v>
      </c>
      <c r="AK72" s="1" t="s">
        <v>141</v>
      </c>
      <c r="AL72" s="24">
        <v>9.7</v>
      </c>
      <c r="AM72" s="24">
        <v>1</v>
      </c>
      <c r="AN72" s="15" t="s">
        <v>23</v>
      </c>
      <c r="AO72" s="1" t="s">
        <v>141</v>
      </c>
      <c r="AP72" s="1" t="s">
        <v>142</v>
      </c>
      <c r="AQ72" s="15" t="s">
        <v>1105</v>
      </c>
      <c r="AR72" s="1" t="s">
        <v>1106</v>
      </c>
      <c r="AS72" s="1" t="s">
        <v>146</v>
      </c>
      <c r="AT72" s="1" t="s">
        <v>145</v>
      </c>
      <c r="AU72" s="1" t="s">
        <v>146</v>
      </c>
      <c r="AV72" s="1" t="s">
        <v>145</v>
      </c>
      <c r="AW72" s="1" t="s">
        <v>145</v>
      </c>
      <c r="AX72" s="1" t="s">
        <v>146</v>
      </c>
      <c r="AY72" s="1" t="s">
        <v>145</v>
      </c>
      <c r="AZ72" s="1" t="s">
        <v>146</v>
      </c>
      <c r="BA72" s="15" t="s">
        <v>145</v>
      </c>
      <c r="BB72" s="23" t="s">
        <v>146</v>
      </c>
      <c r="BC72" s="23" t="s">
        <v>1058</v>
      </c>
      <c r="BD72" s="23" t="s">
        <v>1059</v>
      </c>
      <c r="BE72" s="23" t="s">
        <v>1107</v>
      </c>
      <c r="BF72" s="1" t="s">
        <v>1108</v>
      </c>
    </row>
    <row r="73" ht="24" customHeight="1" spans="1:58">
      <c r="A73" s="1" t="str">
        <f>_xlfn.DISPIMG("ID_6433C2CF641E437A92DBABCC21DE5576",1)</f>
        <v>=DISPIMG("ID_6433C2CF641E437A92DBABCC21DE5576",1)</v>
      </c>
      <c r="B73" s="15" t="s">
        <v>1109</v>
      </c>
      <c r="C73" s="15" t="s">
        <v>146</v>
      </c>
      <c r="D73" s="15" t="s">
        <v>146</v>
      </c>
      <c r="E73" s="15" t="s">
        <v>34</v>
      </c>
      <c r="F73" s="15" t="s">
        <v>1110</v>
      </c>
      <c r="G73" s="15" t="s">
        <v>1111</v>
      </c>
      <c r="H73" s="15" t="s">
        <v>1112</v>
      </c>
      <c r="I73" s="15" t="s">
        <v>1113</v>
      </c>
      <c r="J73" s="15" t="s">
        <v>1109</v>
      </c>
      <c r="K73" s="15" t="s">
        <v>135</v>
      </c>
      <c r="L73" s="15" t="s">
        <v>136</v>
      </c>
      <c r="M73" s="18">
        <v>55296</v>
      </c>
      <c r="N73" s="18">
        <v>-17278</v>
      </c>
      <c r="O73" s="19">
        <v>-0.4545</v>
      </c>
      <c r="P73" s="20" t="s">
        <v>200</v>
      </c>
      <c r="Q73" s="22" t="s">
        <v>1054</v>
      </c>
      <c r="R73" s="18">
        <v>773</v>
      </c>
      <c r="S73" s="19">
        <v>-0.2816</v>
      </c>
      <c r="T73" s="18">
        <v>10814.27</v>
      </c>
      <c r="U73" s="23" t="s">
        <v>161</v>
      </c>
      <c r="V73" s="18">
        <v>1399</v>
      </c>
      <c r="W73" s="24">
        <v>18</v>
      </c>
      <c r="X73" s="25">
        <v>13.99</v>
      </c>
      <c r="AA73" s="18">
        <v>13</v>
      </c>
      <c r="AB73" s="24">
        <v>69</v>
      </c>
      <c r="AC73" s="18">
        <v>4</v>
      </c>
      <c r="AD73" s="28">
        <v>4.3</v>
      </c>
      <c r="AE73" s="29">
        <v>0.0052</v>
      </c>
      <c r="AF73" s="25">
        <v>5</v>
      </c>
      <c r="AG73" s="19">
        <v>0.4426</v>
      </c>
      <c r="AI73" s="1" t="s">
        <v>1114</v>
      </c>
      <c r="AJ73" s="24">
        <v>542</v>
      </c>
      <c r="AK73" s="1" t="s">
        <v>141</v>
      </c>
      <c r="AL73" s="24">
        <v>9.7</v>
      </c>
      <c r="AM73" s="24">
        <v>1</v>
      </c>
      <c r="AN73" s="15" t="s">
        <v>34</v>
      </c>
      <c r="AO73" s="1" t="s">
        <v>141</v>
      </c>
      <c r="AP73" s="1" t="s">
        <v>142</v>
      </c>
      <c r="AQ73" s="15" t="s">
        <v>1115</v>
      </c>
      <c r="AR73" s="1" t="s">
        <v>1116</v>
      </c>
      <c r="AS73" s="1" t="s">
        <v>146</v>
      </c>
      <c r="AT73" s="1" t="s">
        <v>146</v>
      </c>
      <c r="AU73" s="1" t="s">
        <v>146</v>
      </c>
      <c r="AV73" s="1" t="s">
        <v>145</v>
      </c>
      <c r="AW73" s="1" t="s">
        <v>145</v>
      </c>
      <c r="AX73" s="1" t="s">
        <v>146</v>
      </c>
      <c r="AY73" s="1" t="s">
        <v>146</v>
      </c>
      <c r="AZ73" s="1" t="s">
        <v>146</v>
      </c>
      <c r="BA73" s="15" t="s">
        <v>146</v>
      </c>
      <c r="BC73" s="23" t="s">
        <v>1117</v>
      </c>
      <c r="BD73" s="23" t="s">
        <v>1118</v>
      </c>
      <c r="BE73" s="23" t="s">
        <v>1119</v>
      </c>
      <c r="BF73" s="1" t="s">
        <v>1120</v>
      </c>
    </row>
    <row r="74" ht="24" customHeight="1" spans="1:58">
      <c r="A74" s="1" t="str">
        <f>_xlfn.DISPIMG("ID_AE576068BCE446D9929F5B08D07EA69A",1)</f>
        <v>=DISPIMG("ID_AE576068BCE446D9929F5B08D07EA69A",1)</v>
      </c>
      <c r="B74" s="15" t="s">
        <v>1121</v>
      </c>
      <c r="C74" s="15" t="s">
        <v>146</v>
      </c>
      <c r="D74" s="15" t="s">
        <v>146</v>
      </c>
      <c r="E74" s="15" t="s">
        <v>50</v>
      </c>
      <c r="F74" s="15" t="s">
        <v>1122</v>
      </c>
      <c r="G74" s="15" t="s">
        <v>1123</v>
      </c>
      <c r="H74" s="15" t="s">
        <v>1124</v>
      </c>
      <c r="I74" s="15" t="s">
        <v>1125</v>
      </c>
      <c r="J74" s="15" t="s">
        <v>1121</v>
      </c>
      <c r="K74" s="15" t="s">
        <v>135</v>
      </c>
      <c r="L74" s="15" t="s">
        <v>136</v>
      </c>
      <c r="M74" s="18">
        <v>51268</v>
      </c>
      <c r="N74" s="18">
        <v>-10142</v>
      </c>
      <c r="O74" s="19">
        <v>-0.2466</v>
      </c>
      <c r="P74" s="20" t="s">
        <v>1126</v>
      </c>
      <c r="Q74" s="22" t="s">
        <v>1127</v>
      </c>
      <c r="R74" s="18">
        <v>743</v>
      </c>
      <c r="S74" s="19">
        <v>-0.2085</v>
      </c>
      <c r="T74" s="18">
        <v>20053.57</v>
      </c>
      <c r="U74" s="23" t="s">
        <v>384</v>
      </c>
      <c r="V74" s="18">
        <v>1349.5</v>
      </c>
      <c r="W74" s="24">
        <v>84</v>
      </c>
      <c r="X74" s="25">
        <v>26.99</v>
      </c>
      <c r="AA74" s="18">
        <v>9</v>
      </c>
      <c r="AB74" s="24">
        <v>2184</v>
      </c>
      <c r="AC74" s="18">
        <v>13</v>
      </c>
      <c r="AD74" s="28">
        <v>4.4</v>
      </c>
      <c r="AE74" s="29">
        <v>0.0175</v>
      </c>
      <c r="AF74" s="25">
        <v>6.27</v>
      </c>
      <c r="AG74" s="19">
        <v>0.5677</v>
      </c>
      <c r="AI74" s="1" t="s">
        <v>1128</v>
      </c>
      <c r="AJ74" s="24">
        <v>1941</v>
      </c>
      <c r="AK74" s="1" t="s">
        <v>141</v>
      </c>
      <c r="AL74" s="24">
        <v>8.8</v>
      </c>
      <c r="AM74" s="24">
        <v>1</v>
      </c>
      <c r="AN74" s="15" t="s">
        <v>50</v>
      </c>
      <c r="AO74" s="1" t="s">
        <v>141</v>
      </c>
      <c r="AP74" s="1" t="s">
        <v>142</v>
      </c>
      <c r="AQ74" s="15" t="s">
        <v>1129</v>
      </c>
      <c r="AR74" s="1" t="s">
        <v>1130</v>
      </c>
      <c r="AS74" s="1" t="s">
        <v>146</v>
      </c>
      <c r="AT74" s="1" t="s">
        <v>145</v>
      </c>
      <c r="AU74" s="1" t="s">
        <v>146</v>
      </c>
      <c r="AV74" s="1" t="s">
        <v>145</v>
      </c>
      <c r="AW74" s="1" t="s">
        <v>145</v>
      </c>
      <c r="AX74" s="1" t="s">
        <v>146</v>
      </c>
      <c r="AY74" s="1" t="s">
        <v>146</v>
      </c>
      <c r="AZ74" s="1" t="s">
        <v>146</v>
      </c>
      <c r="BA74" s="15" t="s">
        <v>146</v>
      </c>
      <c r="BB74" s="23" t="s">
        <v>1131</v>
      </c>
      <c r="BC74" s="23" t="s">
        <v>405</v>
      </c>
      <c r="BD74" s="23" t="s">
        <v>406</v>
      </c>
      <c r="BE74" s="23" t="s">
        <v>1132</v>
      </c>
      <c r="BF74" s="1" t="s">
        <v>1133</v>
      </c>
    </row>
    <row r="75" ht="24" customHeight="1" spans="1:58">
      <c r="A75" s="1" t="str">
        <f>_xlfn.DISPIMG("ID_B5EEF11B47B643F1B9A17B215E234F13",1)</f>
        <v>=DISPIMG("ID_B5EEF11B47B643F1B9A17B215E234F13",1)</v>
      </c>
      <c r="B75" s="15" t="s">
        <v>1134</v>
      </c>
      <c r="C75" s="15" t="s">
        <v>146</v>
      </c>
      <c r="D75" s="15" t="s">
        <v>146</v>
      </c>
      <c r="E75" s="15" t="s">
        <v>55</v>
      </c>
      <c r="F75" s="15" t="s">
        <v>1135</v>
      </c>
      <c r="G75" s="15" t="s">
        <v>1136</v>
      </c>
      <c r="H75" s="15" t="s">
        <v>1137</v>
      </c>
      <c r="I75" s="15" t="s">
        <v>1138</v>
      </c>
      <c r="J75" s="15" t="s">
        <v>1134</v>
      </c>
      <c r="K75" s="15" t="s">
        <v>135</v>
      </c>
      <c r="L75" s="15" t="s">
        <v>136</v>
      </c>
      <c r="M75" s="18">
        <v>44369</v>
      </c>
      <c r="N75" s="18">
        <v>-3614</v>
      </c>
      <c r="O75" s="19">
        <v>-0.076</v>
      </c>
      <c r="P75" s="20" t="s">
        <v>200</v>
      </c>
      <c r="Q75" s="22" t="s">
        <v>1139</v>
      </c>
      <c r="R75" s="18">
        <v>670</v>
      </c>
      <c r="S75" s="19">
        <v>-0.3269</v>
      </c>
      <c r="T75" s="18">
        <v>20093.3</v>
      </c>
      <c r="U75" s="23" t="s">
        <v>146</v>
      </c>
      <c r="V75" s="18" t="s">
        <v>146</v>
      </c>
      <c r="W75" s="24">
        <v>88</v>
      </c>
      <c r="X75" s="25">
        <v>29.99</v>
      </c>
      <c r="AA75" s="18">
        <v>8</v>
      </c>
      <c r="AB75" s="24">
        <v>500</v>
      </c>
      <c r="AC75" s="18">
        <v>3</v>
      </c>
      <c r="AD75" s="28">
        <v>4.4</v>
      </c>
      <c r="AE75" s="29">
        <v>0.0045</v>
      </c>
      <c r="AF75" s="25">
        <v>6.19</v>
      </c>
      <c r="AG75" s="19">
        <v>0.5936</v>
      </c>
      <c r="AI75" s="1" t="s">
        <v>1140</v>
      </c>
      <c r="AJ75" s="24">
        <v>952</v>
      </c>
      <c r="AK75" s="1" t="s">
        <v>141</v>
      </c>
      <c r="AL75" s="24">
        <v>10</v>
      </c>
      <c r="AM75" s="24">
        <v>1</v>
      </c>
      <c r="AN75" s="15" t="s">
        <v>55</v>
      </c>
      <c r="AO75" s="1" t="s">
        <v>141</v>
      </c>
      <c r="AP75" s="1" t="s">
        <v>142</v>
      </c>
      <c r="AQ75" s="15" t="s">
        <v>1141</v>
      </c>
      <c r="AR75" s="1" t="s">
        <v>1142</v>
      </c>
      <c r="AS75" s="1" t="s">
        <v>146</v>
      </c>
      <c r="AT75" s="1" t="s">
        <v>145</v>
      </c>
      <c r="AU75" s="1" t="s">
        <v>146</v>
      </c>
      <c r="AV75" s="1" t="s">
        <v>145</v>
      </c>
      <c r="AW75" s="1" t="s">
        <v>145</v>
      </c>
      <c r="AX75" s="1" t="s">
        <v>146</v>
      </c>
      <c r="AY75" s="1" t="s">
        <v>146</v>
      </c>
      <c r="AZ75" s="1" t="s">
        <v>146</v>
      </c>
      <c r="BA75" s="15" t="s">
        <v>146</v>
      </c>
      <c r="BB75" s="23" t="s">
        <v>1143</v>
      </c>
      <c r="BD75" s="23" t="s">
        <v>146</v>
      </c>
      <c r="BF75" s="1" t="s">
        <v>146</v>
      </c>
    </row>
    <row r="76" ht="24" customHeight="1" spans="1:58">
      <c r="A76" s="1" t="str">
        <f>_xlfn.DISPIMG("ID_C37F814E7FE8452688D87BD82BBC8875",1)</f>
        <v>=DISPIMG("ID_C37F814E7FE8452688D87BD82BBC8875",1)</v>
      </c>
      <c r="B76" s="15" t="s">
        <v>1144</v>
      </c>
      <c r="C76" s="15" t="s">
        <v>146</v>
      </c>
      <c r="D76" s="15" t="s">
        <v>146</v>
      </c>
      <c r="E76" s="15" t="s">
        <v>53</v>
      </c>
      <c r="F76" s="15" t="s">
        <v>1145</v>
      </c>
      <c r="G76" s="15" t="s">
        <v>1146</v>
      </c>
      <c r="H76" s="15" t="s">
        <v>1147</v>
      </c>
      <c r="I76" s="15" t="s">
        <v>1148</v>
      </c>
      <c r="J76" s="15" t="s">
        <v>1144</v>
      </c>
      <c r="K76" s="15" t="s">
        <v>135</v>
      </c>
      <c r="L76" s="15" t="s">
        <v>136</v>
      </c>
      <c r="M76" s="18">
        <v>48347</v>
      </c>
      <c r="N76" s="18">
        <v>3157</v>
      </c>
      <c r="O76" s="19">
        <v>0.0613</v>
      </c>
      <c r="P76" s="20" t="s">
        <v>159</v>
      </c>
      <c r="Q76" s="22" t="s">
        <v>1149</v>
      </c>
      <c r="R76" s="18">
        <v>646</v>
      </c>
      <c r="S76" s="19">
        <v>0.018</v>
      </c>
      <c r="T76" s="18">
        <v>16789.54</v>
      </c>
      <c r="U76" s="23" t="s">
        <v>161</v>
      </c>
      <c r="V76" s="18">
        <v>2599</v>
      </c>
      <c r="W76" s="24">
        <v>40</v>
      </c>
      <c r="X76" s="25">
        <v>25.99</v>
      </c>
      <c r="AB76" s="24">
        <v>67</v>
      </c>
      <c r="AC76" s="18">
        <v>12</v>
      </c>
      <c r="AD76" s="28">
        <v>4.1</v>
      </c>
      <c r="AE76" s="29">
        <v>0.0186</v>
      </c>
      <c r="AF76" s="25">
        <v>5.39</v>
      </c>
      <c r="AG76" s="19">
        <v>0.5926</v>
      </c>
      <c r="AI76" s="1" t="s">
        <v>140</v>
      </c>
      <c r="AJ76" s="24">
        <v>185</v>
      </c>
      <c r="AK76" s="1" t="s">
        <v>141</v>
      </c>
      <c r="AL76" s="24">
        <v>10</v>
      </c>
      <c r="AM76" s="24">
        <v>1</v>
      </c>
      <c r="AN76" s="15" t="s">
        <v>53</v>
      </c>
      <c r="AO76" s="1" t="s">
        <v>141</v>
      </c>
      <c r="AP76" s="1" t="s">
        <v>142</v>
      </c>
      <c r="AQ76" s="15" t="s">
        <v>1150</v>
      </c>
      <c r="AR76" s="1" t="s">
        <v>1151</v>
      </c>
      <c r="AS76" s="1" t="s">
        <v>146</v>
      </c>
      <c r="AT76" s="1" t="s">
        <v>146</v>
      </c>
      <c r="AU76" s="1" t="s">
        <v>146</v>
      </c>
      <c r="AV76" s="1" t="s">
        <v>145</v>
      </c>
      <c r="AW76" s="1" t="s">
        <v>145</v>
      </c>
      <c r="AX76" s="1" t="s">
        <v>146</v>
      </c>
      <c r="AY76" s="1" t="s">
        <v>146</v>
      </c>
      <c r="AZ76" s="1" t="s">
        <v>146</v>
      </c>
      <c r="BA76" s="15" t="s">
        <v>146</v>
      </c>
      <c r="BC76" s="23" t="s">
        <v>1152</v>
      </c>
      <c r="BD76" s="23" t="s">
        <v>667</v>
      </c>
      <c r="BE76" s="23" t="s">
        <v>1153</v>
      </c>
      <c r="BF76" s="1" t="s">
        <v>1154</v>
      </c>
    </row>
    <row r="77" ht="24" customHeight="1" spans="1:58">
      <c r="A77" s="1" t="str">
        <f>_xlfn.DISPIMG("ID_B34717BA811C4D26A217BB1EC2FDAEFA",1)</f>
        <v>=DISPIMG("ID_B34717BA811C4D26A217BB1EC2FDAEFA",1)</v>
      </c>
      <c r="B77" s="15" t="s">
        <v>1155</v>
      </c>
      <c r="C77" s="15" t="s">
        <v>146</v>
      </c>
      <c r="D77" s="15" t="s">
        <v>146</v>
      </c>
      <c r="E77" s="15" t="s">
        <v>11</v>
      </c>
      <c r="F77" s="15" t="s">
        <v>395</v>
      </c>
      <c r="G77" s="15" t="s">
        <v>1156</v>
      </c>
      <c r="H77" s="15" t="s">
        <v>1157</v>
      </c>
      <c r="I77" s="15" t="s">
        <v>1158</v>
      </c>
      <c r="J77" s="15" t="s">
        <v>1155</v>
      </c>
      <c r="K77" s="15" t="s">
        <v>135</v>
      </c>
      <c r="L77" s="15" t="s">
        <v>136</v>
      </c>
      <c r="M77" s="18">
        <v>55011</v>
      </c>
      <c r="N77" s="18">
        <v>25436</v>
      </c>
      <c r="O77" s="19">
        <v>0.3162</v>
      </c>
      <c r="P77" s="20" t="s">
        <v>324</v>
      </c>
      <c r="Q77" s="22" t="s">
        <v>1159</v>
      </c>
      <c r="R77" s="18">
        <v>631</v>
      </c>
      <c r="S77" s="19">
        <v>-0.1818</v>
      </c>
      <c r="T77" s="18">
        <v>18923.69</v>
      </c>
      <c r="U77" s="23" t="s">
        <v>146</v>
      </c>
      <c r="V77" s="18" t="s">
        <v>146</v>
      </c>
      <c r="W77" s="24">
        <v>59</v>
      </c>
      <c r="X77" s="25">
        <v>29.99</v>
      </c>
      <c r="AB77" s="24">
        <v>89</v>
      </c>
      <c r="AC77" s="18">
        <v>13</v>
      </c>
      <c r="AD77" s="28">
        <v>4.6</v>
      </c>
      <c r="AE77" s="29">
        <v>0.0206</v>
      </c>
      <c r="AF77" s="25">
        <v>4.94</v>
      </c>
      <c r="AG77" s="19">
        <v>0.6353</v>
      </c>
      <c r="AI77" s="1" t="s">
        <v>557</v>
      </c>
      <c r="AJ77" s="24">
        <v>284</v>
      </c>
      <c r="AK77" s="1" t="s">
        <v>141</v>
      </c>
      <c r="AL77" s="24">
        <v>10</v>
      </c>
      <c r="AM77" s="24">
        <v>1</v>
      </c>
      <c r="AN77" s="15" t="s">
        <v>402</v>
      </c>
      <c r="AO77" s="1" t="s">
        <v>141</v>
      </c>
      <c r="AP77" s="1" t="s">
        <v>142</v>
      </c>
      <c r="AQ77" s="15" t="s">
        <v>403</v>
      </c>
      <c r="AR77" s="1" t="s">
        <v>404</v>
      </c>
      <c r="AS77" s="1" t="s">
        <v>146</v>
      </c>
      <c r="AT77" s="1" t="s">
        <v>146</v>
      </c>
      <c r="AU77" s="1" t="s">
        <v>146</v>
      </c>
      <c r="AV77" s="1" t="s">
        <v>145</v>
      </c>
      <c r="AW77" s="1" t="s">
        <v>145</v>
      </c>
      <c r="AX77" s="1" t="s">
        <v>146</v>
      </c>
      <c r="AY77" s="1" t="s">
        <v>146</v>
      </c>
      <c r="AZ77" s="1" t="s">
        <v>146</v>
      </c>
      <c r="BA77" s="15" t="s">
        <v>146</v>
      </c>
      <c r="BC77" s="23" t="s">
        <v>1160</v>
      </c>
      <c r="BD77" s="23" t="s">
        <v>1161</v>
      </c>
      <c r="BE77" s="23" t="s">
        <v>1162</v>
      </c>
      <c r="BF77" s="1" t="s">
        <v>1163</v>
      </c>
    </row>
    <row r="78" ht="24" customHeight="1" spans="1:58">
      <c r="A78" s="1" t="str">
        <f>_xlfn.DISPIMG("ID_443F8BBBE09F482C9E925996D49EBD82",1)</f>
        <v>=DISPIMG("ID_443F8BBBE09F482C9E925996D49EBD82",1)</v>
      </c>
      <c r="B78" s="15" t="s">
        <v>1164</v>
      </c>
      <c r="C78" s="15" t="s">
        <v>146</v>
      </c>
      <c r="D78" s="15" t="s">
        <v>146</v>
      </c>
      <c r="E78" s="15" t="s">
        <v>69</v>
      </c>
      <c r="F78" s="15" t="s">
        <v>1165</v>
      </c>
      <c r="G78" s="15" t="s">
        <v>1166</v>
      </c>
      <c r="H78" s="15" t="s">
        <v>1167</v>
      </c>
      <c r="I78" s="15" t="s">
        <v>1168</v>
      </c>
      <c r="J78" s="15" t="s">
        <v>1164</v>
      </c>
      <c r="K78" s="15" t="s">
        <v>135</v>
      </c>
      <c r="L78" s="15" t="s">
        <v>136</v>
      </c>
      <c r="M78" s="18">
        <v>51970</v>
      </c>
      <c r="N78" s="18">
        <v>15869</v>
      </c>
      <c r="O78" s="19">
        <v>0.2339</v>
      </c>
      <c r="P78" s="20" t="s">
        <v>1169</v>
      </c>
      <c r="Q78" s="22" t="s">
        <v>1170</v>
      </c>
      <c r="R78" s="18">
        <v>615</v>
      </c>
      <c r="S78" s="19">
        <v>-0.1871</v>
      </c>
      <c r="T78" s="18">
        <v>14753.85</v>
      </c>
      <c r="U78" s="23" t="s">
        <v>384</v>
      </c>
      <c r="V78" s="18">
        <v>1199.5</v>
      </c>
      <c r="W78" s="24">
        <v>182</v>
      </c>
      <c r="X78" s="25">
        <v>23.99</v>
      </c>
      <c r="AA78" s="18">
        <v>19</v>
      </c>
      <c r="AB78" s="24">
        <v>1864</v>
      </c>
      <c r="AC78" s="18">
        <v>11</v>
      </c>
      <c r="AD78" s="28">
        <v>4.3</v>
      </c>
      <c r="AE78" s="29">
        <v>0.0179</v>
      </c>
      <c r="AG78" s="19">
        <v>0</v>
      </c>
      <c r="AI78" s="1" t="s">
        <v>1171</v>
      </c>
      <c r="AJ78" s="24">
        <v>1963</v>
      </c>
      <c r="AK78" s="1" t="s">
        <v>141</v>
      </c>
      <c r="AL78" s="24">
        <v>8.4</v>
      </c>
      <c r="AM78" s="24">
        <v>2</v>
      </c>
      <c r="AN78" s="15" t="s">
        <v>1172</v>
      </c>
      <c r="AO78" s="1" t="s">
        <v>141</v>
      </c>
      <c r="AP78" s="1" t="s">
        <v>164</v>
      </c>
      <c r="AQ78" s="15" t="s">
        <v>1173</v>
      </c>
      <c r="AR78" s="1" t="s">
        <v>1174</v>
      </c>
      <c r="AS78" s="1" t="s">
        <v>146</v>
      </c>
      <c r="AT78" s="1" t="s">
        <v>146</v>
      </c>
      <c r="AU78" s="1" t="s">
        <v>146</v>
      </c>
      <c r="AV78" s="1" t="s">
        <v>146</v>
      </c>
      <c r="AW78" s="1" t="s">
        <v>146</v>
      </c>
      <c r="AX78" s="1" t="s">
        <v>146</v>
      </c>
      <c r="AY78" s="1" t="s">
        <v>146</v>
      </c>
      <c r="AZ78" s="1" t="s">
        <v>146</v>
      </c>
      <c r="BA78" s="15" t="s">
        <v>146</v>
      </c>
      <c r="BC78" s="23" t="s">
        <v>1175</v>
      </c>
      <c r="BD78" s="23" t="s">
        <v>1176</v>
      </c>
      <c r="BE78" s="23" t="s">
        <v>1177</v>
      </c>
      <c r="BF78" s="1" t="s">
        <v>1178</v>
      </c>
    </row>
    <row r="79" ht="24" customHeight="1" spans="1:58">
      <c r="A79" s="1" t="str">
        <f>_xlfn.DISPIMG("ID_8F6C6C40AC4B4C95815B034700178B36",1)</f>
        <v>=DISPIMG("ID_8F6C6C40AC4B4C95815B034700178B36",1)</v>
      </c>
      <c r="B79" s="15" t="s">
        <v>1179</v>
      </c>
      <c r="C79" s="15" t="s">
        <v>146</v>
      </c>
      <c r="D79" s="15" t="s">
        <v>146</v>
      </c>
      <c r="E79" s="15" t="s">
        <v>47</v>
      </c>
      <c r="F79" s="15" t="s">
        <v>1180</v>
      </c>
      <c r="G79" s="15" t="s">
        <v>1181</v>
      </c>
      <c r="H79" s="15" t="s">
        <v>1182</v>
      </c>
      <c r="I79" s="15" t="s">
        <v>1183</v>
      </c>
      <c r="J79" s="15" t="s">
        <v>1179</v>
      </c>
      <c r="K79" s="15" t="s">
        <v>135</v>
      </c>
      <c r="L79" s="15" t="s">
        <v>136</v>
      </c>
      <c r="M79" s="18">
        <v>70925</v>
      </c>
      <c r="N79" s="18">
        <v>-5874</v>
      </c>
      <c r="O79" s="19">
        <v>-0.0903</v>
      </c>
      <c r="P79" s="20" t="s">
        <v>324</v>
      </c>
      <c r="Q79" s="22" t="s">
        <v>1184</v>
      </c>
      <c r="R79" s="18">
        <v>614</v>
      </c>
      <c r="S79" s="19">
        <v>0.1212</v>
      </c>
      <c r="T79" s="18">
        <v>12273.859</v>
      </c>
      <c r="U79" s="23" t="s">
        <v>384</v>
      </c>
      <c r="V79" s="18">
        <v>999.5</v>
      </c>
      <c r="W79" s="24">
        <v>48</v>
      </c>
      <c r="X79" s="25">
        <v>29.99</v>
      </c>
      <c r="AB79" s="24">
        <v>151</v>
      </c>
      <c r="AC79" s="18">
        <v>18</v>
      </c>
      <c r="AD79" s="28">
        <v>4.1</v>
      </c>
      <c r="AE79" s="29">
        <v>0.0293</v>
      </c>
      <c r="AF79" s="25">
        <v>5.39</v>
      </c>
      <c r="AG79" s="19">
        <v>0.5304</v>
      </c>
      <c r="AI79" s="1" t="s">
        <v>1185</v>
      </c>
      <c r="AJ79" s="24">
        <v>491</v>
      </c>
      <c r="AK79" s="1" t="s">
        <v>141</v>
      </c>
      <c r="AL79" s="24">
        <v>10</v>
      </c>
      <c r="AM79" s="24">
        <v>1</v>
      </c>
      <c r="AN79" s="15" t="s">
        <v>1186</v>
      </c>
      <c r="AO79" s="1" t="s">
        <v>141</v>
      </c>
      <c r="AP79" s="1" t="s">
        <v>142</v>
      </c>
      <c r="AQ79" s="15" t="s">
        <v>1187</v>
      </c>
      <c r="AR79" s="1" t="s">
        <v>1188</v>
      </c>
      <c r="AS79" s="1" t="s">
        <v>146</v>
      </c>
      <c r="AT79" s="1" t="s">
        <v>146</v>
      </c>
      <c r="AU79" s="1" t="s">
        <v>146</v>
      </c>
      <c r="AV79" s="1" t="s">
        <v>145</v>
      </c>
      <c r="AW79" s="1" t="s">
        <v>146</v>
      </c>
      <c r="AX79" s="1" t="s">
        <v>146</v>
      </c>
      <c r="AY79" s="1" t="s">
        <v>146</v>
      </c>
      <c r="AZ79" s="1" t="s">
        <v>146</v>
      </c>
      <c r="BA79" s="15" t="s">
        <v>146</v>
      </c>
      <c r="BC79" s="23" t="s">
        <v>244</v>
      </c>
      <c r="BD79" s="23" t="s">
        <v>245</v>
      </c>
      <c r="BE79" s="23" t="s">
        <v>1189</v>
      </c>
      <c r="BF79" s="1" t="s">
        <v>1190</v>
      </c>
    </row>
    <row r="80" ht="24" customHeight="1" spans="1:58">
      <c r="A80" s="1" t="str">
        <f>_xlfn.DISPIMG("ID_494652F6E15A4BF4A445B6441EE516CE",1)</f>
        <v>=DISPIMG("ID_494652F6E15A4BF4A445B6441EE516CE",1)</v>
      </c>
      <c r="B80" s="15" t="s">
        <v>1191</v>
      </c>
      <c r="C80" s="15" t="s">
        <v>1192</v>
      </c>
      <c r="D80" s="15" t="s">
        <v>867</v>
      </c>
      <c r="E80" s="15" t="s">
        <v>5</v>
      </c>
      <c r="F80" s="15" t="s">
        <v>683</v>
      </c>
      <c r="G80" s="15" t="s">
        <v>868</v>
      </c>
      <c r="H80" s="15" t="s">
        <v>1193</v>
      </c>
      <c r="I80" s="15" t="s">
        <v>1194</v>
      </c>
      <c r="J80" s="15" t="s">
        <v>1195</v>
      </c>
      <c r="K80" s="15" t="s">
        <v>135</v>
      </c>
      <c r="L80" s="15" t="s">
        <v>136</v>
      </c>
      <c r="M80" s="18">
        <v>38345</v>
      </c>
      <c r="N80" s="18">
        <v>17816</v>
      </c>
      <c r="O80" s="19">
        <v>0.3172</v>
      </c>
      <c r="P80" s="20" t="s">
        <v>324</v>
      </c>
      <c r="Q80" s="22" t="s">
        <v>1196</v>
      </c>
      <c r="R80" s="18">
        <v>602</v>
      </c>
      <c r="S80" s="19">
        <v>-0.1591</v>
      </c>
      <c r="T80" s="18">
        <v>16825.9</v>
      </c>
      <c r="U80" s="23" t="s">
        <v>161</v>
      </c>
      <c r="V80" s="18">
        <v>2795</v>
      </c>
      <c r="W80" s="24">
        <v>11</v>
      </c>
      <c r="X80" s="25">
        <v>27.95</v>
      </c>
      <c r="Z80" s="23" t="s">
        <v>271</v>
      </c>
      <c r="AB80" s="24">
        <v>53</v>
      </c>
      <c r="AC80" s="18">
        <v>10</v>
      </c>
      <c r="AD80" s="28">
        <v>4.4</v>
      </c>
      <c r="AE80" s="29">
        <v>0.0166</v>
      </c>
      <c r="AF80" s="25">
        <v>6.19</v>
      </c>
      <c r="AG80" s="19">
        <v>0.5785</v>
      </c>
      <c r="AI80" s="1" t="s">
        <v>1197</v>
      </c>
      <c r="AJ80" s="24">
        <v>281</v>
      </c>
      <c r="AK80" s="1" t="s">
        <v>141</v>
      </c>
      <c r="AL80" s="24">
        <v>10</v>
      </c>
      <c r="AM80" s="24">
        <v>1</v>
      </c>
      <c r="AN80" s="15" t="s">
        <v>689</v>
      </c>
      <c r="AO80" s="1" t="s">
        <v>141</v>
      </c>
      <c r="AP80" s="1" t="s">
        <v>142</v>
      </c>
      <c r="AQ80" s="15" t="s">
        <v>690</v>
      </c>
      <c r="AR80" s="1" t="s">
        <v>691</v>
      </c>
      <c r="AS80" s="1" t="s">
        <v>146</v>
      </c>
      <c r="AT80" s="1" t="s">
        <v>145</v>
      </c>
      <c r="AU80" s="1" t="s">
        <v>146</v>
      </c>
      <c r="AV80" s="1" t="s">
        <v>145</v>
      </c>
      <c r="AW80" s="1" t="s">
        <v>146</v>
      </c>
      <c r="AX80" s="1" t="s">
        <v>146</v>
      </c>
      <c r="AY80" s="1" t="s">
        <v>145</v>
      </c>
      <c r="AZ80" s="1" t="s">
        <v>146</v>
      </c>
      <c r="BA80" s="15" t="s">
        <v>146</v>
      </c>
      <c r="BB80" s="23" t="s">
        <v>146</v>
      </c>
      <c r="BC80" s="23" t="s">
        <v>998</v>
      </c>
      <c r="BD80" s="23" t="s">
        <v>999</v>
      </c>
      <c r="BE80" s="23" t="s">
        <v>1198</v>
      </c>
      <c r="BF80" s="1" t="s">
        <v>1199</v>
      </c>
    </row>
    <row r="81" ht="24" customHeight="1" spans="1:58">
      <c r="A81" s="1" t="str">
        <f>_xlfn.DISPIMG("ID_9F5A7409BCA7430F8B5A2A76484B902A",1)</f>
        <v>=DISPIMG("ID_9F5A7409BCA7430F8B5A2A76484B902A",1)</v>
      </c>
      <c r="B81" s="15" t="s">
        <v>1200</v>
      </c>
      <c r="C81" s="15" t="s">
        <v>146</v>
      </c>
      <c r="D81" s="15" t="s">
        <v>146</v>
      </c>
      <c r="E81" s="15" t="s">
        <v>32</v>
      </c>
      <c r="F81" s="15" t="s">
        <v>1201</v>
      </c>
      <c r="G81" s="15" t="s">
        <v>1202</v>
      </c>
      <c r="H81" s="15" t="s">
        <v>1203</v>
      </c>
      <c r="I81" s="15" t="s">
        <v>1204</v>
      </c>
      <c r="J81" s="15" t="s">
        <v>1200</v>
      </c>
      <c r="K81" s="15" t="s">
        <v>135</v>
      </c>
      <c r="L81" s="15" t="s">
        <v>136</v>
      </c>
      <c r="M81" s="18">
        <v>73740</v>
      </c>
      <c r="N81" s="18">
        <v>25475</v>
      </c>
      <c r="O81" s="19">
        <v>0.2568</v>
      </c>
      <c r="P81" s="20" t="s">
        <v>200</v>
      </c>
      <c r="Q81" s="22" t="s">
        <v>1205</v>
      </c>
      <c r="R81" s="18">
        <v>599</v>
      </c>
      <c r="S81" s="19">
        <v>-0.3295</v>
      </c>
      <c r="T81" s="18">
        <v>17964.01</v>
      </c>
      <c r="U81" s="23" t="s">
        <v>146</v>
      </c>
      <c r="V81" s="18" t="s">
        <v>146</v>
      </c>
      <c r="W81" s="24">
        <v>87</v>
      </c>
      <c r="X81" s="25">
        <v>29.99</v>
      </c>
      <c r="AB81" s="24">
        <v>184</v>
      </c>
      <c r="AC81" s="18">
        <v>23</v>
      </c>
      <c r="AD81" s="28">
        <v>4.4</v>
      </c>
      <c r="AE81" s="29">
        <v>0.0384</v>
      </c>
      <c r="AF81" s="25">
        <v>4.94</v>
      </c>
      <c r="AG81" s="19">
        <v>0.6353</v>
      </c>
      <c r="AI81" s="1" t="s">
        <v>1206</v>
      </c>
      <c r="AJ81" s="24">
        <v>344</v>
      </c>
      <c r="AK81" s="1" t="s">
        <v>141</v>
      </c>
      <c r="AL81" s="24">
        <v>10</v>
      </c>
      <c r="AM81" s="24">
        <v>1</v>
      </c>
      <c r="AN81" s="15" t="s">
        <v>32</v>
      </c>
      <c r="AO81" s="1" t="s">
        <v>141</v>
      </c>
      <c r="AP81" s="1" t="s">
        <v>142</v>
      </c>
      <c r="AQ81" s="15" t="s">
        <v>1207</v>
      </c>
      <c r="AR81" s="1" t="s">
        <v>1208</v>
      </c>
      <c r="AS81" s="1" t="s">
        <v>146</v>
      </c>
      <c r="AT81" s="1" t="s">
        <v>146</v>
      </c>
      <c r="AU81" s="1" t="s">
        <v>146</v>
      </c>
      <c r="AV81" s="1" t="s">
        <v>145</v>
      </c>
      <c r="AW81" s="1" t="s">
        <v>146</v>
      </c>
      <c r="AX81" s="1" t="s">
        <v>146</v>
      </c>
      <c r="AY81" s="1" t="s">
        <v>146</v>
      </c>
      <c r="AZ81" s="1" t="s">
        <v>146</v>
      </c>
      <c r="BA81" s="15" t="s">
        <v>146</v>
      </c>
      <c r="BC81" s="23" t="s">
        <v>1209</v>
      </c>
      <c r="BD81" s="23" t="s">
        <v>1210</v>
      </c>
      <c r="BE81" s="23" t="s">
        <v>1211</v>
      </c>
      <c r="BF81" s="1" t="s">
        <v>1212</v>
      </c>
    </row>
    <row r="82" ht="24" customHeight="1" spans="1:58">
      <c r="A82" s="1" t="str">
        <f>_xlfn.DISPIMG("ID_6FE98F0D3B0D47188F0339AC5A8A5870",1)</f>
        <v>=DISPIMG("ID_6FE98F0D3B0D47188F0339AC5A8A5870",1)</v>
      </c>
      <c r="B82" s="15" t="s">
        <v>1213</v>
      </c>
      <c r="C82" s="15" t="s">
        <v>146</v>
      </c>
      <c r="D82" s="15" t="s">
        <v>146</v>
      </c>
      <c r="E82" s="15" t="s">
        <v>42</v>
      </c>
      <c r="F82" s="15" t="s">
        <v>1214</v>
      </c>
      <c r="G82" s="15" t="s">
        <v>1215</v>
      </c>
      <c r="H82" s="15" t="s">
        <v>1216</v>
      </c>
      <c r="I82" s="15" t="s">
        <v>1217</v>
      </c>
      <c r="J82" s="15" t="s">
        <v>1213</v>
      </c>
      <c r="K82" s="15" t="s">
        <v>135</v>
      </c>
      <c r="L82" s="15" t="s">
        <v>136</v>
      </c>
      <c r="M82" s="18">
        <v>51321</v>
      </c>
      <c r="N82" s="18">
        <v>16599</v>
      </c>
      <c r="O82" s="19">
        <v>0.2444</v>
      </c>
      <c r="P82" s="20" t="s">
        <v>324</v>
      </c>
      <c r="Q82" s="22" t="s">
        <v>1218</v>
      </c>
      <c r="R82" s="18">
        <v>588</v>
      </c>
      <c r="S82" s="19">
        <v>-0.7593</v>
      </c>
      <c r="T82" s="18">
        <v>8814.12</v>
      </c>
      <c r="U82" s="23" t="s">
        <v>161</v>
      </c>
      <c r="V82" s="18">
        <v>1499</v>
      </c>
      <c r="W82" s="24">
        <v>31</v>
      </c>
      <c r="X82" s="25">
        <v>14.99</v>
      </c>
      <c r="AB82" s="24">
        <v>105</v>
      </c>
      <c r="AC82" s="18">
        <v>3</v>
      </c>
      <c r="AD82" s="28">
        <v>4.4</v>
      </c>
      <c r="AE82" s="29">
        <v>0.0051</v>
      </c>
      <c r="AF82" s="25">
        <v>4.94</v>
      </c>
      <c r="AG82" s="19">
        <v>0.4704</v>
      </c>
      <c r="AI82" s="1" t="s">
        <v>1219</v>
      </c>
      <c r="AJ82" s="24">
        <v>312</v>
      </c>
      <c r="AK82" s="1" t="s">
        <v>141</v>
      </c>
      <c r="AL82" s="24">
        <v>9</v>
      </c>
      <c r="AM82" s="24">
        <v>1</v>
      </c>
      <c r="AN82" s="15" t="s">
        <v>42</v>
      </c>
      <c r="AO82" s="1" t="s">
        <v>141</v>
      </c>
      <c r="AP82" s="1" t="s">
        <v>142</v>
      </c>
      <c r="AQ82" s="15" t="s">
        <v>1220</v>
      </c>
      <c r="AR82" s="1" t="s">
        <v>1221</v>
      </c>
      <c r="AS82" s="1" t="s">
        <v>146</v>
      </c>
      <c r="AT82" s="1" t="s">
        <v>146</v>
      </c>
      <c r="AU82" s="1" t="s">
        <v>146</v>
      </c>
      <c r="AV82" s="1" t="s">
        <v>145</v>
      </c>
      <c r="AW82" s="1" t="s">
        <v>145</v>
      </c>
      <c r="AX82" s="1" t="s">
        <v>146</v>
      </c>
      <c r="AY82" s="1" t="s">
        <v>146</v>
      </c>
      <c r="AZ82" s="1" t="s">
        <v>146</v>
      </c>
      <c r="BA82" s="15" t="s">
        <v>146</v>
      </c>
      <c r="BC82" s="23" t="s">
        <v>405</v>
      </c>
      <c r="BD82" s="23" t="s">
        <v>406</v>
      </c>
      <c r="BE82" s="23" t="s">
        <v>1222</v>
      </c>
      <c r="BF82" s="1" t="s">
        <v>1223</v>
      </c>
    </row>
    <row r="83" ht="24" customHeight="1" spans="1:58">
      <c r="A83" s="1" t="str">
        <f>_xlfn.DISPIMG("ID_79D7CF9A3B7944949ADC31B235CADFE8",1)</f>
        <v>=DISPIMG("ID_79D7CF9A3B7944949ADC31B235CADFE8",1)</v>
      </c>
      <c r="B83" s="15" t="s">
        <v>1224</v>
      </c>
      <c r="C83" s="15" t="s">
        <v>146</v>
      </c>
      <c r="D83" s="15" t="s">
        <v>146</v>
      </c>
      <c r="E83" s="15" t="s">
        <v>16</v>
      </c>
      <c r="F83" s="15" t="s">
        <v>1225</v>
      </c>
      <c r="G83" s="15" t="s">
        <v>1226</v>
      </c>
      <c r="H83" s="15" t="s">
        <v>1227</v>
      </c>
      <c r="I83" s="15" t="s">
        <v>1228</v>
      </c>
      <c r="J83" s="15" t="s">
        <v>1224</v>
      </c>
      <c r="K83" s="15" t="s">
        <v>135</v>
      </c>
      <c r="L83" s="15" t="s">
        <v>136</v>
      </c>
      <c r="M83" s="18">
        <v>47680</v>
      </c>
      <c r="N83" s="18">
        <v>30733</v>
      </c>
      <c r="O83" s="19">
        <v>0.3919</v>
      </c>
      <c r="P83" s="20" t="s">
        <v>200</v>
      </c>
      <c r="Q83" s="22" t="s">
        <v>1229</v>
      </c>
      <c r="R83" s="18">
        <v>581</v>
      </c>
      <c r="S83" s="19">
        <v>0.1385</v>
      </c>
      <c r="T83" s="18">
        <v>20910.191</v>
      </c>
      <c r="U83" s="23" t="s">
        <v>384</v>
      </c>
      <c r="V83" s="18">
        <v>1799.5</v>
      </c>
      <c r="W83" s="24">
        <v>47</v>
      </c>
      <c r="X83" s="25">
        <v>35.99</v>
      </c>
      <c r="AA83" s="18">
        <v>5</v>
      </c>
      <c r="AB83" s="24">
        <v>221</v>
      </c>
      <c r="AC83" s="18">
        <v>7</v>
      </c>
      <c r="AD83" s="28">
        <v>4.3</v>
      </c>
      <c r="AE83" s="29">
        <v>0.012</v>
      </c>
      <c r="AF83" s="25">
        <v>6.19</v>
      </c>
      <c r="AG83" s="19">
        <v>0.628</v>
      </c>
      <c r="AI83" s="1" t="s">
        <v>1230</v>
      </c>
      <c r="AJ83" s="24">
        <v>745</v>
      </c>
      <c r="AK83" s="1" t="s">
        <v>141</v>
      </c>
      <c r="AL83" s="24">
        <v>9.8</v>
      </c>
      <c r="AM83" s="24">
        <v>1</v>
      </c>
      <c r="AN83" s="15" t="s">
        <v>16</v>
      </c>
      <c r="AO83" s="1" t="s">
        <v>141</v>
      </c>
      <c r="AP83" s="1" t="s">
        <v>142</v>
      </c>
      <c r="AQ83" s="15" t="s">
        <v>1231</v>
      </c>
      <c r="AR83" s="1" t="s">
        <v>1232</v>
      </c>
      <c r="AS83" s="1" t="s">
        <v>146</v>
      </c>
      <c r="AT83" s="1" t="s">
        <v>145</v>
      </c>
      <c r="AU83" s="1" t="s">
        <v>146</v>
      </c>
      <c r="AV83" s="1" t="s">
        <v>145</v>
      </c>
      <c r="AW83" s="1" t="s">
        <v>145</v>
      </c>
      <c r="AX83" s="1" t="s">
        <v>146</v>
      </c>
      <c r="AY83" s="1" t="s">
        <v>146</v>
      </c>
      <c r="AZ83" s="1" t="s">
        <v>146</v>
      </c>
      <c r="BA83" s="15" t="s">
        <v>146</v>
      </c>
      <c r="BB83" s="23" t="s">
        <v>1233</v>
      </c>
      <c r="BC83" s="23" t="s">
        <v>244</v>
      </c>
      <c r="BD83" s="23" t="s">
        <v>245</v>
      </c>
      <c r="BE83" s="23" t="s">
        <v>1234</v>
      </c>
      <c r="BF83" s="1" t="s">
        <v>1235</v>
      </c>
    </row>
    <row r="84" ht="24" customHeight="1" spans="1:58">
      <c r="A84" s="1" t="str">
        <f>_xlfn.DISPIMG("ID_86A4F75439114FF8AB04ED8643FC2C5F",1)</f>
        <v>=DISPIMG("ID_86A4F75439114FF8AB04ED8643FC2C5F",1)</v>
      </c>
      <c r="B84" s="15" t="s">
        <v>1236</v>
      </c>
      <c r="C84" s="15" t="s">
        <v>146</v>
      </c>
      <c r="D84" s="15" t="s">
        <v>146</v>
      </c>
      <c r="E84" s="15" t="s">
        <v>64</v>
      </c>
      <c r="F84" s="15" t="s">
        <v>1237</v>
      </c>
      <c r="G84" s="15" t="s">
        <v>1238</v>
      </c>
      <c r="H84" s="15" t="s">
        <v>1239</v>
      </c>
      <c r="I84" s="15" t="s">
        <v>1240</v>
      </c>
      <c r="J84" s="15" t="s">
        <v>1236</v>
      </c>
      <c r="K84" s="15" t="s">
        <v>135</v>
      </c>
      <c r="L84" s="15" t="s">
        <v>136</v>
      </c>
      <c r="M84" s="18">
        <v>48526</v>
      </c>
      <c r="N84" s="18">
        <v>13914</v>
      </c>
      <c r="O84" s="19">
        <v>0.2228</v>
      </c>
      <c r="P84" s="20" t="s">
        <v>324</v>
      </c>
      <c r="Q84" s="22" t="s">
        <v>1241</v>
      </c>
      <c r="R84" s="18">
        <v>552</v>
      </c>
      <c r="S84" s="19">
        <v>-0.1968</v>
      </c>
      <c r="T84" s="18">
        <v>14346.4795</v>
      </c>
      <c r="U84" s="23" t="s">
        <v>146</v>
      </c>
      <c r="V84" s="18" t="s">
        <v>146</v>
      </c>
      <c r="W84" s="24">
        <v>57</v>
      </c>
      <c r="X84" s="25">
        <v>25.99</v>
      </c>
      <c r="AA84" s="18">
        <v>14</v>
      </c>
      <c r="AB84" s="24">
        <v>1732</v>
      </c>
      <c r="AC84" s="18">
        <v>18</v>
      </c>
      <c r="AD84" s="28">
        <v>4.3</v>
      </c>
      <c r="AE84" s="29">
        <v>0.0326</v>
      </c>
      <c r="AF84" s="25">
        <v>4.94</v>
      </c>
      <c r="AG84" s="19">
        <v>0.6099</v>
      </c>
      <c r="AI84" s="1" t="s">
        <v>1242</v>
      </c>
      <c r="AJ84" s="24">
        <v>1280</v>
      </c>
      <c r="AK84" s="1" t="s">
        <v>141</v>
      </c>
      <c r="AL84" s="24">
        <v>10</v>
      </c>
      <c r="AM84" s="24">
        <v>1</v>
      </c>
      <c r="AN84" s="15" t="s">
        <v>64</v>
      </c>
      <c r="AO84" s="1" t="s">
        <v>141</v>
      </c>
      <c r="AP84" s="1" t="s">
        <v>142</v>
      </c>
      <c r="AQ84" s="15" t="s">
        <v>1243</v>
      </c>
      <c r="AR84" s="1" t="s">
        <v>1244</v>
      </c>
      <c r="AS84" s="1" t="s">
        <v>146</v>
      </c>
      <c r="AT84" s="1" t="s">
        <v>145</v>
      </c>
      <c r="AU84" s="1" t="s">
        <v>146</v>
      </c>
      <c r="AV84" s="1" t="s">
        <v>145</v>
      </c>
      <c r="AW84" s="1" t="s">
        <v>145</v>
      </c>
      <c r="AX84" s="1" t="s">
        <v>146</v>
      </c>
      <c r="AY84" s="1" t="s">
        <v>146</v>
      </c>
      <c r="AZ84" s="1" t="s">
        <v>146</v>
      </c>
      <c r="BA84" s="15" t="s">
        <v>146</v>
      </c>
      <c r="BB84" s="23" t="s">
        <v>1245</v>
      </c>
      <c r="BC84" s="23" t="s">
        <v>666</v>
      </c>
      <c r="BD84" s="23" t="s">
        <v>667</v>
      </c>
      <c r="BE84" s="23" t="s">
        <v>1246</v>
      </c>
      <c r="BF84" s="1" t="s">
        <v>1247</v>
      </c>
    </row>
    <row r="85" ht="24" customHeight="1" spans="1:58">
      <c r="A85" s="1" t="str">
        <f>_xlfn.DISPIMG("ID_F7DA50559D3C44D2A73CB4DC28495541",1)</f>
        <v>=DISPIMG("ID_F7DA50559D3C44D2A73CB4DC28495541",1)</v>
      </c>
      <c r="B85" s="15" t="s">
        <v>1248</v>
      </c>
      <c r="C85" s="15" t="s">
        <v>146</v>
      </c>
      <c r="D85" s="15" t="s">
        <v>146</v>
      </c>
      <c r="E85" s="15" t="s">
        <v>38</v>
      </c>
      <c r="F85" s="15" t="s">
        <v>1249</v>
      </c>
      <c r="G85" s="15" t="s">
        <v>1250</v>
      </c>
      <c r="H85" s="15" t="s">
        <v>1251</v>
      </c>
      <c r="I85" s="15" t="s">
        <v>1252</v>
      </c>
      <c r="J85" s="15" t="s">
        <v>1248</v>
      </c>
      <c r="K85" s="15" t="s">
        <v>135</v>
      </c>
      <c r="L85" s="15" t="s">
        <v>136</v>
      </c>
      <c r="M85" s="18">
        <v>58637</v>
      </c>
      <c r="N85" s="18">
        <v>62406</v>
      </c>
      <c r="O85" s="19">
        <v>0.5156</v>
      </c>
      <c r="P85" s="20" t="s">
        <v>200</v>
      </c>
      <c r="Q85" s="22" t="s">
        <v>1253</v>
      </c>
      <c r="R85" s="18">
        <v>548</v>
      </c>
      <c r="S85" s="19">
        <v>-0.4659</v>
      </c>
      <c r="T85" s="18">
        <v>10905.2</v>
      </c>
      <c r="U85" s="23" t="s">
        <v>384</v>
      </c>
      <c r="V85" s="18">
        <v>995</v>
      </c>
      <c r="W85" s="24">
        <v>31</v>
      </c>
      <c r="X85" s="25">
        <v>19.9</v>
      </c>
      <c r="AA85" s="18">
        <v>36</v>
      </c>
      <c r="AB85" s="24">
        <v>3102</v>
      </c>
      <c r="AC85" s="18">
        <v>25</v>
      </c>
      <c r="AD85" s="28">
        <v>4.4</v>
      </c>
      <c r="AE85" s="29">
        <v>0.0456</v>
      </c>
      <c r="AF85" s="25">
        <v>6.44</v>
      </c>
      <c r="AG85" s="19">
        <v>0.4764</v>
      </c>
      <c r="AI85" s="1" t="s">
        <v>1254</v>
      </c>
      <c r="AJ85" s="24">
        <v>2808</v>
      </c>
      <c r="AK85" s="1" t="s">
        <v>141</v>
      </c>
      <c r="AL85" s="24">
        <v>9.6</v>
      </c>
      <c r="AM85" s="24">
        <v>1</v>
      </c>
      <c r="AN85" s="15" t="s">
        <v>38</v>
      </c>
      <c r="AO85" s="1" t="s">
        <v>141</v>
      </c>
      <c r="AP85" s="1" t="s">
        <v>164</v>
      </c>
      <c r="AQ85" s="15" t="s">
        <v>1255</v>
      </c>
      <c r="AR85" s="1" t="s">
        <v>1256</v>
      </c>
      <c r="AS85" s="1" t="s">
        <v>146</v>
      </c>
      <c r="AT85" s="1" t="s">
        <v>146</v>
      </c>
      <c r="AU85" s="1" t="s">
        <v>146</v>
      </c>
      <c r="AV85" s="1" t="s">
        <v>145</v>
      </c>
      <c r="AW85" s="1" t="s">
        <v>146</v>
      </c>
      <c r="AX85" s="1" t="s">
        <v>146</v>
      </c>
      <c r="AY85" s="1" t="s">
        <v>146</v>
      </c>
      <c r="AZ85" s="1" t="s">
        <v>146</v>
      </c>
      <c r="BA85" s="15" t="s">
        <v>146</v>
      </c>
      <c r="BC85" s="23" t="s">
        <v>1257</v>
      </c>
      <c r="BD85" s="23" t="s">
        <v>1258</v>
      </c>
      <c r="BE85" s="23" t="s">
        <v>1259</v>
      </c>
      <c r="BF85" s="1" t="s">
        <v>1260</v>
      </c>
    </row>
    <row r="86" ht="24" customHeight="1" spans="1:58">
      <c r="A86" s="1" t="str">
        <f>_xlfn.DISPIMG("ID_B048F9129D534EAE902E5F7100957345",1)</f>
        <v>=DISPIMG("ID_B048F9129D534EAE902E5F7100957345",1)</v>
      </c>
      <c r="B86" s="15" t="s">
        <v>1261</v>
      </c>
      <c r="C86" s="15" t="s">
        <v>146</v>
      </c>
      <c r="D86" s="15" t="s">
        <v>146</v>
      </c>
      <c r="E86" s="15" t="s">
        <v>58</v>
      </c>
      <c r="F86" s="15" t="s">
        <v>1262</v>
      </c>
      <c r="G86" s="15" t="s">
        <v>1263</v>
      </c>
      <c r="H86" s="15" t="s">
        <v>1264</v>
      </c>
      <c r="I86" s="15" t="s">
        <v>1265</v>
      </c>
      <c r="J86" s="15" t="s">
        <v>1261</v>
      </c>
      <c r="K86" s="15" t="s">
        <v>135</v>
      </c>
      <c r="L86" s="15" t="s">
        <v>136</v>
      </c>
      <c r="M86" s="18">
        <v>60457</v>
      </c>
      <c r="N86" s="18">
        <v>60461</v>
      </c>
      <c r="O86" s="19">
        <v>0.5</v>
      </c>
      <c r="P86" s="20" t="s">
        <v>159</v>
      </c>
      <c r="Q86" s="22" t="s">
        <v>1266</v>
      </c>
      <c r="R86" s="18">
        <v>498</v>
      </c>
      <c r="S86" s="19">
        <v>0.0073</v>
      </c>
      <c r="T86" s="18">
        <v>8959.02</v>
      </c>
      <c r="U86" s="23" t="s">
        <v>146</v>
      </c>
      <c r="V86" s="18" t="s">
        <v>146</v>
      </c>
      <c r="W86" s="24">
        <v>30</v>
      </c>
      <c r="X86" s="25">
        <v>17.99</v>
      </c>
      <c r="AA86" s="18">
        <v>4</v>
      </c>
      <c r="AB86" s="24">
        <v>76</v>
      </c>
      <c r="AC86" s="18">
        <v>5</v>
      </c>
      <c r="AD86" s="28">
        <v>4.5</v>
      </c>
      <c r="AE86" s="29">
        <v>0.01</v>
      </c>
      <c r="AF86" s="25">
        <v>5.46</v>
      </c>
      <c r="AG86" s="19">
        <v>0.4965</v>
      </c>
      <c r="AI86" s="1" t="s">
        <v>484</v>
      </c>
      <c r="AJ86" s="24">
        <v>151</v>
      </c>
      <c r="AK86" s="1" t="s">
        <v>141</v>
      </c>
      <c r="AL86" s="24">
        <v>10</v>
      </c>
      <c r="AM86" s="24">
        <v>1</v>
      </c>
      <c r="AN86" s="15" t="s">
        <v>1267</v>
      </c>
      <c r="AO86" s="1" t="s">
        <v>141</v>
      </c>
      <c r="AP86" s="1" t="s">
        <v>142</v>
      </c>
      <c r="AQ86" s="15" t="s">
        <v>1268</v>
      </c>
      <c r="AR86" s="1" t="s">
        <v>1269</v>
      </c>
      <c r="AS86" s="1" t="s">
        <v>146</v>
      </c>
      <c r="AT86" s="1" t="s">
        <v>146</v>
      </c>
      <c r="AU86" s="1" t="s">
        <v>146</v>
      </c>
      <c r="AV86" s="1" t="s">
        <v>145</v>
      </c>
      <c r="AW86" s="1" t="s">
        <v>145</v>
      </c>
      <c r="AX86" s="1" t="s">
        <v>146</v>
      </c>
      <c r="AY86" s="1" t="s">
        <v>146</v>
      </c>
      <c r="AZ86" s="1" t="s">
        <v>146</v>
      </c>
      <c r="BA86" s="15" t="s">
        <v>146</v>
      </c>
      <c r="BC86" s="23" t="s">
        <v>405</v>
      </c>
      <c r="BD86" s="23" t="s">
        <v>406</v>
      </c>
      <c r="BE86" s="23" t="s">
        <v>190</v>
      </c>
      <c r="BF86" s="1" t="s">
        <v>191</v>
      </c>
    </row>
    <row r="87" ht="24" customHeight="1" spans="1:58">
      <c r="A87" s="1" t="str">
        <f>_xlfn.DISPIMG("ID_FC4146A0FCF5456CA28BD07668AD41FE",1)</f>
        <v>=DISPIMG("ID_FC4146A0FCF5456CA28BD07668AD41FE",1)</v>
      </c>
      <c r="B87" s="15" t="s">
        <v>1270</v>
      </c>
      <c r="C87" s="15" t="s">
        <v>146</v>
      </c>
      <c r="D87" s="15" t="s">
        <v>146</v>
      </c>
      <c r="E87" s="15" t="s">
        <v>3</v>
      </c>
      <c r="F87" s="15" t="s">
        <v>154</v>
      </c>
      <c r="G87" s="15" t="s">
        <v>1271</v>
      </c>
      <c r="H87" s="15" t="s">
        <v>1272</v>
      </c>
      <c r="I87" s="15" t="s">
        <v>1273</v>
      </c>
      <c r="J87" s="15" t="s">
        <v>1270</v>
      </c>
      <c r="K87" s="15" t="s">
        <v>135</v>
      </c>
      <c r="L87" s="15" t="s">
        <v>136</v>
      </c>
      <c r="M87" s="18">
        <v>59929</v>
      </c>
      <c r="N87" s="18">
        <v>22796</v>
      </c>
      <c r="O87" s="19">
        <v>0.2756</v>
      </c>
      <c r="P87" s="20" t="s">
        <v>324</v>
      </c>
      <c r="Q87" s="22" t="s">
        <v>1274</v>
      </c>
      <c r="R87" s="18">
        <v>498</v>
      </c>
      <c r="S87" s="19">
        <v>-0.2046</v>
      </c>
      <c r="T87" s="18">
        <v>9955.02</v>
      </c>
      <c r="U87" s="23" t="s">
        <v>146</v>
      </c>
      <c r="V87" s="18" t="s">
        <v>146</v>
      </c>
      <c r="W87" s="24">
        <v>22</v>
      </c>
      <c r="X87" s="25">
        <v>19.99</v>
      </c>
      <c r="AB87" s="24">
        <v>73</v>
      </c>
      <c r="AC87" s="18">
        <v>15</v>
      </c>
      <c r="AD87" s="28">
        <v>4.5</v>
      </c>
      <c r="AE87" s="29">
        <v>0.0301</v>
      </c>
      <c r="AF87" s="25">
        <v>5.46</v>
      </c>
      <c r="AG87" s="19">
        <v>0.5269</v>
      </c>
      <c r="AI87" s="1" t="s">
        <v>1275</v>
      </c>
      <c r="AJ87" s="24">
        <v>205</v>
      </c>
      <c r="AK87" s="1" t="s">
        <v>141</v>
      </c>
      <c r="AL87" s="24">
        <v>10</v>
      </c>
      <c r="AM87" s="24">
        <v>1</v>
      </c>
      <c r="AN87" s="15" t="s">
        <v>163</v>
      </c>
      <c r="AO87" s="1" t="s">
        <v>141</v>
      </c>
      <c r="AP87" s="1" t="s">
        <v>164</v>
      </c>
      <c r="AQ87" s="15" t="s">
        <v>165</v>
      </c>
      <c r="AR87" s="1" t="s">
        <v>166</v>
      </c>
      <c r="AS87" s="1" t="s">
        <v>146</v>
      </c>
      <c r="AT87" s="1" t="s">
        <v>146</v>
      </c>
      <c r="AU87" s="1" t="s">
        <v>146</v>
      </c>
      <c r="AV87" s="1" t="s">
        <v>145</v>
      </c>
      <c r="AW87" s="1" t="s">
        <v>145</v>
      </c>
      <c r="AX87" s="1" t="s">
        <v>146</v>
      </c>
      <c r="AY87" s="1" t="s">
        <v>146</v>
      </c>
      <c r="AZ87" s="1" t="s">
        <v>146</v>
      </c>
      <c r="BA87" s="15" t="s">
        <v>146</v>
      </c>
      <c r="BD87" s="23" t="s">
        <v>146</v>
      </c>
      <c r="BF87" s="1" t="s">
        <v>146</v>
      </c>
    </row>
    <row r="88" ht="24" customHeight="1" spans="1:58">
      <c r="A88" s="1" t="str">
        <f>_xlfn.DISPIMG("ID_4FC95A69337A4B5492EAE99B8B469DEA",1)</f>
        <v>=DISPIMG("ID_4FC95A69337A4B5492EAE99B8B469DEA",1)</v>
      </c>
      <c r="B88" s="15" t="s">
        <v>1276</v>
      </c>
      <c r="C88" s="15" t="s">
        <v>146</v>
      </c>
      <c r="D88" s="15" t="s">
        <v>146</v>
      </c>
      <c r="E88" s="15" t="s">
        <v>2</v>
      </c>
      <c r="F88" s="15" t="s">
        <v>671</v>
      </c>
      <c r="G88" s="15" t="s">
        <v>1277</v>
      </c>
      <c r="H88" s="15" t="s">
        <v>1278</v>
      </c>
      <c r="I88" s="15" t="s">
        <v>1279</v>
      </c>
      <c r="J88" s="15" t="s">
        <v>1276</v>
      </c>
      <c r="K88" s="15" t="s">
        <v>135</v>
      </c>
      <c r="L88" s="15" t="s">
        <v>136</v>
      </c>
      <c r="M88" s="18">
        <v>61276</v>
      </c>
      <c r="N88" s="18">
        <v>19811</v>
      </c>
      <c r="O88" s="19">
        <v>0.2443</v>
      </c>
      <c r="P88" s="20" t="s">
        <v>324</v>
      </c>
      <c r="Q88" s="22" t="s">
        <v>1280</v>
      </c>
      <c r="R88" s="18">
        <v>492</v>
      </c>
      <c r="S88" s="19">
        <v>-0.3027</v>
      </c>
      <c r="T88" s="18">
        <v>17220</v>
      </c>
      <c r="U88" s="23" t="s">
        <v>146</v>
      </c>
      <c r="V88" s="18" t="s">
        <v>146</v>
      </c>
      <c r="W88" s="24">
        <v>74</v>
      </c>
      <c r="X88" s="25">
        <v>35</v>
      </c>
      <c r="AA88" s="18">
        <v>11</v>
      </c>
      <c r="AB88" s="24">
        <v>180</v>
      </c>
      <c r="AC88" s="18">
        <v>8</v>
      </c>
      <c r="AD88" s="28">
        <v>4.5</v>
      </c>
      <c r="AE88" s="29">
        <v>0.0163</v>
      </c>
      <c r="AF88" s="25">
        <v>5.39</v>
      </c>
      <c r="AG88" s="19">
        <v>0.646</v>
      </c>
      <c r="AI88" s="1" t="s">
        <v>650</v>
      </c>
      <c r="AJ88" s="24">
        <v>570</v>
      </c>
      <c r="AK88" s="1" t="s">
        <v>141</v>
      </c>
      <c r="AL88" s="24">
        <v>7.8</v>
      </c>
      <c r="AM88" s="24">
        <v>1</v>
      </c>
      <c r="AN88" s="15" t="s">
        <v>2</v>
      </c>
      <c r="AO88" s="1" t="s">
        <v>141</v>
      </c>
      <c r="AP88" s="1" t="s">
        <v>142</v>
      </c>
      <c r="AQ88" s="15" t="s">
        <v>678</v>
      </c>
      <c r="AR88" s="1" t="s">
        <v>679</v>
      </c>
      <c r="AS88" s="1" t="s">
        <v>146</v>
      </c>
      <c r="AT88" s="1" t="s">
        <v>146</v>
      </c>
      <c r="AU88" s="1" t="s">
        <v>146</v>
      </c>
      <c r="AV88" s="1" t="s">
        <v>146</v>
      </c>
      <c r="AW88" s="1" t="s">
        <v>146</v>
      </c>
      <c r="AX88" s="1" t="s">
        <v>146</v>
      </c>
      <c r="AY88" s="1" t="s">
        <v>146</v>
      </c>
      <c r="AZ88" s="1" t="s">
        <v>146</v>
      </c>
      <c r="BA88" s="15" t="s">
        <v>146</v>
      </c>
      <c r="BC88" s="23" t="s">
        <v>1281</v>
      </c>
      <c r="BD88" s="23" t="s">
        <v>424</v>
      </c>
      <c r="BE88" s="23" t="s">
        <v>1282</v>
      </c>
      <c r="BF88" s="1" t="s">
        <v>1283</v>
      </c>
    </row>
    <row r="89" ht="24" customHeight="1" spans="1:58">
      <c r="A89" s="1" t="str">
        <f>_xlfn.DISPIMG("ID_CB731830E0B54209830D4C9891EFCE97",1)</f>
        <v>=DISPIMG("ID_CB731830E0B54209830D4C9891EFCE97",1)</v>
      </c>
      <c r="B89" s="15" t="s">
        <v>1284</v>
      </c>
      <c r="C89" s="15" t="s">
        <v>146</v>
      </c>
      <c r="D89" s="15" t="s">
        <v>146</v>
      </c>
      <c r="E89" s="15" t="s">
        <v>16</v>
      </c>
      <c r="F89" s="15" t="s">
        <v>1225</v>
      </c>
      <c r="G89" s="15" t="s">
        <v>1285</v>
      </c>
      <c r="H89" s="15" t="s">
        <v>1286</v>
      </c>
      <c r="I89" s="15" t="s">
        <v>1287</v>
      </c>
      <c r="J89" s="15" t="s">
        <v>1284</v>
      </c>
      <c r="K89" s="15" t="s">
        <v>135</v>
      </c>
      <c r="L89" s="15" t="s">
        <v>136</v>
      </c>
      <c r="M89" s="18">
        <v>95630</v>
      </c>
      <c r="N89" s="18">
        <v>15490</v>
      </c>
      <c r="O89" s="19">
        <v>0.1464</v>
      </c>
      <c r="P89" s="20" t="s">
        <v>200</v>
      </c>
      <c r="Q89" s="22" t="s">
        <v>1288</v>
      </c>
      <c r="R89" s="18">
        <v>480</v>
      </c>
      <c r="S89" s="19">
        <v>-0.2018</v>
      </c>
      <c r="T89" s="18">
        <v>14395.2</v>
      </c>
      <c r="U89" s="23" t="s">
        <v>146</v>
      </c>
      <c r="V89" s="18" t="s">
        <v>146</v>
      </c>
      <c r="W89" s="24">
        <v>60</v>
      </c>
      <c r="X89" s="25">
        <v>29.99</v>
      </c>
      <c r="AA89" s="18">
        <v>8</v>
      </c>
      <c r="AB89" s="24">
        <v>592</v>
      </c>
      <c r="AC89" s="18">
        <v>4</v>
      </c>
      <c r="AD89" s="28">
        <v>4.5</v>
      </c>
      <c r="AE89" s="29">
        <v>0.0083</v>
      </c>
      <c r="AF89" s="25">
        <v>6.19</v>
      </c>
      <c r="AG89" s="19">
        <v>0.5936</v>
      </c>
      <c r="AI89" s="1" t="s">
        <v>1289</v>
      </c>
      <c r="AJ89" s="24">
        <v>887</v>
      </c>
      <c r="AK89" s="1" t="s">
        <v>141</v>
      </c>
      <c r="AL89" s="24">
        <v>10</v>
      </c>
      <c r="AM89" s="24">
        <v>1</v>
      </c>
      <c r="AN89" s="15" t="s">
        <v>16</v>
      </c>
      <c r="AO89" s="1" t="s">
        <v>141</v>
      </c>
      <c r="AP89" s="1" t="s">
        <v>142</v>
      </c>
      <c r="AQ89" s="15" t="s">
        <v>1231</v>
      </c>
      <c r="AR89" s="1" t="s">
        <v>1232</v>
      </c>
      <c r="AS89" s="1" t="s">
        <v>146</v>
      </c>
      <c r="AT89" s="1" t="s">
        <v>145</v>
      </c>
      <c r="AU89" s="1" t="s">
        <v>146</v>
      </c>
      <c r="AV89" s="1" t="s">
        <v>145</v>
      </c>
      <c r="AW89" s="1" t="s">
        <v>145</v>
      </c>
      <c r="AX89" s="1" t="s">
        <v>146</v>
      </c>
      <c r="AY89" s="1" t="s">
        <v>146</v>
      </c>
      <c r="AZ89" s="1" t="s">
        <v>146</v>
      </c>
      <c r="BA89" s="15" t="s">
        <v>146</v>
      </c>
      <c r="BB89" s="23" t="s">
        <v>1290</v>
      </c>
      <c r="BC89" s="23" t="s">
        <v>1291</v>
      </c>
      <c r="BD89" s="23" t="s">
        <v>1292</v>
      </c>
      <c r="BE89" s="23" t="s">
        <v>1293</v>
      </c>
      <c r="BF89" s="1" t="s">
        <v>1294</v>
      </c>
    </row>
    <row r="90" ht="24" customHeight="1" spans="1:58">
      <c r="A90" s="1" t="str">
        <f>_xlfn.DISPIMG("ID_1B9B43A84A5A4D37AC65FADB8C9BDA83",1)</f>
        <v>=DISPIMG("ID_1B9B43A84A5A4D37AC65FADB8C9BDA83",1)</v>
      </c>
      <c r="B90" s="15" t="s">
        <v>1295</v>
      </c>
      <c r="C90" s="15" t="s">
        <v>146</v>
      </c>
      <c r="D90" s="15" t="s">
        <v>146</v>
      </c>
      <c r="E90" s="15" t="s">
        <v>17</v>
      </c>
      <c r="F90" s="15" t="s">
        <v>796</v>
      </c>
      <c r="G90" s="15" t="s">
        <v>1296</v>
      </c>
      <c r="H90" s="15" t="s">
        <v>1297</v>
      </c>
      <c r="I90" s="15" t="s">
        <v>1298</v>
      </c>
      <c r="J90" s="15" t="s">
        <v>1295</v>
      </c>
      <c r="K90" s="15" t="s">
        <v>135</v>
      </c>
      <c r="L90" s="15" t="s">
        <v>136</v>
      </c>
      <c r="M90" s="18">
        <v>81160</v>
      </c>
      <c r="N90" s="18">
        <v>25511</v>
      </c>
      <c r="O90" s="19">
        <v>0.2392</v>
      </c>
      <c r="P90" s="20" t="s">
        <v>200</v>
      </c>
      <c r="Q90" s="22" t="s">
        <v>1299</v>
      </c>
      <c r="R90" s="18">
        <v>474</v>
      </c>
      <c r="S90" s="19">
        <v>-0.0659</v>
      </c>
      <c r="T90" s="18">
        <v>12319.26</v>
      </c>
      <c r="U90" s="23" t="s">
        <v>146</v>
      </c>
      <c r="V90" s="18" t="s">
        <v>146</v>
      </c>
      <c r="W90" s="24">
        <v>31</v>
      </c>
      <c r="X90" s="25">
        <v>25.99</v>
      </c>
      <c r="AA90" s="18">
        <v>8</v>
      </c>
      <c r="AB90" s="24">
        <v>1738</v>
      </c>
      <c r="AC90" s="18">
        <v>13</v>
      </c>
      <c r="AD90" s="28">
        <v>4.5</v>
      </c>
      <c r="AE90" s="29">
        <v>0.0274</v>
      </c>
      <c r="AF90" s="25">
        <v>4.94</v>
      </c>
      <c r="AG90" s="19">
        <v>0.6099</v>
      </c>
      <c r="AI90" s="1" t="s">
        <v>1300</v>
      </c>
      <c r="AJ90" s="24">
        <v>1149</v>
      </c>
      <c r="AK90" s="1" t="s">
        <v>141</v>
      </c>
      <c r="AL90" s="24">
        <v>10</v>
      </c>
      <c r="AM90" s="24">
        <v>1</v>
      </c>
      <c r="AN90" s="15" t="s">
        <v>17</v>
      </c>
      <c r="AO90" s="1" t="s">
        <v>141</v>
      </c>
      <c r="AP90" s="1" t="s">
        <v>142</v>
      </c>
      <c r="AQ90" s="15" t="s">
        <v>803</v>
      </c>
      <c r="AR90" s="1" t="s">
        <v>804</v>
      </c>
      <c r="AS90" s="1" t="s">
        <v>146</v>
      </c>
      <c r="AT90" s="1" t="s">
        <v>146</v>
      </c>
      <c r="AU90" s="1" t="s">
        <v>146</v>
      </c>
      <c r="AV90" s="1" t="s">
        <v>145</v>
      </c>
      <c r="AW90" s="1" t="s">
        <v>145</v>
      </c>
      <c r="AX90" s="1" t="s">
        <v>146</v>
      </c>
      <c r="AY90" s="1" t="s">
        <v>146</v>
      </c>
      <c r="AZ90" s="1" t="s">
        <v>146</v>
      </c>
      <c r="BA90" s="15" t="s">
        <v>146</v>
      </c>
      <c r="BC90" s="23" t="s">
        <v>1301</v>
      </c>
      <c r="BD90" s="23" t="s">
        <v>1302</v>
      </c>
      <c r="BE90" s="23" t="s">
        <v>1303</v>
      </c>
      <c r="BF90" s="1" t="s">
        <v>1304</v>
      </c>
    </row>
    <row r="91" ht="24" customHeight="1" spans="1:58">
      <c r="A91" s="1" t="str">
        <f>_xlfn.DISPIMG("ID_83A7A5F4A7AC41E7A067E0BA3AC72199",1)</f>
        <v>=DISPIMG("ID_83A7A5F4A7AC41E7A067E0BA3AC72199",1)</v>
      </c>
      <c r="B91" s="15" t="s">
        <v>1305</v>
      </c>
      <c r="C91" s="15" t="s">
        <v>146</v>
      </c>
      <c r="D91" s="15" t="s">
        <v>146</v>
      </c>
      <c r="E91" s="15" t="s">
        <v>63</v>
      </c>
      <c r="F91" s="15" t="s">
        <v>1306</v>
      </c>
      <c r="G91" s="15" t="s">
        <v>1307</v>
      </c>
      <c r="H91" s="15" t="s">
        <v>1308</v>
      </c>
      <c r="I91" s="15" t="s">
        <v>1309</v>
      </c>
      <c r="J91" s="15" t="s">
        <v>1305</v>
      </c>
      <c r="K91" s="15" t="s">
        <v>135</v>
      </c>
      <c r="L91" s="15" t="s">
        <v>136</v>
      </c>
      <c r="M91" s="18">
        <v>76034</v>
      </c>
      <c r="N91" s="18">
        <v>-542</v>
      </c>
      <c r="O91" s="19">
        <v>-0.0067</v>
      </c>
      <c r="P91" s="20" t="s">
        <v>159</v>
      </c>
      <c r="Q91" s="22" t="s">
        <v>1310</v>
      </c>
      <c r="R91" s="18">
        <v>458</v>
      </c>
      <c r="S91" s="19">
        <v>-0.2482</v>
      </c>
      <c r="T91" s="18">
        <v>13735.42</v>
      </c>
      <c r="U91" s="23" t="s">
        <v>161</v>
      </c>
      <c r="V91" s="18">
        <v>2999</v>
      </c>
      <c r="W91" s="24">
        <v>21</v>
      </c>
      <c r="X91" s="25">
        <v>29.99</v>
      </c>
      <c r="AB91" s="24">
        <v>74</v>
      </c>
      <c r="AC91" s="18">
        <v>6</v>
      </c>
      <c r="AD91" s="28">
        <v>4.3</v>
      </c>
      <c r="AE91" s="29">
        <v>0.0131</v>
      </c>
      <c r="AF91" s="25">
        <v>5.46</v>
      </c>
      <c r="AG91" s="19">
        <v>0.6179</v>
      </c>
      <c r="AI91" s="1" t="s">
        <v>557</v>
      </c>
      <c r="AJ91" s="24">
        <v>284</v>
      </c>
      <c r="AK91" s="1" t="s">
        <v>141</v>
      </c>
      <c r="AL91" s="24">
        <v>10</v>
      </c>
      <c r="AM91" s="24">
        <v>1</v>
      </c>
      <c r="AN91" s="15" t="s">
        <v>1311</v>
      </c>
      <c r="AO91" s="1" t="s">
        <v>141</v>
      </c>
      <c r="AP91" s="1" t="s">
        <v>142</v>
      </c>
      <c r="AQ91" s="15" t="s">
        <v>1312</v>
      </c>
      <c r="AR91" s="1" t="s">
        <v>1313</v>
      </c>
      <c r="AS91" s="1" t="s">
        <v>146</v>
      </c>
      <c r="AT91" s="1" t="s">
        <v>146</v>
      </c>
      <c r="AU91" s="1" t="s">
        <v>146</v>
      </c>
      <c r="AV91" s="1" t="s">
        <v>145</v>
      </c>
      <c r="AW91" s="1" t="s">
        <v>145</v>
      </c>
      <c r="AX91" s="1" t="s">
        <v>146</v>
      </c>
      <c r="AY91" s="1" t="s">
        <v>146</v>
      </c>
      <c r="AZ91" s="1" t="s">
        <v>146</v>
      </c>
      <c r="BA91" s="15" t="s">
        <v>146</v>
      </c>
      <c r="BC91" s="23" t="s">
        <v>989</v>
      </c>
      <c r="BD91" s="23" t="s">
        <v>990</v>
      </c>
      <c r="BE91" s="23" t="s">
        <v>1314</v>
      </c>
      <c r="BF91" s="1" t="s">
        <v>1315</v>
      </c>
    </row>
    <row r="92" ht="24" customHeight="1" spans="1:58">
      <c r="A92" s="1" t="str">
        <f>_xlfn.DISPIMG("ID_1EB93349486A4B5295454954EFB2DF34",1)</f>
        <v>=DISPIMG("ID_1EB93349486A4B5295454954EFB2DF34",1)</v>
      </c>
      <c r="B92" s="15" t="s">
        <v>1316</v>
      </c>
      <c r="C92" s="15" t="s">
        <v>146</v>
      </c>
      <c r="D92" s="15" t="s">
        <v>146</v>
      </c>
      <c r="E92" s="15" t="s">
        <v>22</v>
      </c>
      <c r="F92" s="15" t="s">
        <v>603</v>
      </c>
      <c r="G92" s="15" t="s">
        <v>1317</v>
      </c>
      <c r="H92" s="15" t="s">
        <v>1318</v>
      </c>
      <c r="I92" s="15" t="s">
        <v>1319</v>
      </c>
      <c r="J92" s="15" t="s">
        <v>1316</v>
      </c>
      <c r="K92" s="15" t="s">
        <v>135</v>
      </c>
      <c r="L92" s="15" t="s">
        <v>136</v>
      </c>
      <c r="M92" s="18">
        <v>56730</v>
      </c>
      <c r="N92" s="18">
        <v>22799</v>
      </c>
      <c r="O92" s="19">
        <v>0.2867</v>
      </c>
      <c r="P92" s="20" t="s">
        <v>324</v>
      </c>
      <c r="Q92" s="22" t="s">
        <v>1320</v>
      </c>
      <c r="R92" s="18">
        <v>445</v>
      </c>
      <c r="S92" s="19">
        <v>-0.2937</v>
      </c>
      <c r="T92" s="18">
        <v>8895.55</v>
      </c>
      <c r="U92" s="23" t="s">
        <v>146</v>
      </c>
      <c r="V92" s="18" t="s">
        <v>146</v>
      </c>
      <c r="W92" s="24">
        <v>30</v>
      </c>
      <c r="X92" s="25">
        <v>22.99</v>
      </c>
      <c r="AB92" s="24">
        <v>41</v>
      </c>
      <c r="AC92" s="18">
        <v>14</v>
      </c>
      <c r="AD92" s="28">
        <v>4.5</v>
      </c>
      <c r="AE92" s="29">
        <v>0.0315</v>
      </c>
      <c r="AF92" s="25">
        <v>5.46</v>
      </c>
      <c r="AG92" s="19">
        <v>0.5269</v>
      </c>
      <c r="AI92" s="1" t="s">
        <v>1321</v>
      </c>
      <c r="AJ92" s="24">
        <v>104</v>
      </c>
      <c r="AK92" s="1" t="s">
        <v>141</v>
      </c>
      <c r="AL92" s="24">
        <v>8</v>
      </c>
      <c r="AM92" s="24">
        <v>1</v>
      </c>
      <c r="AN92" s="15" t="s">
        <v>610</v>
      </c>
      <c r="AO92" s="1" t="s">
        <v>141</v>
      </c>
      <c r="AP92" s="1" t="s">
        <v>142</v>
      </c>
      <c r="AQ92" s="15" t="s">
        <v>611</v>
      </c>
      <c r="AR92" s="1" t="s">
        <v>612</v>
      </c>
      <c r="AS92" s="1" t="s">
        <v>146</v>
      </c>
      <c r="AT92" s="1" t="s">
        <v>146</v>
      </c>
      <c r="AU92" s="1" t="s">
        <v>145</v>
      </c>
      <c r="AV92" s="1" t="s">
        <v>146</v>
      </c>
      <c r="AW92" s="1" t="s">
        <v>146</v>
      </c>
      <c r="AX92" s="1" t="s">
        <v>146</v>
      </c>
      <c r="AY92" s="1" t="s">
        <v>146</v>
      </c>
      <c r="AZ92" s="1" t="s">
        <v>146</v>
      </c>
      <c r="BA92" s="15" t="s">
        <v>146</v>
      </c>
      <c r="BD92" s="23" t="s">
        <v>146</v>
      </c>
      <c r="BF92" s="1" t="s">
        <v>146</v>
      </c>
    </row>
    <row r="93" ht="24" customHeight="1" spans="1:58">
      <c r="A93" s="1" t="str">
        <f>_xlfn.DISPIMG("ID_7A7F8752B6114BFDAE0B89C7D0F72105",1)</f>
        <v>=DISPIMG("ID_7A7F8752B6114BFDAE0B89C7D0F72105",1)</v>
      </c>
      <c r="B93" s="15" t="s">
        <v>1322</v>
      </c>
      <c r="C93" s="15" t="s">
        <v>146</v>
      </c>
      <c r="D93" s="15" t="s">
        <v>146</v>
      </c>
      <c r="E93" s="15" t="s">
        <v>48</v>
      </c>
      <c r="F93" s="15" t="s">
        <v>1323</v>
      </c>
      <c r="G93" s="15" t="s">
        <v>1324</v>
      </c>
      <c r="H93" s="15" t="s">
        <v>1325</v>
      </c>
      <c r="I93" s="15" t="s">
        <v>1326</v>
      </c>
      <c r="J93" s="15" t="s">
        <v>1322</v>
      </c>
      <c r="K93" s="15" t="s">
        <v>135</v>
      </c>
      <c r="L93" s="15" t="s">
        <v>136</v>
      </c>
      <c r="M93" s="18">
        <v>59479</v>
      </c>
      <c r="N93" s="18">
        <v>20726</v>
      </c>
      <c r="O93" s="19">
        <v>0.2584</v>
      </c>
      <c r="P93" s="20" t="s">
        <v>200</v>
      </c>
      <c r="Q93" s="22" t="s">
        <v>1327</v>
      </c>
      <c r="R93" s="18">
        <v>440</v>
      </c>
      <c r="S93" s="19">
        <v>2.76</v>
      </c>
      <c r="T93" s="18">
        <v>16715.602</v>
      </c>
      <c r="U93" s="23" t="s">
        <v>384</v>
      </c>
      <c r="V93" s="18">
        <v>1899.5</v>
      </c>
      <c r="W93" s="24">
        <v>40</v>
      </c>
      <c r="X93" s="25">
        <v>37.99</v>
      </c>
      <c r="AB93" s="24">
        <v>118</v>
      </c>
      <c r="AC93" s="18">
        <v>3</v>
      </c>
      <c r="AD93" s="28">
        <v>4.4</v>
      </c>
      <c r="AE93" s="29">
        <v>0.0068</v>
      </c>
      <c r="AF93" s="25">
        <v>6.19</v>
      </c>
      <c r="AG93" s="19">
        <v>0.6371</v>
      </c>
      <c r="AI93" s="1" t="s">
        <v>1328</v>
      </c>
      <c r="AJ93" s="24">
        <v>441</v>
      </c>
      <c r="AK93" s="1" t="s">
        <v>141</v>
      </c>
      <c r="AL93" s="24">
        <v>9.8</v>
      </c>
      <c r="AM93" s="24">
        <v>1</v>
      </c>
      <c r="AN93" s="15" t="s">
        <v>1329</v>
      </c>
      <c r="AO93" s="1" t="s">
        <v>141</v>
      </c>
      <c r="AP93" s="1" t="s">
        <v>142</v>
      </c>
      <c r="AQ93" s="15" t="s">
        <v>1330</v>
      </c>
      <c r="AR93" s="1" t="s">
        <v>1331</v>
      </c>
      <c r="AS93" s="1" t="s">
        <v>146</v>
      </c>
      <c r="AT93" s="1" t="s">
        <v>146</v>
      </c>
      <c r="AU93" s="1" t="s">
        <v>146</v>
      </c>
      <c r="AV93" s="1" t="s">
        <v>146</v>
      </c>
      <c r="AW93" s="1" t="s">
        <v>146</v>
      </c>
      <c r="AX93" s="1" t="s">
        <v>146</v>
      </c>
      <c r="AY93" s="1" t="s">
        <v>146</v>
      </c>
      <c r="AZ93" s="1" t="s">
        <v>146</v>
      </c>
      <c r="BA93" s="15" t="s">
        <v>146</v>
      </c>
      <c r="BC93" s="23" t="s">
        <v>1332</v>
      </c>
      <c r="BD93" s="23" t="s">
        <v>1333</v>
      </c>
      <c r="BE93" s="23" t="s">
        <v>1334</v>
      </c>
      <c r="BF93" s="1" t="s">
        <v>1335</v>
      </c>
    </row>
    <row r="94" ht="24" customHeight="1" spans="1:58">
      <c r="A94" s="1" t="str">
        <f>_xlfn.DISPIMG("ID_C43BA87F7B234C4CAFE9ADB1FF970B16",1)</f>
        <v>=DISPIMG("ID_C43BA87F7B234C4CAFE9ADB1FF970B16",1)</v>
      </c>
      <c r="B94" s="15" t="s">
        <v>1336</v>
      </c>
      <c r="C94" s="15" t="s">
        <v>146</v>
      </c>
      <c r="D94" s="15" t="s">
        <v>146</v>
      </c>
      <c r="E94" s="15" t="s">
        <v>2</v>
      </c>
      <c r="F94" s="15" t="s">
        <v>671</v>
      </c>
      <c r="G94" s="15" t="s">
        <v>1337</v>
      </c>
      <c r="H94" s="15" t="s">
        <v>1338</v>
      </c>
      <c r="I94" s="15" t="s">
        <v>1339</v>
      </c>
      <c r="J94" s="15" t="s">
        <v>1336</v>
      </c>
      <c r="K94" s="15" t="s">
        <v>135</v>
      </c>
      <c r="L94" s="15" t="s">
        <v>136</v>
      </c>
      <c r="M94" s="18">
        <v>86876</v>
      </c>
      <c r="N94" s="18">
        <v>-6186</v>
      </c>
      <c r="O94" s="19">
        <v>-0.0665</v>
      </c>
      <c r="P94" s="20" t="s">
        <v>179</v>
      </c>
      <c r="Q94" s="22" t="s">
        <v>1340</v>
      </c>
      <c r="R94" s="18">
        <v>439</v>
      </c>
      <c r="S94" s="19">
        <v>-0.3394</v>
      </c>
      <c r="T94" s="18">
        <v>15365</v>
      </c>
      <c r="U94" s="23" t="s">
        <v>384</v>
      </c>
      <c r="V94" s="18">
        <v>1750</v>
      </c>
      <c r="W94" s="24">
        <v>47</v>
      </c>
      <c r="X94" s="25">
        <v>35</v>
      </c>
      <c r="AA94" s="18">
        <v>11</v>
      </c>
      <c r="AB94" s="24">
        <v>1748</v>
      </c>
      <c r="AC94" s="18">
        <v>10</v>
      </c>
      <c r="AD94" s="28">
        <v>4.4</v>
      </c>
      <c r="AE94" s="29">
        <v>0.0228</v>
      </c>
      <c r="AF94" s="25">
        <v>5.39</v>
      </c>
      <c r="AG94" s="19">
        <v>0.646</v>
      </c>
      <c r="AI94" s="1" t="s">
        <v>1341</v>
      </c>
      <c r="AJ94" s="24">
        <v>662</v>
      </c>
      <c r="AK94" s="1" t="s">
        <v>141</v>
      </c>
      <c r="AL94" s="24">
        <v>10</v>
      </c>
      <c r="AM94" s="24">
        <v>1</v>
      </c>
      <c r="AN94" s="15" t="s">
        <v>2</v>
      </c>
      <c r="AO94" s="1" t="s">
        <v>141</v>
      </c>
      <c r="AP94" s="1" t="s">
        <v>142</v>
      </c>
      <c r="AQ94" s="15" t="s">
        <v>678</v>
      </c>
      <c r="AR94" s="1" t="s">
        <v>679</v>
      </c>
      <c r="AS94" s="1" t="s">
        <v>146</v>
      </c>
      <c r="AT94" s="1" t="s">
        <v>145</v>
      </c>
      <c r="AU94" s="1" t="s">
        <v>146</v>
      </c>
      <c r="AV94" s="1" t="s">
        <v>146</v>
      </c>
      <c r="AW94" s="1" t="s">
        <v>146</v>
      </c>
      <c r="AX94" s="1" t="s">
        <v>146</v>
      </c>
      <c r="AY94" s="1" t="s">
        <v>146</v>
      </c>
      <c r="AZ94" s="1" t="s">
        <v>146</v>
      </c>
      <c r="BA94" s="15" t="s">
        <v>146</v>
      </c>
      <c r="BB94" s="23" t="s">
        <v>1342</v>
      </c>
      <c r="BC94" s="23" t="s">
        <v>388</v>
      </c>
      <c r="BD94" s="23" t="s">
        <v>389</v>
      </c>
      <c r="BE94" s="23" t="s">
        <v>1343</v>
      </c>
      <c r="BF94" s="1" t="s">
        <v>1344</v>
      </c>
    </row>
    <row r="95" ht="24" customHeight="1" spans="1:58">
      <c r="A95" s="1" t="str">
        <f>_xlfn.DISPIMG("ID_512355FFA4934EF2AAC13A341EF8DBF4",1)</f>
        <v>=DISPIMG("ID_512355FFA4934EF2AAC13A341EF8DBF4",1)</v>
      </c>
      <c r="B95" s="15" t="s">
        <v>1345</v>
      </c>
      <c r="C95" s="15" t="s">
        <v>146</v>
      </c>
      <c r="D95" s="15" t="s">
        <v>146</v>
      </c>
      <c r="E95" s="15" t="s">
        <v>20</v>
      </c>
      <c r="F95" s="15" t="s">
        <v>304</v>
      </c>
      <c r="G95" s="15" t="s">
        <v>1346</v>
      </c>
      <c r="H95" s="15" t="s">
        <v>1347</v>
      </c>
      <c r="I95" s="15" t="s">
        <v>1348</v>
      </c>
      <c r="J95" s="15" t="s">
        <v>1345</v>
      </c>
      <c r="K95" s="15" t="s">
        <v>135</v>
      </c>
      <c r="L95" s="15" t="s">
        <v>136</v>
      </c>
      <c r="M95" s="18">
        <v>76128</v>
      </c>
      <c r="N95" s="18">
        <v>-40941</v>
      </c>
      <c r="O95" s="19">
        <v>-1.1635</v>
      </c>
      <c r="P95" s="20" t="s">
        <v>324</v>
      </c>
      <c r="Q95" s="22" t="s">
        <v>1349</v>
      </c>
      <c r="R95" s="18">
        <v>408</v>
      </c>
      <c r="S95" s="19">
        <v>-0.5056</v>
      </c>
      <c r="T95" s="18">
        <v>10587.601</v>
      </c>
      <c r="U95" s="23" t="s">
        <v>384</v>
      </c>
      <c r="V95" s="18">
        <v>1297.5</v>
      </c>
      <c r="W95" s="24">
        <v>26</v>
      </c>
      <c r="X95" s="25">
        <v>25.95</v>
      </c>
      <c r="AB95" s="24">
        <v>77</v>
      </c>
      <c r="AC95" s="18">
        <v>3</v>
      </c>
      <c r="AD95" s="28">
        <v>4.5</v>
      </c>
      <c r="AE95" s="29">
        <v>0.0074</v>
      </c>
      <c r="AF95" s="25">
        <v>6.19</v>
      </c>
      <c r="AG95" s="19">
        <v>0.5615</v>
      </c>
      <c r="AI95" s="1" t="s">
        <v>1350</v>
      </c>
      <c r="AJ95" s="24">
        <v>258</v>
      </c>
      <c r="AK95" s="1" t="s">
        <v>141</v>
      </c>
      <c r="AL95" s="24">
        <v>10</v>
      </c>
      <c r="AM95" s="24">
        <v>1</v>
      </c>
      <c r="AN95" s="15" t="s">
        <v>20</v>
      </c>
      <c r="AO95" s="1" t="s">
        <v>141</v>
      </c>
      <c r="AP95" s="1" t="s">
        <v>142</v>
      </c>
      <c r="AQ95" s="15" t="s">
        <v>311</v>
      </c>
      <c r="AR95" s="1" t="s">
        <v>312</v>
      </c>
      <c r="AS95" s="1" t="s">
        <v>146</v>
      </c>
      <c r="AT95" s="1" t="s">
        <v>146</v>
      </c>
      <c r="AU95" s="1" t="s">
        <v>146</v>
      </c>
      <c r="AV95" s="1" t="s">
        <v>145</v>
      </c>
      <c r="AW95" s="1" t="s">
        <v>145</v>
      </c>
      <c r="AX95" s="1" t="s">
        <v>146</v>
      </c>
      <c r="AY95" s="1" t="s">
        <v>146</v>
      </c>
      <c r="AZ95" s="1" t="s">
        <v>146</v>
      </c>
      <c r="BA95" s="15" t="s">
        <v>146</v>
      </c>
      <c r="BC95" s="23" t="s">
        <v>405</v>
      </c>
      <c r="BD95" s="23" t="s">
        <v>406</v>
      </c>
      <c r="BE95" s="23" t="s">
        <v>1351</v>
      </c>
      <c r="BF95" s="1" t="s">
        <v>1352</v>
      </c>
    </row>
    <row r="96" ht="24" customHeight="1" spans="1:58">
      <c r="A96" s="1" t="str">
        <f>_xlfn.DISPIMG("ID_BF9109C943AC4469897CC8AEEFE3DFAF",1)</f>
        <v>=DISPIMG("ID_BF9109C943AC4469897CC8AEEFE3DFAF",1)</v>
      </c>
      <c r="B96" s="15" t="s">
        <v>1353</v>
      </c>
      <c r="C96" s="15" t="s">
        <v>146</v>
      </c>
      <c r="D96" s="15" t="s">
        <v>146</v>
      </c>
      <c r="E96" s="15" t="s">
        <v>60</v>
      </c>
      <c r="F96" s="15" t="s">
        <v>1354</v>
      </c>
      <c r="G96" s="15" t="s">
        <v>1355</v>
      </c>
      <c r="H96" s="15" t="s">
        <v>1356</v>
      </c>
      <c r="I96" s="15" t="s">
        <v>1357</v>
      </c>
      <c r="J96" s="15" t="s">
        <v>1353</v>
      </c>
      <c r="K96" s="15" t="s">
        <v>135</v>
      </c>
      <c r="L96" s="15" t="s">
        <v>136</v>
      </c>
      <c r="M96" s="18">
        <v>73919</v>
      </c>
      <c r="N96" s="18">
        <v>21805</v>
      </c>
      <c r="O96" s="19">
        <v>0.2278</v>
      </c>
      <c r="P96" s="20" t="s">
        <v>324</v>
      </c>
      <c r="Q96" s="22" t="s">
        <v>1358</v>
      </c>
      <c r="R96" s="18">
        <v>382</v>
      </c>
      <c r="S96" s="19">
        <v>-0.2955</v>
      </c>
      <c r="T96" s="18">
        <v>11456.18</v>
      </c>
      <c r="U96" s="23" t="s">
        <v>146</v>
      </c>
      <c r="V96" s="18" t="s">
        <v>146</v>
      </c>
      <c r="W96" s="24">
        <v>58</v>
      </c>
      <c r="X96" s="25">
        <v>29.99</v>
      </c>
      <c r="AA96" s="18">
        <v>9</v>
      </c>
      <c r="AB96" s="24">
        <v>435</v>
      </c>
      <c r="AC96" s="18">
        <v>9</v>
      </c>
      <c r="AD96" s="28">
        <v>4.3</v>
      </c>
      <c r="AE96" s="29">
        <v>0.0236</v>
      </c>
      <c r="AF96" s="25">
        <v>6.19</v>
      </c>
      <c r="AG96" s="19">
        <v>0.5936</v>
      </c>
      <c r="AI96" s="1" t="s">
        <v>1359</v>
      </c>
      <c r="AJ96" s="24">
        <v>619</v>
      </c>
      <c r="AK96" s="1" t="s">
        <v>141</v>
      </c>
      <c r="AL96" s="24">
        <v>10</v>
      </c>
      <c r="AM96" s="24">
        <v>1</v>
      </c>
      <c r="AN96" s="15" t="s">
        <v>60</v>
      </c>
      <c r="AO96" s="1" t="s">
        <v>141</v>
      </c>
      <c r="AP96" s="1" t="s">
        <v>142</v>
      </c>
      <c r="AQ96" s="15" t="s">
        <v>1360</v>
      </c>
      <c r="AR96" s="1" t="s">
        <v>1361</v>
      </c>
      <c r="AS96" s="1" t="s">
        <v>146</v>
      </c>
      <c r="AT96" s="1" t="s">
        <v>146</v>
      </c>
      <c r="AU96" s="1" t="s">
        <v>146</v>
      </c>
      <c r="AV96" s="1" t="s">
        <v>145</v>
      </c>
      <c r="AW96" s="1" t="s">
        <v>145</v>
      </c>
      <c r="AX96" s="1" t="s">
        <v>146</v>
      </c>
      <c r="AY96" s="1" t="s">
        <v>146</v>
      </c>
      <c r="AZ96" s="1" t="s">
        <v>146</v>
      </c>
      <c r="BA96" s="15" t="s">
        <v>146</v>
      </c>
      <c r="BC96" s="23" t="s">
        <v>1045</v>
      </c>
      <c r="BD96" s="23" t="s">
        <v>1046</v>
      </c>
      <c r="BE96" s="23" t="s">
        <v>1362</v>
      </c>
      <c r="BF96" s="1" t="s">
        <v>1363</v>
      </c>
    </row>
    <row r="97" ht="24" customHeight="1" spans="1:58">
      <c r="A97" s="1" t="str">
        <f>_xlfn.DISPIMG("ID_6913D339371B4D68B132A76978C7711E",1)</f>
        <v>=DISPIMG("ID_6913D339371B4D68B132A76978C7711E",1)</v>
      </c>
      <c r="B97" s="15" t="s">
        <v>1364</v>
      </c>
      <c r="C97" s="15" t="s">
        <v>146</v>
      </c>
      <c r="D97" s="15" t="s">
        <v>146</v>
      </c>
      <c r="E97" s="15" t="s">
        <v>23</v>
      </c>
      <c r="F97" s="15" t="s">
        <v>1098</v>
      </c>
      <c r="G97" s="15" t="s">
        <v>1365</v>
      </c>
      <c r="H97" s="15" t="s">
        <v>1366</v>
      </c>
      <c r="I97" s="15" t="s">
        <v>1367</v>
      </c>
      <c r="J97" s="15" t="s">
        <v>1364</v>
      </c>
      <c r="K97" s="15" t="s">
        <v>135</v>
      </c>
      <c r="L97" s="15" t="s">
        <v>136</v>
      </c>
      <c r="M97" s="18">
        <v>86742</v>
      </c>
      <c r="N97" s="18">
        <v>22596</v>
      </c>
      <c r="O97" s="19">
        <v>0.2067</v>
      </c>
      <c r="P97" s="20" t="s">
        <v>200</v>
      </c>
      <c r="Q97" s="22" t="s">
        <v>161</v>
      </c>
      <c r="R97" s="18">
        <v>375</v>
      </c>
      <c r="S97" s="19">
        <v>0.1285</v>
      </c>
      <c r="T97" s="18">
        <v>12371.251</v>
      </c>
      <c r="U97" s="23" t="s">
        <v>146</v>
      </c>
      <c r="V97" s="18" t="s">
        <v>146</v>
      </c>
      <c r="W97" s="24">
        <v>34</v>
      </c>
      <c r="X97" s="25">
        <v>32.99</v>
      </c>
      <c r="AA97" s="18">
        <v>3</v>
      </c>
      <c r="AB97" s="24">
        <v>593</v>
      </c>
      <c r="AC97" s="18">
        <v>11</v>
      </c>
      <c r="AD97" s="28">
        <v>4.5</v>
      </c>
      <c r="AE97" s="29">
        <v>0.0293</v>
      </c>
      <c r="AF97" s="25">
        <v>5.39</v>
      </c>
      <c r="AG97" s="19">
        <v>0.6366</v>
      </c>
      <c r="AI97" s="1" t="s">
        <v>1368</v>
      </c>
      <c r="AJ97" s="24">
        <v>822</v>
      </c>
      <c r="AK97" s="1" t="s">
        <v>141</v>
      </c>
      <c r="AL97" s="24">
        <v>9.7</v>
      </c>
      <c r="AM97" s="24">
        <v>1</v>
      </c>
      <c r="AN97" s="15" t="s">
        <v>1369</v>
      </c>
      <c r="AO97" s="1" t="s">
        <v>141</v>
      </c>
      <c r="AP97" s="1" t="s">
        <v>142</v>
      </c>
      <c r="AQ97" s="15" t="s">
        <v>1370</v>
      </c>
      <c r="AR97" s="1" t="s">
        <v>1371</v>
      </c>
      <c r="AS97" s="1" t="s">
        <v>146</v>
      </c>
      <c r="AT97" s="1" t="s">
        <v>146</v>
      </c>
      <c r="AU97" s="1" t="s">
        <v>146</v>
      </c>
      <c r="AV97" s="1" t="s">
        <v>145</v>
      </c>
      <c r="AW97" s="1" t="s">
        <v>145</v>
      </c>
      <c r="AX97" s="1" t="s">
        <v>146</v>
      </c>
      <c r="AY97" s="1" t="s">
        <v>146</v>
      </c>
      <c r="AZ97" s="1" t="s">
        <v>146</v>
      </c>
      <c r="BA97" s="15" t="s">
        <v>146</v>
      </c>
      <c r="BC97" s="23" t="s">
        <v>1372</v>
      </c>
      <c r="BD97" s="23" t="s">
        <v>1373</v>
      </c>
      <c r="BE97" s="23" t="s">
        <v>1374</v>
      </c>
      <c r="BF97" s="1" t="s">
        <v>1375</v>
      </c>
    </row>
    <row r="98" ht="24" customHeight="1" spans="1:58">
      <c r="A98" s="1" t="str">
        <f>_xlfn.DISPIMG("ID_A8588980B0B341E9BD562AEE64BD1AB6",1)</f>
        <v>=DISPIMG("ID_A8588980B0B341E9BD562AEE64BD1AB6",1)</v>
      </c>
      <c r="B98" s="15" t="s">
        <v>1376</v>
      </c>
      <c r="C98" s="15" t="s">
        <v>146</v>
      </c>
      <c r="D98" s="15" t="s">
        <v>146</v>
      </c>
      <c r="E98" s="15" t="s">
        <v>44</v>
      </c>
      <c r="F98" s="15" t="s">
        <v>1377</v>
      </c>
      <c r="G98" s="15" t="s">
        <v>1378</v>
      </c>
      <c r="H98" s="15" t="s">
        <v>1379</v>
      </c>
      <c r="I98" s="15" t="s">
        <v>1380</v>
      </c>
      <c r="J98" s="15" t="s">
        <v>1376</v>
      </c>
      <c r="K98" s="15" t="s">
        <v>135</v>
      </c>
      <c r="L98" s="15" t="s">
        <v>136</v>
      </c>
      <c r="M98" s="18">
        <v>76816</v>
      </c>
      <c r="N98" s="18">
        <v>11145</v>
      </c>
      <c r="O98" s="19">
        <v>0.1267</v>
      </c>
      <c r="P98" s="20" t="s">
        <v>324</v>
      </c>
      <c r="Q98" s="22" t="s">
        <v>1381</v>
      </c>
      <c r="R98" s="18">
        <v>352</v>
      </c>
      <c r="S98" s="19">
        <v>0.7451</v>
      </c>
      <c r="T98" s="18">
        <v>7036.48</v>
      </c>
      <c r="U98" s="23" t="s">
        <v>146</v>
      </c>
      <c r="V98" s="18" t="s">
        <v>146</v>
      </c>
      <c r="W98" s="24">
        <v>59</v>
      </c>
      <c r="X98" s="25">
        <v>19.99</v>
      </c>
      <c r="AB98" s="24">
        <v>38</v>
      </c>
      <c r="AC98" s="18">
        <v>2</v>
      </c>
      <c r="AD98" s="28">
        <v>4.5</v>
      </c>
      <c r="AE98" s="29">
        <v>0.0057</v>
      </c>
      <c r="AF98" s="25">
        <v>3.67</v>
      </c>
      <c r="AG98" s="19">
        <v>0.6164</v>
      </c>
      <c r="AI98" s="1" t="s">
        <v>1382</v>
      </c>
      <c r="AJ98" s="24">
        <v>289</v>
      </c>
      <c r="AK98" s="1" t="s">
        <v>141</v>
      </c>
      <c r="AL98" s="24">
        <v>10</v>
      </c>
      <c r="AM98" s="24">
        <v>1</v>
      </c>
      <c r="AN98" s="15" t="s">
        <v>1383</v>
      </c>
      <c r="AO98" s="1" t="s">
        <v>141</v>
      </c>
      <c r="AP98" s="1" t="s">
        <v>142</v>
      </c>
      <c r="AQ98" s="15" t="s">
        <v>1384</v>
      </c>
      <c r="AR98" s="1" t="s">
        <v>1385</v>
      </c>
      <c r="AS98" s="1" t="s">
        <v>146</v>
      </c>
      <c r="AT98" s="1" t="s">
        <v>146</v>
      </c>
      <c r="AU98" s="1" t="s">
        <v>146</v>
      </c>
      <c r="AV98" s="1" t="s">
        <v>145</v>
      </c>
      <c r="AW98" s="1" t="s">
        <v>145</v>
      </c>
      <c r="AX98" s="1" t="s">
        <v>146</v>
      </c>
      <c r="AY98" s="1" t="s">
        <v>146</v>
      </c>
      <c r="AZ98" s="1" t="s">
        <v>146</v>
      </c>
      <c r="BA98" s="15" t="s">
        <v>146</v>
      </c>
      <c r="BD98" s="23" t="s">
        <v>146</v>
      </c>
      <c r="BF98" s="1" t="s">
        <v>146</v>
      </c>
    </row>
    <row r="99" ht="24" customHeight="1" spans="1:58">
      <c r="A99" s="1" t="str">
        <f>_xlfn.DISPIMG("ID_8EE24A94F42546BB81DCB1551642D518",1)</f>
        <v>=DISPIMG("ID_8EE24A94F42546BB81DCB1551642D518",1)</v>
      </c>
      <c r="B99" s="15" t="s">
        <v>1386</v>
      </c>
      <c r="C99" s="15" t="s">
        <v>146</v>
      </c>
      <c r="D99" s="15" t="s">
        <v>146</v>
      </c>
      <c r="E99" s="15" t="s">
        <v>65</v>
      </c>
      <c r="F99" s="15" t="s">
        <v>1387</v>
      </c>
      <c r="G99" s="15" t="s">
        <v>1388</v>
      </c>
      <c r="H99" s="15" t="s">
        <v>1389</v>
      </c>
      <c r="I99" s="15" t="s">
        <v>1390</v>
      </c>
      <c r="J99" s="15" t="s">
        <v>1386</v>
      </c>
      <c r="K99" s="15" t="s">
        <v>135</v>
      </c>
      <c r="L99" s="15" t="s">
        <v>136</v>
      </c>
      <c r="M99" s="18">
        <v>80988</v>
      </c>
      <c r="N99" s="18">
        <v>12006</v>
      </c>
      <c r="O99" s="19">
        <v>0.1291</v>
      </c>
      <c r="P99" s="20" t="s">
        <v>200</v>
      </c>
      <c r="Q99" s="22" t="s">
        <v>161</v>
      </c>
      <c r="R99" s="18">
        <v>338</v>
      </c>
      <c r="S99" s="19">
        <v>4.9091</v>
      </c>
      <c r="T99" s="18">
        <v>12840.62</v>
      </c>
      <c r="U99" s="23" t="s">
        <v>146</v>
      </c>
      <c r="V99" s="18" t="s">
        <v>146</v>
      </c>
      <c r="W99" s="24">
        <v>31</v>
      </c>
      <c r="X99" s="25">
        <v>37.99</v>
      </c>
      <c r="AA99" s="18">
        <v>4</v>
      </c>
      <c r="AB99" s="24">
        <v>210</v>
      </c>
      <c r="AC99" s="18">
        <v>4</v>
      </c>
      <c r="AD99" s="28">
        <v>4.5</v>
      </c>
      <c r="AE99" s="29">
        <v>0.0118</v>
      </c>
      <c r="AF99" s="25">
        <v>6.44</v>
      </c>
      <c r="AG99" s="19">
        <v>0.6305</v>
      </c>
      <c r="AI99" s="1" t="s">
        <v>1391</v>
      </c>
      <c r="AJ99" s="24">
        <v>784</v>
      </c>
      <c r="AK99" s="1" t="s">
        <v>141</v>
      </c>
      <c r="AL99" s="24">
        <v>10</v>
      </c>
      <c r="AM99" s="24">
        <v>1</v>
      </c>
      <c r="AN99" s="15" t="s">
        <v>1392</v>
      </c>
      <c r="AO99" s="1" t="s">
        <v>141</v>
      </c>
      <c r="AP99" s="1" t="s">
        <v>164</v>
      </c>
      <c r="AQ99" s="15" t="s">
        <v>1393</v>
      </c>
      <c r="AR99" s="1" t="s">
        <v>1394</v>
      </c>
      <c r="AS99" s="1" t="s">
        <v>146</v>
      </c>
      <c r="AT99" s="1" t="s">
        <v>145</v>
      </c>
      <c r="AU99" s="1" t="s">
        <v>145</v>
      </c>
      <c r="AV99" s="1" t="s">
        <v>145</v>
      </c>
      <c r="AW99" s="1" t="s">
        <v>146</v>
      </c>
      <c r="AX99" s="1" t="s">
        <v>146</v>
      </c>
      <c r="AY99" s="1" t="s">
        <v>146</v>
      </c>
      <c r="AZ99" s="1" t="s">
        <v>146</v>
      </c>
      <c r="BA99" s="15" t="s">
        <v>146</v>
      </c>
      <c r="BB99" s="23" t="s">
        <v>1395</v>
      </c>
      <c r="BC99" s="23" t="s">
        <v>388</v>
      </c>
      <c r="BD99" s="23" t="s">
        <v>389</v>
      </c>
      <c r="BE99" s="23" t="s">
        <v>1396</v>
      </c>
      <c r="BF99" s="1" t="s">
        <v>1397</v>
      </c>
    </row>
    <row r="100" ht="24" customHeight="1" spans="1:58">
      <c r="A100" s="1" t="str">
        <f>_xlfn.DISPIMG("ID_32D01DCEE5ED477F812B19BADDFDDABF",1)</f>
        <v>=DISPIMG("ID_32D01DCEE5ED477F812B19BADDFDDABF",1)</v>
      </c>
      <c r="B100" s="15" t="s">
        <v>1398</v>
      </c>
      <c r="C100" s="15" t="s">
        <v>146</v>
      </c>
      <c r="D100" s="15" t="s">
        <v>146</v>
      </c>
      <c r="E100" s="15" t="s">
        <v>31</v>
      </c>
      <c r="F100" s="15" t="s">
        <v>1399</v>
      </c>
      <c r="G100" s="15" t="s">
        <v>1400</v>
      </c>
      <c r="H100" s="15" t="s">
        <v>1401</v>
      </c>
      <c r="I100" s="15" t="s">
        <v>1402</v>
      </c>
      <c r="J100" s="15" t="s">
        <v>1398</v>
      </c>
      <c r="K100" s="15" t="s">
        <v>135</v>
      </c>
      <c r="L100" s="15" t="s">
        <v>136</v>
      </c>
      <c r="M100" s="18">
        <v>38421</v>
      </c>
      <c r="N100" s="18">
        <v>27060</v>
      </c>
      <c r="O100" s="19">
        <v>0.4132</v>
      </c>
      <c r="P100" s="20" t="s">
        <v>200</v>
      </c>
      <c r="Q100" s="22" t="s">
        <v>1299</v>
      </c>
      <c r="R100" s="18">
        <v>328</v>
      </c>
      <c r="S100" s="19">
        <v>-0.6</v>
      </c>
      <c r="T100" s="18">
        <v>9836.72</v>
      </c>
      <c r="U100" s="23" t="s">
        <v>384</v>
      </c>
      <c r="V100" s="18">
        <v>1499.5</v>
      </c>
      <c r="W100" s="24">
        <v>66</v>
      </c>
      <c r="X100" s="25">
        <v>29.99</v>
      </c>
      <c r="AA100" s="18">
        <v>6</v>
      </c>
      <c r="AB100" s="24">
        <v>170</v>
      </c>
      <c r="AC100" s="18">
        <v>1</v>
      </c>
      <c r="AD100" s="28">
        <v>4.3</v>
      </c>
      <c r="AE100" s="29">
        <v>0.003</v>
      </c>
      <c r="AF100" s="25">
        <v>6.44</v>
      </c>
      <c r="AG100" s="19">
        <v>0.5853</v>
      </c>
      <c r="AI100" s="1" t="s">
        <v>1403</v>
      </c>
      <c r="AJ100" s="24">
        <v>385</v>
      </c>
      <c r="AK100" s="1" t="s">
        <v>141</v>
      </c>
      <c r="AL100" s="24">
        <v>10</v>
      </c>
      <c r="AM100" s="24">
        <v>1</v>
      </c>
      <c r="AN100" s="15" t="s">
        <v>6</v>
      </c>
      <c r="AO100" s="1" t="s">
        <v>141</v>
      </c>
      <c r="AP100" s="1" t="s">
        <v>142</v>
      </c>
      <c r="AQ100" s="15" t="s">
        <v>273</v>
      </c>
      <c r="AR100" s="1" t="s">
        <v>274</v>
      </c>
      <c r="AS100" s="1" t="s">
        <v>146</v>
      </c>
      <c r="AT100" s="1" t="s">
        <v>146</v>
      </c>
      <c r="AU100" s="1" t="s">
        <v>146</v>
      </c>
      <c r="AV100" s="1" t="s">
        <v>145</v>
      </c>
      <c r="AW100" s="1" t="s">
        <v>145</v>
      </c>
      <c r="AX100" s="1" t="s">
        <v>146</v>
      </c>
      <c r="AY100" s="1" t="s">
        <v>146</v>
      </c>
      <c r="AZ100" s="1" t="s">
        <v>146</v>
      </c>
      <c r="BA100" s="15" t="s">
        <v>146</v>
      </c>
      <c r="BC100" s="23" t="s">
        <v>1404</v>
      </c>
      <c r="BD100" s="23" t="s">
        <v>330</v>
      </c>
      <c r="BE100" s="23" t="s">
        <v>275</v>
      </c>
      <c r="BF100" s="1" t="s">
        <v>276</v>
      </c>
    </row>
    <row r="101" ht="24" customHeight="1" spans="1:58">
      <c r="A101" s="1" t="str">
        <f>_xlfn.DISPIMG("ID_429DEDFBB1CE440F99464515FF494F20",1)</f>
        <v>=DISPIMG("ID_429DEDFBB1CE440F99464515FF494F20",1)</v>
      </c>
      <c r="B101" s="15" t="s">
        <v>1405</v>
      </c>
      <c r="C101" s="15" t="s">
        <v>146</v>
      </c>
      <c r="D101" s="15" t="s">
        <v>146</v>
      </c>
      <c r="E101" s="15" t="s">
        <v>2</v>
      </c>
      <c r="F101" s="15" t="s">
        <v>671</v>
      </c>
      <c r="G101" s="15" t="s">
        <v>1406</v>
      </c>
      <c r="H101" s="15" t="s">
        <v>1407</v>
      </c>
      <c r="I101" s="15" t="s">
        <v>1408</v>
      </c>
      <c r="J101" s="15" t="s">
        <v>1405</v>
      </c>
      <c r="K101" s="15" t="s">
        <v>135</v>
      </c>
      <c r="L101" s="15" t="s">
        <v>136</v>
      </c>
      <c r="M101" s="18">
        <v>83461</v>
      </c>
      <c r="N101" s="18">
        <v>-2319</v>
      </c>
      <c r="O101" s="19">
        <v>-0.0286</v>
      </c>
      <c r="P101" s="20" t="s">
        <v>200</v>
      </c>
      <c r="Q101" s="22" t="s">
        <v>1409</v>
      </c>
      <c r="R101" s="18">
        <v>262</v>
      </c>
      <c r="S101" s="19">
        <v>-0.3468</v>
      </c>
      <c r="T101" s="18">
        <v>9170</v>
      </c>
      <c r="U101" s="23" t="s">
        <v>146</v>
      </c>
      <c r="V101" s="18" t="s">
        <v>146</v>
      </c>
      <c r="W101" s="24">
        <v>61</v>
      </c>
      <c r="X101" s="25">
        <v>35</v>
      </c>
      <c r="AB101" s="24">
        <v>16</v>
      </c>
      <c r="AC101" s="18">
        <v>4</v>
      </c>
      <c r="AD101" s="28">
        <v>4.4</v>
      </c>
      <c r="AE101" s="29">
        <v>0.0153</v>
      </c>
      <c r="AF101" s="25">
        <v>6.27</v>
      </c>
      <c r="AG101" s="19">
        <v>0.6209</v>
      </c>
      <c r="AI101" s="1" t="s">
        <v>1410</v>
      </c>
      <c r="AJ101" s="24">
        <v>138</v>
      </c>
      <c r="AK101" s="1" t="s">
        <v>141</v>
      </c>
      <c r="AL101" s="24">
        <v>7.2</v>
      </c>
      <c r="AM101" s="24">
        <v>1</v>
      </c>
      <c r="AN101" s="15" t="s">
        <v>2</v>
      </c>
      <c r="AO101" s="1" t="s">
        <v>141</v>
      </c>
      <c r="AP101" s="1" t="s">
        <v>142</v>
      </c>
      <c r="AQ101" s="15" t="s">
        <v>678</v>
      </c>
      <c r="AR101" s="1" t="s">
        <v>679</v>
      </c>
      <c r="AS101" s="1" t="s">
        <v>146</v>
      </c>
      <c r="AT101" s="1" t="s">
        <v>146</v>
      </c>
      <c r="AU101" s="1" t="s">
        <v>146</v>
      </c>
      <c r="AV101" s="1" t="s">
        <v>146</v>
      </c>
      <c r="AW101" s="1" t="s">
        <v>146</v>
      </c>
      <c r="AX101" s="1" t="s">
        <v>146</v>
      </c>
      <c r="AY101" s="1" t="s">
        <v>146</v>
      </c>
      <c r="AZ101" s="1" t="s">
        <v>146</v>
      </c>
      <c r="BA101" s="15" t="s">
        <v>146</v>
      </c>
      <c r="BC101" s="23" t="s">
        <v>1411</v>
      </c>
      <c r="BD101" s="23" t="s">
        <v>1412</v>
      </c>
      <c r="BF101" s="1" t="s">
        <v>146</v>
      </c>
    </row>
  </sheetData>
  <autoFilter xmlns:etc="http://www.wps.cn/officeDocument/2017/etCustomData" ref="A1:BF101" etc:filterBottomFollowUsedRange="0">
    <filterColumn colId="4">
      <filters>
        <filter val="Ewedoos"/>
        <filter val="Stelle"/>
        <filter val="CHRLEISURE"/>
        <filter val="Tivifox"/>
        <filter val="G Gradual"/>
        <filter val="Werena"/>
        <filter val="Heathyoga"/>
        <filter val="Vigorics"/>
        <filter val="JoyGirl"/>
        <filter val="CRZ YOGA"/>
        <filter val="OZICERD"/>
        <filter val="WOWENY"/>
        <filter val="SCKTOO"/>
        <filter val="Aurgelmir"/>
        <filter val="ODODOS"/>
        <filter val="NORMOV"/>
        <filter val="ZHANCHTONG"/>
        <filter val="THHGPO"/>
        <filter val="TONCHENGSD"/>
        <filter val="BALEAF"/>
        <filter val="MCEDAR"/>
        <filter val="Yknktstc"/>
        <filter val="Afibi"/>
        <filter val="Komorebi"/>
        <filter val="Cresay"/>
        <filter val="SANTINY"/>
        <filter val="DERCA"/>
        <filter val="RBX"/>
        <filter val="GOLDSTITCH"/>
        <filter val="A2Y"/>
        <filter val="COOTRY"/>
        <filter val="TTCM"/>
        <filter val="Blaosn"/>
        <filter val="DLOODA"/>
        <filter val="Rbenxia"/>
        <filter val="EARKOHA"/>
        <filter val="American Trends"/>
        <filter val="Ganado"/>
        <filter val="Yewsea"/>
        <filter val="Yollmart"/>
        <filter val="Made By Johnny"/>
        <filter val="MIER"/>
        <filter val="Xioker"/>
        <filter val="CZRLHYT"/>
        <filter val="Hoerev"/>
        <filter val="Oyamiki"/>
        <filter val="IUGA"/>
        <filter val="LXNMGO"/>
        <filter val="Century Star"/>
        <filter val="Dressever"/>
        <filter val="Avidlove"/>
        <filter val="Raroauf"/>
        <filter val="Ibeauti"/>
        <filter val="Viodia"/>
        <filter val="XNMAYA"/>
        <filter val="HOKOYI"/>
        <filter val="Betaven"/>
        <filter val="Ekouaer"/>
        <filter val="ANRABESS"/>
        <filter val="AUTOMET"/>
        <filter val="SANGTREE"/>
        <filter val="ANIVIVO"/>
        <filter val="Navneet"/>
        <filter val="JACK SMITH"/>
        <filter val="Hiwzffy"/>
        <filter val="FireSwan"/>
        <filter val="Joyingtwo"/>
      </filters>
    </filterColumn>
    <sortState ref="A1:BF101">
      <sortCondition ref="R1" descending="1"/>
    </sortState>
    <extLst/>
  </autoFilter>
  <hyperlinks>
    <hyperlink ref="B8" r:id="rId1" display="B08F76JT89" tooltip="https://www.amazon.com/dp/B08F76JT89"/>
    <hyperlink ref="F8" r:id="rId2" display="https://www.amazon.com/stores/TONCHENGSD/page/D1F889B5-B22C-46BE-AC2E-7AD8FD5B9FC0?ref_=ast_bln" tooltip="https://www.amazon.com/stores/TONCHENGSD/page/D1F889B5-B22C-46BE-AC2E-7AD8FD5B9FC0?ref_=ast_bln"/>
    <hyperlink ref="H8" r:id="rId3" display="https://www.amazon.com/dp/B08F76JT89?psc=1" tooltip="https://www.amazon.com/dp/B08F76JT89?psc=1"/>
    <hyperlink ref="I8" r:id="rId4" display="https://m.media-amazon.com/images/I/4163dP1CSCL._AC_SR600,600_.jpg" tooltip="https://m.media-amazon.com/images/I/4163dP1CSCL._AC_SR600,600_.jpg"/>
    <hyperlink ref="J8" r:id="rId5" display="B089SS8KQQ" tooltip="https://www.amazon.com/dp/B089SS8KQQ"/>
    <hyperlink ref="K8" r:id="rId6" display="Clothing, Shoes &amp; Jewelry:Women:Clothing:Active:Skirts &amp; Skorts:Active Skirts" tooltip="https://www.amazon.com/b?node=1046602"/>
    <hyperlink ref="L8" r:id="rId7" display="Clothing, Shoes &amp; Jewelry"/>
    <hyperlink ref="AR8" r:id="rId8" display="https://www.amazon.com/gp/help/seller/at-a-glance.html/ref=dp_merchant_link?seller=A1ZXMCRCDZE0B3" tooltip="https://www.amazon.com/gp/help/seller/at-a-glance.html/ref=dp_merchant_link?seller=A1ZXMCRCDZE0B3"/>
    <hyperlink ref="B6" r:id="rId9" display="B08KWCB219" tooltip="https://www.amazon.com/dp/B08KWCB219"/>
    <hyperlink ref="F6" r:id="rId10" display="https://www.amazon.com/stores/SCKTOO/page/1974721A-A938-42CB-A356-7FC7A39649EC?ref_=ast_bln" tooltip="https://www.amazon.com/stores/SCKTOO/page/1974721A-A938-42CB-A356-7FC7A39649EC?ref_=ast_bln"/>
    <hyperlink ref="H6" r:id="rId11" display="https://www.amazon.com/dp/B08KWCB219?psc=1" tooltip="https://www.amazon.com/dp/B08KWCB219?psc=1"/>
    <hyperlink ref="I6" r:id="rId12" display="https://images-na.ssl-images-amazon.com/images/I/61q3vTubnaL._AC_US600_.jpg" tooltip="https://images-na.ssl-images-amazon.com/images/I/61q3vTubnaL._AC_US600_.jpg"/>
    <hyperlink ref="J6" r:id="rId13" display="B09MBNYQKS" tooltip="https://www.amazon.com/dp/B09MBNYQKS"/>
    <hyperlink ref="K6" r:id="rId6" display="Clothing, Shoes &amp; Jewelry:Women:Clothing:Active:Skirts &amp; Skorts:Active Skirts" tooltip="https://www.amazon.com/b?node=1046602"/>
    <hyperlink ref="L6" r:id="rId7" display="Clothing, Shoes &amp; Jewelry"/>
    <hyperlink ref="AR6" r:id="rId14" display="https://www.amazon.com/gp/help/seller/at-a-glance.html/ref=dp_merchant_link?seller=AAZE6Z1V3K39G" tooltip="https://www.amazon.com/gp/help/seller/at-a-glance.html/ref=dp_merchant_link?seller=AAZE6Z1V3K39G"/>
    <hyperlink ref="B2" r:id="rId15" display="B0CTT1LCHS" tooltip="https://www.amazon.com/dp/B0CTT1LCHS"/>
    <hyperlink ref="F2" r:id="rId16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2" r:id="rId17" display="https://www.amazon.com/dp/B0CTT1LCHS?psc=1" tooltip="https://www.amazon.com/dp/B0CTT1LCHS?psc=1"/>
    <hyperlink ref="I2" r:id="rId18" display="https://m.media-amazon.com/images/I/41PQXMaTMiL._AC_SR600,600_.jpg" tooltip="https://m.media-amazon.com/images/I/41PQXMaTMiL._AC_SR600,600_.jpg"/>
    <hyperlink ref="J2" r:id="rId19" display="B0D31QPQK8" tooltip="https://www.amazon.com/dp/B0D31QPQK8"/>
    <hyperlink ref="K2" r:id="rId6" display="Clothing, Shoes &amp; Jewelry:Women:Clothing:Active:Skirts &amp; Skorts:Active Skirts" tooltip="https://www.amazon.com/b?node=1046602"/>
    <hyperlink ref="L2" r:id="rId7" display="Clothing, Shoes &amp; Jewelry"/>
    <hyperlink ref="AR2" r:id="rId20" display="https://www.amazon.com/gp/help/seller/at-a-glance.html/ref=dp_merchant_link?seller=A154O6JL5L5T2Z" tooltip="https://www.amazon.com/gp/help/seller/at-a-glance.html/ref=dp_merchant_link?seller=A154O6JL5L5T2Z"/>
    <hyperlink ref="B4" r:id="rId21" display="B07F428M5Y" tooltip="https://www.amazon.com/dp/B07F428M5Y"/>
    <hyperlink ref="F4" r:id="rId22" display="https://www.amazon.com/stores/Ekouaer/page/9A1AB698-AD0F-4C23-AEED-46CAC35A1B77?ref_=ast_bln&amp;store_ref=bl_ast_dp_brandLogo_sto" tooltip="https://www.amazon.com/stores/Ekouaer/page/9A1AB698-AD0F-4C23-AEED-46CAC35A1B77?ref_=ast_bln&amp;store_ref=bl_ast_dp_brandLogo_sto"/>
    <hyperlink ref="H4" r:id="rId23" display="https://www.amazon.com/dp/B07F428M5Y?psc=1" tooltip="https://www.amazon.com/dp/B07F428M5Y?psc=1"/>
    <hyperlink ref="I4" r:id="rId24" display="https://images-na.ssl-images-amazon.com/images/I/61wTjwsKjPL._AC_US600_.jpg" tooltip="https://images-na.ssl-images-amazon.com/images/I/61wTjwsKjPL._AC_US600_.jpg"/>
    <hyperlink ref="J4" r:id="rId25" display="B07F3RFJ76" tooltip="https://www.amazon.com/dp/B07F3RFJ76"/>
    <hyperlink ref="K4" r:id="rId6" display="Clothing, Shoes &amp; Jewelry:Women:Clothing:Active:Skirts &amp; Skorts:Active Skirts" tooltip="https://www.amazon.com/b?node=1046602"/>
    <hyperlink ref="L4" r:id="rId7" display="Clothing, Shoes &amp; Jewelry"/>
    <hyperlink ref="AR4" r:id="rId26" display="https://www.amazon.com/gp/help/seller/at-a-glance.html/ref=dp_merchant_link?seller=A2PG48TKFAAGHH" tooltip="https://www.amazon.com/gp/help/seller/at-a-glance.html/ref=dp_merchant_link?seller=A2PG48TKFAAGHH"/>
    <hyperlink ref="B18" r:id="rId27" display="B0CPSSXKY2" tooltip="https://www.amazon.com/dp/B0CPSSXKY2"/>
    <hyperlink ref="F18" r:id="rId28" display="https://www.amazon.com/stores/SANTINY/page/C8E491B5-0FA2-4D0C-979E-F3B657EE0FA5?ref_=ast_bln&amp;store_ref=bl_ast_dp_brandLogo_sto" tooltip="https://www.amazon.com/stores/SANTINY/page/C8E491B5-0FA2-4D0C-979E-F3B657EE0FA5?ref_=ast_bln&amp;store_ref=bl_ast_dp_brandLogo_sto"/>
    <hyperlink ref="H18" r:id="rId29" display="https://www.amazon.com/dp/B0CPSSXKY2?psc=1" tooltip="https://www.amazon.com/dp/B0CPSSXKY2?psc=1"/>
    <hyperlink ref="I18" r:id="rId30" display="https://m.media-amazon.com/images/I/51JRi174VpL._AC_SR600,600_.jpg" tooltip="https://m.media-amazon.com/images/I/51JRi174VpL._AC_SR600,600_.jpg"/>
    <hyperlink ref="J18" r:id="rId31" display="B0CPSTVPDS" tooltip="https://www.amazon.com/dp/B0CPSTVPDS"/>
    <hyperlink ref="K18" r:id="rId6" display="Clothing, Shoes &amp; Jewelry:Women:Clothing:Active:Skirts &amp; Skorts:Active Skirts" tooltip="https://www.amazon.com/b?node=1046602"/>
    <hyperlink ref="L18" r:id="rId7" display="Clothing, Shoes &amp; Jewelry"/>
    <hyperlink ref="AR18" r:id="rId32" display="https://www.amazon.com/gp/help/seller/at-a-glance.html/ref=dp_merchant_link?seller=A3E1SQM5WUB3RR" tooltip="https://www.amazon.com/gp/help/seller/at-a-glance.html/ref=dp_merchant_link?seller=A3E1SQM5WUB3RR"/>
    <hyperlink ref="B9" r:id="rId33" display="B0C48V33QT" tooltip="https://www.amazon.com/dp/B0C48V33QT"/>
    <hyperlink ref="F9" r:id="rId34" display="https://www.amazon.com/stores/JoyGirl/page/244B0403-A359-40F4-9EBC-58F880F1B1C0?ref_=ast_bln" tooltip="https://www.amazon.com/stores/JoyGirl/page/244B0403-A359-40F4-9EBC-58F880F1B1C0?ref_=ast_bln"/>
    <hyperlink ref="H9" r:id="rId35" display="https://www.amazon.com/dp/B0C48V33QT?psc=1" tooltip="https://www.amazon.com/dp/B0C48V33QT?psc=1"/>
    <hyperlink ref="I9" r:id="rId36" display="https://m.media-amazon.com/images/I/41QLBt200kL._AC_SR600,600_.jpg" tooltip="https://m.media-amazon.com/images/I/41QLBt200kL._AC_SR600,600_.jpg"/>
    <hyperlink ref="J9" r:id="rId37" display="B0C48XKJK2" tooltip="https://www.amazon.com/dp/B0C48XKJK2"/>
    <hyperlink ref="K9" r:id="rId6" display="Clothing, Shoes &amp; Jewelry:Women:Clothing:Active:Skirts &amp; Skorts:Active Skirts" tooltip="https://www.amazon.com/b?node=1046602"/>
    <hyperlink ref="L9" r:id="rId7" display="Clothing, Shoes &amp; Jewelry"/>
    <hyperlink ref="AR9" r:id="rId38" display="https://www.amazon.com/gp/help/seller/at-a-glance.html/ref=dp_merchant_link?seller=AYO07RIYQGDLC" tooltip="https://www.amazon.com/gp/help/seller/at-a-glance.html/ref=dp_merchant_link?seller=AYO07RIYQGDLC"/>
    <hyperlink ref="B13" r:id="rId39" display="B0CRLC1Z89" tooltip="https://www.amazon.com/dp/B0CRLC1Z89"/>
    <hyperlink ref="F13" r:id="rId40" display="https://www.amazon.com/stores/Hiwzffy/page/0E999CED-1253-446A-99A2-E1F89E8109CB?ref_=ast_bln" tooltip="https://www.amazon.com/stores/Hiwzffy/page/0E999CED-1253-446A-99A2-E1F89E8109CB?ref_=ast_bln"/>
    <hyperlink ref="H13" r:id="rId41" display="https://www.amazon.com/dp/B0CRLC1Z89?psc=1" tooltip="https://www.amazon.com/dp/B0CRLC1Z89?psc=1"/>
    <hyperlink ref="I13" r:id="rId42" display="https://m.media-amazon.com/images/I/31j9weR+XDL._AC_SR600,600_.jpg" tooltip="https://m.media-amazon.com/images/I/31j9weR+XDL._AC_SR600,600_.jpg"/>
    <hyperlink ref="J13" r:id="rId43" display="B0CRL6JB9G" tooltip="https://www.amazon.com/dp/B0CRL6JB9G"/>
    <hyperlink ref="K13" r:id="rId6" display="Clothing, Shoes &amp; Jewelry:Women:Clothing:Active:Skirts &amp; Skorts:Active Skirts" tooltip="https://www.amazon.com/b?node=1046602"/>
    <hyperlink ref="L13" r:id="rId7" display="Clothing, Shoes &amp; Jewelry"/>
    <hyperlink ref="AR13" r:id="rId44" display="https://www.amazon.com/gp/help/seller/at-a-glance.html/ref=dp_merchant_link?seller=A1CUN78WUCCP7Z" tooltip="https://www.amazon.com/gp/help/seller/at-a-glance.html/ref=dp_merchant_link?seller=A1CUN78WUCCP7Z"/>
    <hyperlink ref="B24" r:id="rId45" display="B0CTBBGFM5" tooltip="https://www.amazon.com/dp/B0CTBBGFM5"/>
    <hyperlink ref="F24" r:id="rId46" display="https://www.amazon.com/stores/DLOODA/page/C3B44253-824D-4459-81D5-ACB2BAF52CCA?ref_=ast_bln&amp;store_ref=bl_ast_dp_brandLogo_sto" tooltip="https://www.amazon.com/stores/DLOODA/page/C3B44253-824D-4459-81D5-ACB2BAF52CCA?ref_=ast_bln&amp;store_ref=bl_ast_dp_brandLogo_sto"/>
    <hyperlink ref="H24" r:id="rId47" display="https://www.amazon.com/dp/B0CTBBGFM5?psc=1" tooltip="https://www.amazon.com/dp/B0CTBBGFM5?psc=1"/>
    <hyperlink ref="I24" r:id="rId48" display="https://images-na.ssl-images-amazon.com/images/I/51+64ytsRSL._AC_US600_.jpg" tooltip="https://images-na.ssl-images-amazon.com/images/I/51+64ytsRSL._AC_US600_.jpg"/>
    <hyperlink ref="J24" r:id="rId49" display="B0CTCBTWNW" tooltip="https://www.amazon.com/dp/B0CTCBTWNW"/>
    <hyperlink ref="K24" r:id="rId6" display="Clothing, Shoes &amp; Jewelry:Women:Clothing:Active:Skirts &amp; Skorts:Active Skirts" tooltip="https://www.amazon.com/b?node=1046602"/>
    <hyperlink ref="L24" r:id="rId7" display="Clothing, Shoes &amp; Jewelry"/>
    <hyperlink ref="AR24" r:id="rId50" display="https://www.amazon.com/gp/help/seller/at-a-glance.html/ref=dp_merchant_link?seller=A2DC1A8ZMZHZKL" tooltip="https://www.amazon.com/gp/help/seller/at-a-glance.html/ref=dp_merchant_link?seller=A2DC1A8ZMZHZKL"/>
    <hyperlink ref="B7" r:id="rId51" display="B09WMXRBNV" tooltip="https://www.amazon.com/dp/B09WMXRBNV"/>
    <hyperlink ref="F7" r:id="rId52" display="https://www.amazon.com/stores/Weaimtoprovidecustomerbothgoodserviceandbestproductingoodvalue/page/904819AB-6B6A-44FB-8F6E-100C7249A34A?ref_=ast_bln&amp;store_ref=bl_ast_dp_brandLogo_sto" tooltip="https://www.amazon.com/stores/Weaimtoprovidecustomerbothgoodserviceandbestproductingoodvalue/page/904819AB-6B6A-44FB-8F6E-100C7249A34A?ref_=ast_bln&amp;store_ref=bl_ast_dp_brandLogo_sto"/>
    <hyperlink ref="H7" r:id="rId53" display="https://www.amazon.com/dp/B09WMXRBNV?psc=1" tooltip="https://www.amazon.com/dp/B09WMXRBNV?psc=1"/>
    <hyperlink ref="I7" r:id="rId54" display="https://m.media-amazon.com/images/I/31jG7SKpoIL._AC_SR600,600_.jpg" tooltip="https://m.media-amazon.com/images/I/31jG7SKpoIL._AC_SR600,600_.jpg"/>
    <hyperlink ref="J7" r:id="rId55" display="B0DHFM2CWZ" tooltip="https://www.amazon.com/dp/B0DHFM2CWZ"/>
    <hyperlink ref="K7" r:id="rId6" display="Clothing, Shoes &amp; Jewelry:Women:Clothing:Active:Skirts &amp; Skorts:Active Skirts" tooltip="https://www.amazon.com/b?node=1046602"/>
    <hyperlink ref="L7" r:id="rId7" display="Clothing, Shoes &amp; Jewelry"/>
    <hyperlink ref="AR7" r:id="rId56" display="https://www.amazon.com/gp/help/seller/at-a-glance.html/ref=dp_merchant_link?seller=A1I3Z4ZI1HXHLL" tooltip="https://www.amazon.com/gp/help/seller/at-a-glance.html/ref=dp_merchant_link?seller=A1I3Z4ZI1HXHLL"/>
    <hyperlink ref="B22" r:id="rId57" display="B0CSWGZ721" tooltip="https://www.amazon.com/dp/B0CSWGZ721"/>
    <hyperlink ref="F22" r:id="rId58" display="https://www.amazon.com/stores/CHRLEISURE/page/D82C11C2-31CD-4138-864C-027A126EF08E?ref_=ast_bln&amp;store_ref=bl_ast_dp_brandLogo_sto" tooltip="https://www.amazon.com/stores/CHRLEISURE/page/D82C11C2-31CD-4138-864C-027A126EF08E?ref_=ast_bln&amp;store_ref=bl_ast_dp_brandLogo_sto"/>
    <hyperlink ref="H22" r:id="rId59" display="https://www.amazon.com/dp/B0CSWGZ721?psc=1" tooltip="https://www.amazon.com/dp/B0CSWGZ721?psc=1"/>
    <hyperlink ref="I22" r:id="rId60" display="https://m.media-amazon.com/images/I/31p25O3DlZL._AC_SR600,600_.jpg" tooltip="https://m.media-amazon.com/images/I/31p25O3DlZL._AC_SR600,600_.jpg"/>
    <hyperlink ref="J22" r:id="rId61" display="B0CSWLD1CV" tooltip="https://www.amazon.com/dp/B0CSWLD1CV"/>
    <hyperlink ref="K22" r:id="rId6" display="Clothing, Shoes &amp; Jewelry:Women:Clothing:Active:Skirts &amp; Skorts:Active Skirts" tooltip="https://www.amazon.com/b?node=1046602"/>
    <hyperlink ref="L22" r:id="rId7" display="Clothing, Shoes &amp; Jewelry"/>
    <hyperlink ref="AR22" r:id="rId62" display="https://www.amazon.com/gp/help/seller/at-a-glance.html/ref=dp_merchant_link?seller=A26D3SMGY2WM2I" tooltip="https://www.amazon.com/gp/help/seller/at-a-glance.html/ref=dp_merchant_link?seller=A26D3SMGY2WM2I"/>
    <hyperlink ref="B5" r:id="rId63" display="B09VGN36V7" tooltip="https://www.amazon.com/dp/B09VGN36V7"/>
    <hyperlink ref="F5" r:id="rId64" display="https://www.amazon.com/stores/ZHANCHTONG/page/BC0CEDF1-FFFB-4495-BCFE-75079D04CE71?ref_=ast_bln" tooltip="https://www.amazon.com/stores/ZHANCHTONG/page/BC0CEDF1-FFFB-4495-BCFE-75079D04CE71?ref_=ast_bln"/>
    <hyperlink ref="H5" r:id="rId65" display="https://www.amazon.com/dp/B09VGN36V7?psc=1" tooltip="https://www.amazon.com/dp/B09VGN36V7?psc=1"/>
    <hyperlink ref="I5" r:id="rId66" display="https://m.media-amazon.com/images/I/418F5ZF9JJL._AC_SR600,600_.jpg" tooltip="https://m.media-amazon.com/images/I/418F5ZF9JJL._AC_SR600,600_.jpg"/>
    <hyperlink ref="J5" r:id="rId67" display="B08D6GFJNL" tooltip="https://www.amazon.com/dp/B08D6GFJNL"/>
    <hyperlink ref="K5" r:id="rId6" display="Clothing, Shoes &amp; Jewelry:Women:Clothing:Active:Skirts &amp; Skorts:Active Skirts" tooltip="https://www.amazon.com/b?node=1046602"/>
    <hyperlink ref="L5" r:id="rId7" display="Clothing, Shoes &amp; Jewelry"/>
    <hyperlink ref="AR5" r:id="rId68" display="https://www.amazon.com/gp/help/seller/at-a-glance.html/ref=dp_merchant_link?seller=A2YY24OTPMCH3O" tooltip="https://www.amazon.com/gp/help/seller/at-a-glance.html/ref=dp_merchant_link?seller=A2YY24OTPMCH3O"/>
    <hyperlink ref="B16" r:id="rId69" display="B0CBR858BS" tooltip="https://www.amazon.com/dp/B0CBR858BS"/>
    <hyperlink ref="F16" r:id="rId46" display="https://www.amazon.com/stores/DLOODA/page/C3B44253-824D-4459-81D5-ACB2BAF52CCA?ref_=ast_bln&amp;store_ref=bl_ast_dp_brandLogo_sto" tooltip="https://www.amazon.com/stores/DLOODA/page/C3B44253-824D-4459-81D5-ACB2BAF52CCA?ref_=ast_bln&amp;store_ref=bl_ast_dp_brandLogo_sto"/>
    <hyperlink ref="H16" r:id="rId70" display="https://www.amazon.com/dp/B0CBR858BS?psc=1" tooltip="https://www.amazon.com/dp/B0CBR858BS?psc=1"/>
    <hyperlink ref="I16" r:id="rId71" display="https://images-na.ssl-images-amazon.com/images/I/617oSwSdTNL._AC_US600_.jpg" tooltip="https://images-na.ssl-images-amazon.com/images/I/617oSwSdTNL._AC_US600_.jpg"/>
    <hyperlink ref="J16" r:id="rId72" display="B0CBR82YM5" tooltip="https://www.amazon.com/dp/B0CBR82YM5"/>
    <hyperlink ref="K16" r:id="rId6" display="Clothing, Shoes &amp; Jewelry:Women:Clothing:Active:Skirts &amp; Skorts:Active Skirts" tooltip="https://www.amazon.com/b?node=1046602"/>
    <hyperlink ref="L16" r:id="rId7" display="Clothing, Shoes &amp; Jewelry"/>
    <hyperlink ref="AR16" r:id="rId73" display="https://www.amazon.com/gp/help/seller/at-a-glance.html/ref=dp_merchant_link?seller=A1GY02MYETD4XU" tooltip="https://www.amazon.com/gp/help/seller/at-a-glance.html/ref=dp_merchant_link?seller=A1GY02MYETD4XU"/>
    <hyperlink ref="B49" r:id="rId74" display="B0CBJK85SS" tooltip="https://www.amazon.com/dp/B0CBJK85SS"/>
    <hyperlink ref="F49" r:id="rId75" display="https://www.amazon.com/Rbenxia/b/ref=bl_sl_s_ap_web_19831078011?ie=UTF8&amp;node=19831078011&amp;field-lbr_brands_browse-bin=Rbenxia" tooltip="https://www.amazon.com/Rbenxia/b/ref=bl_sl_s_ap_web_19831078011?ie=UTF8&amp;node=19831078011&amp;field-lbr_brands_browse-bin=Rbenxia"/>
    <hyperlink ref="H49" r:id="rId76" display="https://www.amazon.com/dp/B0CBJK85SS?psc=1" tooltip="https://www.amazon.com/dp/B0CBJK85SS?psc=1"/>
    <hyperlink ref="I49" r:id="rId77" display="https://images-na.ssl-images-amazon.com/images/I/515l0Lo3gXL._AC_US600_.jpg" tooltip="https://images-na.ssl-images-amazon.com/images/I/515l0Lo3gXL._AC_US600_.jpg"/>
    <hyperlink ref="J49" r:id="rId78" display="B0C8H4MHSQ" tooltip="https://www.amazon.com/dp/B0C8H4MHSQ"/>
    <hyperlink ref="K49" r:id="rId6" display="Clothing, Shoes &amp; Jewelry:Women:Clothing:Active:Skirts &amp; Skorts:Active Skirts" tooltip="https://www.amazon.com/b?node=1046602"/>
    <hyperlink ref="L49" r:id="rId7" display="Clothing, Shoes &amp; Jewelry"/>
    <hyperlink ref="AR49" r:id="rId79" display="https://www.amazon.com/gp/help/seller/at-a-glance.html/ref=dp_merchant_link?seller=A3IXKK4HU2971B" tooltip="https://www.amazon.com/gp/help/seller/at-a-glance.html/ref=dp_merchant_link?seller=A3IXKK4HU2971B"/>
    <hyperlink ref="B20" r:id="rId80" display="B09VL9JM7B" tooltip="https://www.amazon.com/dp/B09VL9JM7B"/>
    <hyperlink ref="F20" r:id="rId81" display="https://www.amazon.com/stores/Navneet/page/BB8E09CF-FBE8-49DC-A070-676B5E9179E6?ref_=ast_bln&amp;store_ref=bl_ast_dp_brandLogo_sto" tooltip="https://www.amazon.com/stores/Navneet/page/BB8E09CF-FBE8-49DC-A070-676B5E9179E6?ref_=ast_bln&amp;store_ref=bl_ast_dp_brandLogo_sto"/>
    <hyperlink ref="H20" r:id="rId82" display="https://www.amazon.com/dp/B09VL9JM7B?psc=1" tooltip="https://www.amazon.com/dp/B09VL9JM7B?psc=1"/>
    <hyperlink ref="I20" r:id="rId83" display="https://m.media-amazon.com/images/I/41V7fn15teL._AC_SR600,600_.jpg" tooltip="https://m.media-amazon.com/images/I/41V7fn15teL._AC_SR600,600_.jpg"/>
    <hyperlink ref="J20" r:id="rId84" display="B0D461G79C" tooltip="https://www.amazon.com/dp/B0D461G79C"/>
    <hyperlink ref="K20" r:id="rId6" display="Clothing, Shoes &amp; Jewelry:Women:Clothing:Active:Skirts &amp; Skorts:Active Skirts" tooltip="https://www.amazon.com/b?node=1046602"/>
    <hyperlink ref="L20" r:id="rId7" display="Clothing, Shoes &amp; Jewelry"/>
    <hyperlink ref="AR20" r:id="rId85" display="https://www.amazon.com/gp/help/seller/at-a-glance.html/ref=dp_merchant_link?seller=A23H347ORJGANQ" tooltip="https://www.amazon.com/gp/help/seller/at-a-glance.html/ref=dp_merchant_link?seller=A23H347ORJGANQ"/>
    <hyperlink ref="B11" r:id="rId86" display="B0CR9XYTGS" tooltip="https://www.amazon.com/dp/B0CR9XYTGS"/>
    <hyperlink ref="F11" r:id="rId16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11" r:id="rId87" display="https://www.amazon.com/dp/B0CR9XYTGS?psc=1" tooltip="https://www.amazon.com/dp/B0CR9XYTGS?psc=1"/>
    <hyperlink ref="I11" r:id="rId88" display="https://m.media-amazon.com/images/I/41ol4DcCmSL._AC_SR600,600_.jpg" tooltip="https://m.media-amazon.com/images/I/41ol4DcCmSL._AC_SR600,600_.jpg"/>
    <hyperlink ref="J11" r:id="rId89" display="B0D31R2HRF" tooltip="https://www.amazon.com/dp/B0D31R2HRF"/>
    <hyperlink ref="K11" r:id="rId6" display="Clothing, Shoes &amp; Jewelry:Women:Clothing:Active:Skirts &amp; Skorts:Active Skirts" tooltip="https://www.amazon.com/b?node=1046602"/>
    <hyperlink ref="L11" r:id="rId7" display="Clothing, Shoes &amp; Jewelry"/>
    <hyperlink ref="AR11" r:id="rId20" display="https://www.amazon.com/gp/help/seller/at-a-glance.html/ref=dp_merchant_link?seller=A154O6JL5L5T2Z" tooltip="https://www.amazon.com/gp/help/seller/at-a-glance.html/ref=dp_merchant_link?seller=A154O6JL5L5T2Z"/>
    <hyperlink ref="B21" r:id="rId90" display="B099PPF92T" tooltip="https://www.amazon.com/dp/B099PPF92T"/>
    <hyperlink ref="F21" r:id="rId91" display="https://www.amazon.com/stores/MCEDAR/page/225ADAA0-EEC7-42A2-9054-3F6BD95CBE76?ref_=ast_bln&amp;store_ref=bl_ast_dp_brandLogo_sto" tooltip="https://www.amazon.com/stores/MCEDAR/page/225ADAA0-EEC7-42A2-9054-3F6BD95CBE76?ref_=ast_bln&amp;store_ref=bl_ast_dp_brandLogo_sto"/>
    <hyperlink ref="H21" r:id="rId92" display="https://www.amazon.com/dp/B099PPF92T?psc=1" tooltip="https://www.amazon.com/dp/B099PPF92T?psc=1"/>
    <hyperlink ref="I21" r:id="rId93" display="https://images-na.ssl-images-amazon.com/images/I/61S6phic62L._AC_US600_.jpg" tooltip="https://images-na.ssl-images-amazon.com/images/I/61S6phic62L._AC_US600_.jpg"/>
    <hyperlink ref="J21" r:id="rId94" display="B098DGLK8Y" tooltip="https://www.amazon.com/dp/B098DGLK8Y"/>
    <hyperlink ref="K21" r:id="rId6" display="Clothing, Shoes &amp; Jewelry:Women:Clothing:Active:Skirts &amp; Skorts:Active Skirts" tooltip="https://www.amazon.com/b?node=1046602"/>
    <hyperlink ref="L21" r:id="rId7" display="Clothing, Shoes &amp; Jewelry"/>
    <hyperlink ref="AR21" r:id="rId95" display="https://www.amazon.com/gp/help/seller/at-a-glance.html/ref=dp_merchant_link?seller=A1FKJ6TBSHW1EW" tooltip="https://www.amazon.com/gp/help/seller/at-a-glance.html/ref=dp_merchant_link?seller=A1FKJ6TBSHW1EW"/>
    <hyperlink ref="B10" r:id="rId96" display="B0771GMVRT" tooltip="https://www.amazon.com/dp/B0771GMVRT"/>
    <hyperlink ref="F10" r:id="rId97" display="https://www.amazon.com/stores/StelleAthletica/page/92A01961-B5D1-4EA4-A438-84B406B2808B?ref_=ast_bln&amp;store_ref=bl_ast_dp_brandLogo_sto" tooltip="https://www.amazon.com/stores/StelleAthletica/page/92A01961-B5D1-4EA4-A438-84B406B2808B?ref_=ast_bln&amp;store_ref=bl_ast_dp_brandLogo_sto"/>
    <hyperlink ref="H10" r:id="rId98" display="https://www.amazon.com/dp/B0771GMVRT?psc=1" tooltip="https://www.amazon.com/dp/B0771GMVRT?psc=1"/>
    <hyperlink ref="I10" r:id="rId99" display="https://images-na.ssl-images-amazon.com/images/I/61vDzM3w97L._AC_US600_.jpg" tooltip="https://images-na.ssl-images-amazon.com/images/I/61vDzM3w97L._AC_US600_.jpg"/>
    <hyperlink ref="J10" r:id="rId100" display="B0DF67TLZ6" tooltip="https://www.amazon.com/dp/B0DF67TLZ6"/>
    <hyperlink ref="K10" r:id="rId6" display="Clothing, Shoes &amp; Jewelry:Women:Clothing:Active:Skirts &amp; Skorts:Active Skirts" tooltip="https://www.amazon.com/b?node=1046602"/>
    <hyperlink ref="L10" r:id="rId7" display="Clothing, Shoes &amp; Jewelry"/>
    <hyperlink ref="AR10" r:id="rId101" display="https://www.amazon.com/gp/help/seller/at-a-glance.html/ref=dp_merchant_link?seller=A1ACJK2TICWQAI" tooltip="https://www.amazon.com/gp/help/seller/at-a-glance.html/ref=dp_merchant_link?seller=A1ACJK2TICWQAI"/>
    <hyperlink ref="B43" r:id="rId102" display="B0D471V13M" tooltip="https://www.amazon.com/dp/B0D471V13M"/>
    <hyperlink ref="F43" r:id="rId103" display="https://www.amazon.com/stores/Dressever/page/3B6FA449-DE73-4C02-9370-57141DA6FDA0?ref_=ast_bln&amp;store_ref=bl_ast_dp_brandLogo_sto" tooltip="https://www.amazon.com/stores/Dressever/page/3B6FA449-DE73-4C02-9370-57141DA6FDA0?ref_=ast_bln&amp;store_ref=bl_ast_dp_brandLogo_sto"/>
    <hyperlink ref="H43" r:id="rId104" display="https://www.amazon.com/dp/B0D471V13M?psc=1" tooltip="https://www.amazon.com/dp/B0D471V13M?psc=1"/>
    <hyperlink ref="I43" r:id="rId105" display="https://m.media-amazon.com/images/I/31a-Aqn9UJL._AC_SR600,600_.jpg" tooltip="https://m.media-amazon.com/images/I/31a-Aqn9UJL._AC_SR600,600_.jpg"/>
    <hyperlink ref="J43" r:id="rId106" display="B0D47FWVYV" tooltip="https://www.amazon.com/dp/B0D47FWVYV"/>
    <hyperlink ref="K43" r:id="rId6" display="Clothing, Shoes &amp; Jewelry:Women:Clothing:Active:Skirts &amp; Skorts:Active Skirts" tooltip="https://www.amazon.com/b?node=1046602"/>
    <hyperlink ref="L43" r:id="rId7" display="Clothing, Shoes &amp; Jewelry"/>
    <hyperlink ref="AR43" r:id="rId107" display="https://www.amazon.com/gp/help/seller/at-a-glance.html/ref=dp_merchant_link?seller=A1NT454SPUD5OC" tooltip="https://www.amazon.com/gp/help/seller/at-a-glance.html/ref=dp_merchant_link?seller=A1NT454SPUD5OC"/>
    <hyperlink ref="B27" r:id="rId108" display="B0B1H4YWW2" tooltip="https://www.amazon.com/dp/B0B1H4YWW2"/>
    <hyperlink ref="F27" r:id="rId109" display="https://www.amazon.com/stores/ANiceShinyNewTomorrow/page/3FE714BA-38BE-45D6-9058-4861F987D97B?ref_=ast_bln&amp;store_ref=bl_ast_dp_brandLogo_sto" tooltip="https://www.amazon.com/stores/ANiceShinyNewTomorrow/page/3FE714BA-38BE-45D6-9058-4861F987D97B?ref_=ast_bln&amp;store_ref=bl_ast_dp_brandLogo_sto"/>
    <hyperlink ref="H27" r:id="rId110" display="https://www.amazon.com/dp/B0B1H4YWW2?psc=1" tooltip="https://www.amazon.com/dp/B0B1H4YWW2?psc=1"/>
    <hyperlink ref="I27" r:id="rId111" display="https://m.media-amazon.com/images/I/31obBmkVv2L._AC_SR600,600_.jpg" tooltip="https://m.media-amazon.com/images/I/31obBmkVv2L._AC_SR600,600_.jpg"/>
    <hyperlink ref="J27" r:id="rId112" display="B0B1HJQ3TH" tooltip="https://www.amazon.com/dp/B0B1HJQ3TH"/>
    <hyperlink ref="K27" r:id="rId6" display="Clothing, Shoes &amp; Jewelry:Women:Clothing:Active:Skirts &amp; Skorts:Active Skirts" tooltip="https://www.amazon.com/b?node=1046602"/>
    <hyperlink ref="L27" r:id="rId7" display="Clothing, Shoes &amp; Jewelry"/>
    <hyperlink ref="AR27" r:id="rId113" display="https://www.amazon.com/gp/help/seller/at-a-glance.html/ref=dp_merchant_link?seller=AUNL1S7DQKJAW" tooltip="https://www.amazon.com/gp/help/seller/at-a-glance.html/ref=dp_merchant_link?seller=AUNL1S7DQKJAW"/>
    <hyperlink ref="B14" r:id="rId114" display="B07MHH52QB" tooltip="https://www.amazon.com/dp/B07MHH52QB"/>
    <hyperlink ref="F14" r:id="rId115" display="https://www.amazon.com/stores/HOEREV/page/44798B94-2444-45B3-9FE1-E800FC511526?ref_=ast_bln&amp;store_ref=bl_ast_dp_brandLogo_sto" tooltip="https://www.amazon.com/stores/HOEREV/page/44798B94-2444-45B3-9FE1-E800FC511526?ref_=ast_bln&amp;store_ref=bl_ast_dp_brandLogo_sto"/>
    <hyperlink ref="H14" r:id="rId116" display="https://www.amazon.com/dp/B07MHH52QB?psc=1" tooltip="https://www.amazon.com/dp/B07MHH52QB?psc=1"/>
    <hyperlink ref="I14" r:id="rId117" display="https://m.media-amazon.com/images/I/31PRuU6Fv7L._AC_SR600,600_.jpg" tooltip="https://m.media-amazon.com/images/I/31PRuU6Fv7L._AC_SR600,600_.jpg"/>
    <hyperlink ref="J14" r:id="rId118" display="B0731FQXTD" tooltip="https://www.amazon.com/dp/B0731FQXTD"/>
    <hyperlink ref="K14" r:id="rId6" display="Clothing, Shoes &amp; Jewelry:Women:Clothing:Active:Skirts &amp; Skorts:Active Skirts" tooltip="https://www.amazon.com/b?node=1046602"/>
    <hyperlink ref="L14" r:id="rId7" display="Clothing, Shoes &amp; Jewelry"/>
    <hyperlink ref="AR14" r:id="rId119" display="https://www.amazon.com/gp/help/seller/at-a-glance.html/ref=dp_merchant_link?seller=A3QPSK42OYQ7OF" tooltip="https://www.amazon.com/gp/help/seller/at-a-glance.html/ref=dp_merchant_link?seller=A3QPSK42OYQ7OF"/>
    <hyperlink ref="B23" r:id="rId120" display="B0D3HJ9VYD" tooltip="https://www.amazon.com/dp/B0D3HJ9VYD"/>
    <hyperlink ref="F23" r:id="rId121" display="https://www.amazon.com/stores/ODODOS/page/4EE07D3A-483C-4E62-A43F-1E8D9A75F92A?ref_=ast_bln&amp;store_ref=bl_ast_dp_brandLogo_sto" tooltip="https://www.amazon.com/stores/ODODOS/page/4EE07D3A-483C-4E62-A43F-1E8D9A75F92A?ref_=ast_bln&amp;store_ref=bl_ast_dp_brandLogo_sto"/>
    <hyperlink ref="H23" r:id="rId122" display="https://www.amazon.com/dp/B0D3HJ9VYD?psc=1" tooltip="https://www.amazon.com/dp/B0D3HJ9VYD?psc=1"/>
    <hyperlink ref="I23" r:id="rId123" display="https://images-na.ssl-images-amazon.com/images/I/61K-g8n-4rL._AC_US600_.jpg" tooltip="https://images-na.ssl-images-amazon.com/images/I/61K-g8n-4rL._AC_US600_.jpg"/>
    <hyperlink ref="J23" r:id="rId124" display="B0D5XMP1P7" tooltip="https://www.amazon.com/dp/B0D5XMP1P7"/>
    <hyperlink ref="K23" r:id="rId6" display="Clothing, Shoes &amp; Jewelry:Women:Clothing:Active:Skirts &amp; Skorts:Active Skirts" tooltip="https://www.amazon.com/b?node=1046602"/>
    <hyperlink ref="L23" r:id="rId7" display="Clothing, Shoes &amp; Jewelry"/>
    <hyperlink ref="AR23" r:id="rId125" display="https://www.amazon.com/gp/help/seller/at-a-glance.html/ref=dp_merchant_link?seller=A1HPK4MEBNYOYY" tooltip="https://www.amazon.com/gp/help/seller/at-a-glance.html/ref=dp_merchant_link?seller=A1HPK4MEBNYOYY"/>
    <hyperlink ref="B30" r:id="rId126" display="B0D12CLF5N" tooltip="https://www.amazon.com/dp/B0D12CLF5N"/>
    <hyperlink ref="F30" r:id="rId34" display="https://www.amazon.com/stores/JoyGirl/page/244B0403-A359-40F4-9EBC-58F880F1B1C0?ref_=ast_bln" tooltip="https://www.amazon.com/stores/JoyGirl/page/244B0403-A359-40F4-9EBC-58F880F1B1C0?ref_=ast_bln"/>
    <hyperlink ref="H30" r:id="rId127" display="https://www.amazon.com/dp/B0D12CLF5N?psc=1" tooltip="https://www.amazon.com/dp/B0D12CLF5N?psc=1"/>
    <hyperlink ref="I30" r:id="rId128" display="https://images-na.ssl-images-amazon.com/images/I/61PxFmYWsQL._AC_US600_.jpg" tooltip="https://images-na.ssl-images-amazon.com/images/I/61PxFmYWsQL._AC_US600_.jpg"/>
    <hyperlink ref="J30" r:id="rId129" display="B0D12M2J9C" tooltip="https://www.amazon.com/dp/B0D12M2J9C"/>
    <hyperlink ref="K30" r:id="rId6" display="Clothing, Shoes &amp; Jewelry:Women:Clothing:Active:Skirts &amp; Skorts:Active Skirts" tooltip="https://www.amazon.com/b?node=1046602"/>
    <hyperlink ref="L30" r:id="rId7" display="Clothing, Shoes &amp; Jewelry"/>
    <hyperlink ref="AR30" r:id="rId38" display="https://www.amazon.com/gp/help/seller/at-a-glance.html/ref=dp_merchant_link?seller=AYO07RIYQGDLC" tooltip="https://www.amazon.com/gp/help/seller/at-a-glance.html/ref=dp_merchant_link?seller=AYO07RIYQGDLC"/>
    <hyperlink ref="B34" r:id="rId130" display="B0CQ77C9F5" tooltip="https://www.amazon.com/dp/B0CQ77C9F5"/>
    <hyperlink ref="F34" r:id="rId131" display="https://www.amazon.com/stores/LXNMGO/page/490B654F-B61F-4078-9B68-86BD1ED0E6C8?ref_=ast_bln" tooltip="https://www.amazon.com/stores/LXNMGO/page/490B654F-B61F-4078-9B68-86BD1ED0E6C8?ref_=ast_bln"/>
    <hyperlink ref="H34" r:id="rId132" display="https://www.amazon.com/dp/B0CQ77C9F5?psc=1" tooltip="https://www.amazon.com/dp/B0CQ77C9F5?psc=1"/>
    <hyperlink ref="I34" r:id="rId133" display="https://images-na.ssl-images-amazon.com/images/I/61IJzzP28wL._AC_US600_.jpg" tooltip="https://images-na.ssl-images-amazon.com/images/I/61IJzzP28wL._AC_US600_.jpg"/>
    <hyperlink ref="J34" r:id="rId134" display="B0CQ5FMY2H" tooltip="https://www.amazon.com/dp/B0CQ5FMY2H"/>
    <hyperlink ref="K34" r:id="rId6" display="Clothing, Shoes &amp; Jewelry:Women:Clothing:Active:Skirts &amp; Skorts:Active Skirts" tooltip="https://www.amazon.com/b?node=1046602"/>
    <hyperlink ref="L34" r:id="rId7" display="Clothing, Shoes &amp; Jewelry"/>
    <hyperlink ref="AR34" r:id="rId135" display="https://www.amazon.com/gp/help/seller/at-a-glance.html/ref=dp_merchant_link?seller=A1PIYJCG80M7TJ" tooltip="https://www.amazon.com/gp/help/seller/at-a-glance.html/ref=dp_merchant_link?seller=A1PIYJCG80M7TJ"/>
    <hyperlink ref="B15" r:id="rId136" display="B0CRK7HBBN" tooltip="https://www.amazon.com/dp/B0CRK7HBBN"/>
    <hyperlink ref="F15" r:id="rId16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15" r:id="rId137" display="https://www.amazon.com/dp/B0CRK7HBBN?psc=1" tooltip="https://www.amazon.com/dp/B0CRK7HBBN?psc=1"/>
    <hyperlink ref="I15" r:id="rId138" display="https://m.media-amazon.com/images/I/417ZLmmM7DL._AC_SR600,600_.jpg" tooltip="https://m.media-amazon.com/images/I/417ZLmmM7DL._AC_SR600,600_.jpg"/>
    <hyperlink ref="J15" r:id="rId139" display="B0D31QY2B8" tooltip="https://www.amazon.com/dp/B0D31QY2B8"/>
    <hyperlink ref="K15" r:id="rId6" display="Clothing, Shoes &amp; Jewelry:Women:Clothing:Active:Skirts &amp; Skorts:Active Skirts" tooltip="https://www.amazon.com/b?node=1046602"/>
    <hyperlink ref="L15" r:id="rId7" display="Clothing, Shoes &amp; Jewelry"/>
    <hyperlink ref="AR15" r:id="rId20" display="https://www.amazon.com/gp/help/seller/at-a-glance.html/ref=dp_merchant_link?seller=A154O6JL5L5T2Z" tooltip="https://www.amazon.com/gp/help/seller/at-a-glance.html/ref=dp_merchant_link?seller=A154O6JL5L5T2Z"/>
    <hyperlink ref="B46" r:id="rId140" display="B0BRN4HXMT" tooltip="https://www.amazon.com/dp/B0BRN4HXMT"/>
    <hyperlink ref="F46" r:id="rId141" display="https://www.amazon.com/stores/Ewedoos/page/EC71E27C-F065-4B1A-BC11-6864EA5D8E2D?ref_=ast_bln&amp;store_ref=bl_ast_dp_brandLogo_sto" tooltip="https://www.amazon.com/stores/Ewedoos/page/EC71E27C-F065-4B1A-BC11-6864EA5D8E2D?ref_=ast_bln&amp;store_ref=bl_ast_dp_brandLogo_sto"/>
    <hyperlink ref="H46" r:id="rId142" display="https://www.amazon.com/dp/B0BRN4HXMT?psc=1" tooltip="https://www.amazon.com/dp/B0BRN4HXMT?psc=1"/>
    <hyperlink ref="I46" r:id="rId143" display="https://m.media-amazon.com/images/I/313s-5xO9-L._AC_SR600,600_.jpg" tooltip="https://m.media-amazon.com/images/I/313s-5xO9-L._AC_SR600,600_.jpg"/>
    <hyperlink ref="J46" r:id="rId144" display="B0BRN671LM" tooltip="https://www.amazon.com/dp/B0BRN671LM"/>
    <hyperlink ref="K46" r:id="rId6" display="Clothing, Shoes &amp; Jewelry:Women:Clothing:Active:Skirts &amp; Skorts:Active Skirts" tooltip="https://www.amazon.com/b?node=1046602"/>
    <hyperlink ref="L46" r:id="rId7" display="Clothing, Shoes &amp; Jewelry"/>
    <hyperlink ref="AR46" r:id="rId145" display="https://www.amazon.com/gp/help/seller/at-a-glance.html/ref=dp_merchant_link?seller=A2HNL56YD62DB3" tooltip="https://www.amazon.com/gp/help/seller/at-a-glance.html/ref=dp_merchant_link?seller=A2HNL56YD62DB3"/>
    <hyperlink ref="B31" r:id="rId146" display="B09YLDG9P1" tooltip="https://www.amazon.com/dp/B09YLDG9P1"/>
    <hyperlink ref="F31" r:id="rId147" display="https://www.amazon.com/stores/Afibi/page/123E833C-1C70-48FA-BE10-8762BA16F8F2?ref_=ast_bln" tooltip="https://www.amazon.com/stores/Afibi/page/123E833C-1C70-48FA-BE10-8762BA16F8F2?ref_=ast_bln"/>
    <hyperlink ref="H31" r:id="rId148" display="https://www.amazon.com/dp/B09YLDG9P1?psc=1" tooltip="https://www.amazon.com/dp/B09YLDG9P1?psc=1"/>
    <hyperlink ref="I31" r:id="rId149" display="https://m.media-amazon.com/images/I/41+drPnv+iL._AC_SR600,600_.jpg" tooltip="https://m.media-amazon.com/images/I/41+drPnv+iL._AC_SR600,600_.jpg"/>
    <hyperlink ref="J31" r:id="rId150" display="B09YL57LKP" tooltip="https://www.amazon.com/dp/B09YL57LKP"/>
    <hyperlink ref="K31" r:id="rId6" display="Clothing, Shoes &amp; Jewelry:Women:Clothing:Active:Skirts &amp; Skorts:Active Skirts" tooltip="https://www.amazon.com/b?node=1046602"/>
    <hyperlink ref="L31" r:id="rId7" display="Clothing, Shoes &amp; Jewelry"/>
    <hyperlink ref="AR31" r:id="rId151" display="https://www.amazon.com/gp/help/seller/at-a-glance.html/ref=dp_merchant_link?seller=A3F5ULXL47X57I" tooltip="https://www.amazon.com/gp/help/seller/at-a-glance.html/ref=dp_merchant_link?seller=A3F5ULXL47X57I"/>
    <hyperlink ref="B55" r:id="rId152" display="B0995TGV4V" tooltip="https://www.amazon.com/dp/B0995TGV4V"/>
    <hyperlink ref="F55" r:id="rId153" display="https://www.amazon.com/stores/CenturyStar/page/46C2A9C3-3690-4A12-87BB-FF1FF798D2C1?ref_=ast_bln&amp;store_ref=bl_ast_dp_brandLogo_sto" tooltip="https://www.amazon.com/stores/CenturyStar/page/46C2A9C3-3690-4A12-87BB-FF1FF798D2C1?ref_=ast_bln&amp;store_ref=bl_ast_dp_brandLogo_sto"/>
    <hyperlink ref="H55" r:id="rId154" display="https://www.amazon.com/dp/B0995TGV4V?psc=1" tooltip="https://www.amazon.com/dp/B0995TGV4V?psc=1"/>
    <hyperlink ref="I55" r:id="rId155" display="https://images-na.ssl-images-amazon.com/images/I/61h1OqanqZL._AC_US600_.jpg" tooltip="https://images-na.ssl-images-amazon.com/images/I/61h1OqanqZL._AC_US600_.jpg"/>
    <hyperlink ref="J55" r:id="rId156" display="B09MVGWZMQ" tooltip="https://www.amazon.com/dp/B09MVGWZMQ"/>
    <hyperlink ref="K55" r:id="rId6" display="Clothing, Shoes &amp; Jewelry:Women:Clothing:Active:Skirts &amp; Skorts:Active Skirts" tooltip="https://www.amazon.com/b?node=1046602"/>
    <hyperlink ref="L55" r:id="rId7" display="Clothing, Shoes &amp; Jewelry"/>
    <hyperlink ref="AR55" r:id="rId157" display="https://www.amazon.com/gp/help/seller/at-a-glance.html/ref=dp_merchant_link?seller=A1E7ZG1UOPRDZA" tooltip="https://www.amazon.com/gp/help/seller/at-a-glance.html/ref=dp_merchant_link?seller=A1E7ZG1UOPRDZA"/>
    <hyperlink ref="B32" r:id="rId158" display="B0CXHZ9NVB" tooltip="https://www.amazon.com/dp/B0CXHZ9NVB"/>
    <hyperlink ref="F32" r:id="rId15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32" r:id="rId160" display="https://www.amazon.com/dp/B0CXHZ9NVB?psc=1" tooltip="https://www.amazon.com/dp/B0CXHZ9NVB?psc=1"/>
    <hyperlink ref="I32" r:id="rId161" display="https://images-na.ssl-images-amazon.com/images/I/6123nNA+mIL._AC_US600_.jpg" tooltip="https://images-na.ssl-images-amazon.com/images/I/6123nNA+mIL._AC_US600_.jpg"/>
    <hyperlink ref="J32" r:id="rId162" display="B0CXHW8XCB" tooltip="https://www.amazon.com/dp/B0CXHW8XCB"/>
    <hyperlink ref="K32" r:id="rId6" display="Clothing, Shoes &amp; Jewelry:Women:Clothing:Active:Skirts &amp; Skorts:Active Skirts" tooltip="https://www.amazon.com/b?node=1046602"/>
    <hyperlink ref="L32" r:id="rId7" display="Clothing, Shoes &amp; Jewelry"/>
    <hyperlink ref="AR32" r:id="rId163" display="https://www.amazon.com/gp/help/seller/at-a-glance.html/ref=dp_merchant_link?seller=AB2NECOE3B4S7" tooltip="https://www.amazon.com/gp/help/seller/at-a-glance.html/ref=dp_merchant_link?seller=AB2NECOE3B4S7"/>
    <hyperlink ref="B35" r:id="rId164" display="B0BBQWY2JY" tooltip="https://www.amazon.com/dp/B0BBQWY2JY"/>
    <hyperlink ref="F35" r:id="rId165" display="https://www.amazon.com/stores/AmericanTrends/page/5FE0A5C4-F49A-4586-8027-DAA2F91CD62E?ref_=ast_bln&amp;store_ref=bl_ast_dp_brandLogo_sto" tooltip="https://www.amazon.com/stores/AmericanTrends/page/5FE0A5C4-F49A-4586-8027-DAA2F91CD62E?ref_=ast_bln&amp;store_ref=bl_ast_dp_brandLogo_sto"/>
    <hyperlink ref="H35" r:id="rId166" display="https://www.amazon.com/dp/B0BBQWY2JY?psc=1" tooltip="https://www.amazon.com/dp/B0BBQWY2JY?psc=1"/>
    <hyperlink ref="I35" r:id="rId167" display="https://m.media-amazon.com/images/I/41VJ3OcPFnL._AC_SR600,600_.jpg" tooltip="https://m.media-amazon.com/images/I/41VJ3OcPFnL._AC_SR600,600_.jpg"/>
    <hyperlink ref="J35" r:id="rId168" display="B0C242V2NH" tooltip="https://www.amazon.com/dp/B0C242V2NH"/>
    <hyperlink ref="K35" r:id="rId6" display="Clothing, Shoes &amp; Jewelry:Women:Clothing:Active:Skirts &amp; Skorts:Active Skirts" tooltip="https://www.amazon.com/b?node=1046602"/>
    <hyperlink ref="L35" r:id="rId7" display="Clothing, Shoes &amp; Jewelry"/>
    <hyperlink ref="AR35" r:id="rId169" display="https://www.amazon.com/gp/help/seller/at-a-glance.html/ref=dp_merchant_link?seller=A3N58XTYSS95" tooltip="https://www.amazon.com/gp/help/seller/at-a-glance.html/ref=dp_merchant_link?seller=A3N58XTYSS95"/>
    <hyperlink ref="B40" r:id="rId170" display="B0CDLPFH3V" tooltip="https://www.amazon.com/dp/B0CDLPFH3V"/>
    <hyperlink ref="F40" r:id="rId171" display="https://www.amazon.com/stores/Tivifox/page/E2A59205-E472-4802-9961-6090A18C0A6F?ref_=ast_bln" tooltip="https://www.amazon.com/stores/Tivifox/page/E2A59205-E472-4802-9961-6090A18C0A6F?ref_=ast_bln"/>
    <hyperlink ref="H40" r:id="rId172" display="https://www.amazon.com/dp/B0CDLPFH3V?psc=1" tooltip="https://www.amazon.com/dp/B0CDLPFH3V?psc=1"/>
    <hyperlink ref="I40" r:id="rId173" display="https://m.media-amazon.com/images/I/31FkWGkfqFL._AC_SR600,600_.jpg" tooltip="https://m.media-amazon.com/images/I/31FkWGkfqFL._AC_SR600,600_.jpg"/>
    <hyperlink ref="J40" r:id="rId174" display="B0DDX4YCHP" tooltip="https://www.amazon.com/dp/B0DDX4YCHP"/>
    <hyperlink ref="K40" r:id="rId6" display="Clothing, Shoes &amp; Jewelry:Women:Clothing:Active:Skirts &amp; Skorts:Active Skirts" tooltip="https://www.amazon.com/b?node=1046602"/>
    <hyperlink ref="L40" r:id="rId7" display="Clothing, Shoes &amp; Jewelry"/>
    <hyperlink ref="AR40" r:id="rId175" display="https://www.amazon.com/gp/help/seller/at-a-glance.html/ref=dp_merchant_link?seller=A20EOU5S7BFWN4" tooltip="https://www.amazon.com/gp/help/seller/at-a-glance.html/ref=dp_merchant_link?seller=A20EOU5S7BFWN4"/>
    <hyperlink ref="B39" r:id="rId176" display="B0CW189C9F" tooltip="https://www.amazon.com/dp/B0CW189C9F"/>
    <hyperlink ref="F39" r:id="rId177" display="https://www.amazon.com/stores/Fireswan/page/88109ED5-4DC3-4AEA-83E4-37E4B3E0603C?ref_=ast_bln&amp;store_ref=bl_ast_dp_brandLogo_sto" tooltip="https://www.amazon.com/stores/Fireswan/page/88109ED5-4DC3-4AEA-83E4-37E4B3E0603C?ref_=ast_bln&amp;store_ref=bl_ast_dp_brandLogo_sto"/>
    <hyperlink ref="H39" r:id="rId178" display="https://www.amazon.com/dp/B0CW189C9F?psc=1" tooltip="https://www.amazon.com/dp/B0CW189C9F?psc=1"/>
    <hyperlink ref="I39" r:id="rId179" display="https://images-na.ssl-images-amazon.com/images/I/614I5KiX6AL._AC_US600_.jpg" tooltip="https://images-na.ssl-images-amazon.com/images/I/614I5KiX6AL._AC_US600_.jpg"/>
    <hyperlink ref="J39" r:id="rId180" display="B0CW1385VL" tooltip="https://www.amazon.com/dp/B0CW1385VL"/>
    <hyperlink ref="K39" r:id="rId6" display="Clothing, Shoes &amp; Jewelry:Women:Clothing:Active:Skirts &amp; Skorts:Active Skirts" tooltip="https://www.amazon.com/b?node=1046602"/>
    <hyperlink ref="L39" r:id="rId7" display="Clothing, Shoes &amp; Jewelry"/>
    <hyperlink ref="AR39" r:id="rId181" display="https://www.amazon.com/gp/help/seller/at-a-glance.html/ref=dp_merchant_link?seller=AHMQD4SBB77PD" tooltip="https://www.amazon.com/gp/help/seller/at-a-glance.html/ref=dp_merchant_link?seller=AHMQD4SBB77PD"/>
    <hyperlink ref="B28" r:id="rId182" display="B0CSYVXRSZ" tooltip="https://www.amazon.com/dp/B0CSYVXRSZ"/>
    <hyperlink ref="F28" r:id="rId58" display="https://www.amazon.com/stores/CHRLEISURE/page/D82C11C2-31CD-4138-864C-027A126EF08E?ref_=ast_bln&amp;store_ref=bl_ast_dp_brandLogo_sto" tooltip="https://www.amazon.com/stores/CHRLEISURE/page/D82C11C2-31CD-4138-864C-027A126EF08E?ref_=ast_bln&amp;store_ref=bl_ast_dp_brandLogo_sto"/>
    <hyperlink ref="H28" r:id="rId183" display="https://www.amazon.com/dp/B0CSYVXRSZ?psc=1" tooltip="https://www.amazon.com/dp/B0CSYVXRSZ?psc=1"/>
    <hyperlink ref="I28" r:id="rId184" display="https://m.media-amazon.com/images/I/416H76bIRSL._AC_SR600,600_.jpg" tooltip="https://m.media-amazon.com/images/I/416H76bIRSL._AC_SR600,600_.jpg"/>
    <hyperlink ref="J28" r:id="rId185" display="B0CSYNKD7Z" tooltip="https://www.amazon.com/dp/B0CSYNKD7Z"/>
    <hyperlink ref="K28" r:id="rId6" display="Clothing, Shoes &amp; Jewelry:Women:Clothing:Active:Skirts &amp; Skorts:Active Skirts" tooltip="https://www.amazon.com/b?node=1046602"/>
    <hyperlink ref="L28" r:id="rId7" display="Clothing, Shoes &amp; Jewelry"/>
    <hyperlink ref="AR28" r:id="rId62" display="https://www.amazon.com/gp/help/seller/at-a-glance.html/ref=dp_merchant_link?seller=A26D3SMGY2WM2I" tooltip="https://www.amazon.com/gp/help/seller/at-a-glance.html/ref=dp_merchant_link?seller=A26D3SMGY2WM2I"/>
    <hyperlink ref="B48" r:id="rId186" display="B0CJ2LZ8SK" tooltip="https://www.amazon.com/dp/B0CJ2LZ8SK"/>
    <hyperlink ref="F48" r:id="rId187" display="https://www.amazon.com/stores/GOLDSTITCH/page/F93A5BFD-FD04-4BE3-8140-2DA485376613?ref_=ast_bln&amp;store_ref=bl_ast_dp_brandLogo_sto" tooltip="https://www.amazon.com/stores/GOLDSTITCH/page/F93A5BFD-FD04-4BE3-8140-2DA485376613?ref_=ast_bln&amp;store_ref=bl_ast_dp_brandLogo_sto"/>
    <hyperlink ref="H48" r:id="rId188" display="https://www.amazon.com/dp/B0CJ2LZ8SK?psc=1" tooltip="https://www.amazon.com/dp/B0CJ2LZ8SK?psc=1"/>
    <hyperlink ref="I48" r:id="rId189" display="https://m.media-amazon.com/images/I/31hNUhzYHlL._AC_SR600,600_.jpg" tooltip="https://m.media-amazon.com/images/I/31hNUhzYHlL._AC_SR600,600_.jpg"/>
    <hyperlink ref="J48" r:id="rId190" display="B01EUJKQO6" tooltip="https://www.amazon.com/dp/B01EUJKQO6"/>
    <hyperlink ref="K48" r:id="rId6" display="Clothing, Shoes &amp; Jewelry:Women:Clothing:Active:Skirts &amp; Skorts:Active Skirts" tooltip="https://www.amazon.com/b?node=1046602"/>
    <hyperlink ref="L48" r:id="rId7" display="Clothing, Shoes &amp; Jewelry"/>
    <hyperlink ref="AR48" r:id="rId191" display="https://www.amazon.com/gp/help/seller/at-a-glance.html/ref=dp_merchant_link?seller=A39JCPE1RWJFZE" tooltip="https://www.amazon.com/gp/help/seller/at-a-glance.html/ref=dp_merchant_link?seller=A39JCPE1RWJFZE"/>
    <hyperlink ref="B42" r:id="rId192" display="B0BK16SM9P" tooltip="https://www.amazon.com/dp/B0BK16SM9P"/>
    <hyperlink ref="F42" r:id="rId193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42" r:id="rId194" display="https://www.amazon.com/dp/B0BK16SM9P?psc=1" tooltip="https://www.amazon.com/dp/B0BK16SM9P?psc=1"/>
    <hyperlink ref="I42" r:id="rId195" display="https://m.media-amazon.com/images/I/41HpYmeKthL._AC_SR600,600_.jpg" tooltip="https://m.media-amazon.com/images/I/41HpYmeKthL._AC_SR600,600_.jpg"/>
    <hyperlink ref="J42" r:id="rId196" display="B0BSF327RW" tooltip="https://www.amazon.com/dp/B0BSF327RW"/>
    <hyperlink ref="K42" r:id="rId6" display="Clothing, Shoes &amp; Jewelry:Women:Clothing:Active:Skirts &amp; Skorts:Active Skirts" tooltip="https://www.amazon.com/b?node=1046602"/>
    <hyperlink ref="L42" r:id="rId7" display="Clothing, Shoes &amp; Jewelry"/>
    <hyperlink ref="AR42" r:id="rId197" display="https://www.amazon.com/gp/help/seller/at-a-glance.html/ref=dp_merchant_link?seller=A1CX3Y6OPGB2MO" tooltip="https://www.amazon.com/gp/help/seller/at-a-glance.html/ref=dp_merchant_link?seller=A1CX3Y6OPGB2MO"/>
    <hyperlink ref="B53" r:id="rId198" display="B08DNKYD86" tooltip="https://www.amazon.com/dp/B08DNKYD86"/>
    <hyperlink ref="F53" r:id="rId199" display="https://www.amazon.com/stores/RAROAUF/page/3FF313FD-9BFF-4DC1-AF49-0DA2BB8CCD7F?ref_=ast_bln&amp;store_ref=bl_ast_dp_brandLogo_sto" tooltip="https://www.amazon.com/stores/RAROAUF/page/3FF313FD-9BFF-4DC1-AF49-0DA2BB8CCD7F?ref_=ast_bln&amp;store_ref=bl_ast_dp_brandLogo_sto"/>
    <hyperlink ref="H53" r:id="rId200" display="https://www.amazon.com/dp/B08DNKYD86?psc=1" tooltip="https://www.amazon.com/dp/B08DNKYD86?psc=1"/>
    <hyperlink ref="I53" r:id="rId201" display="https://m.media-amazon.com/images/I/415rgvPMsrL._AC_SR600,600_.jpg" tooltip="https://m.media-amazon.com/images/I/415rgvPMsrL._AC_SR600,600_.jpg"/>
    <hyperlink ref="J53" r:id="rId202" display="B08KRKY41K" tooltip="https://www.amazon.com/dp/B08KRKY41K"/>
    <hyperlink ref="K53" r:id="rId6" display="Clothing, Shoes &amp; Jewelry:Women:Clothing:Active:Skirts &amp; Skorts:Active Skirts" tooltip="https://www.amazon.com/b?node=1046602"/>
    <hyperlink ref="L53" r:id="rId7" display="Clothing, Shoes &amp; Jewelry"/>
    <hyperlink ref="AR53" r:id="rId203" display="https://www.amazon.com/gp/help/seller/at-a-glance.html/ref=dp_merchant_link?seller=A3LKVUSEROVJPA" tooltip="https://www.amazon.com/gp/help/seller/at-a-glance.html/ref=dp_merchant_link?seller=A3LKVUSEROVJPA"/>
    <hyperlink ref="B50" r:id="rId204" display="B07QGLSMQK" tooltip="https://www.amazon.com/dp/B07QGLSMQK"/>
    <hyperlink ref="F50" r:id="rId205" display="https://www.amazon.com/stores/ANIVIVO/page/48D0AAB9-C21A-4991-9D28-EA0B9E5AC52E?ref_=ast_bln&amp;store_ref=bl_ast_dp_brandLogo_sto" tooltip="https://www.amazon.com/stores/ANIVIVO/page/48D0AAB9-C21A-4991-9D28-EA0B9E5AC52E?ref_=ast_bln&amp;store_ref=bl_ast_dp_brandLogo_sto"/>
    <hyperlink ref="H50" r:id="rId206" display="https://www.amazon.com/dp/B07QGLSMQK?psc=1" tooltip="https://www.amazon.com/dp/B07QGLSMQK?psc=1"/>
    <hyperlink ref="I50" r:id="rId207" display="https://m.media-amazon.com/images/I/31AVtTelqlL._AC_SR600,600_.jpg" tooltip="https://m.media-amazon.com/images/I/31AVtTelqlL._AC_SR600,600_.jpg"/>
    <hyperlink ref="J50" r:id="rId208" display="B08T6CKY14" tooltip="https://www.amazon.com/dp/B08T6CKY14"/>
    <hyperlink ref="K50" r:id="rId6" display="Clothing, Shoes &amp; Jewelry:Women:Clothing:Active:Skirts &amp; Skorts:Active Skirts" tooltip="https://www.amazon.com/b?node=1046602"/>
    <hyperlink ref="L50" r:id="rId7" display="Clothing, Shoes &amp; Jewelry"/>
    <hyperlink ref="AR50" r:id="rId209" display="https://www.amazon.com/gp/help/seller/at-a-glance.html/ref=dp_merchant_link?seller=A1NWEKIL8JK1I9" tooltip="https://www.amazon.com/gp/help/seller/at-a-glance.html/ref=dp_merchant_link?seller=A1NWEKIL8JK1I9"/>
    <hyperlink ref="B65" r:id="rId210" display="B0D8PVS658" tooltip="https://www.amazon.com/dp/B0D8PVS658"/>
    <hyperlink ref="F65" r:id="rId46" display="https://www.amazon.com/stores/DLOODA/page/C3B44253-824D-4459-81D5-ACB2BAF52CCA?ref_=ast_bln&amp;store_ref=bl_ast_dp_brandLogo_sto" tooltip="https://www.amazon.com/stores/DLOODA/page/C3B44253-824D-4459-81D5-ACB2BAF52CCA?ref_=ast_bln&amp;store_ref=bl_ast_dp_brandLogo_sto"/>
    <hyperlink ref="H65" r:id="rId211" display="https://www.amazon.com/dp/B0D8PVS658?psc=1" tooltip="https://www.amazon.com/dp/B0D8PVS658?psc=1"/>
    <hyperlink ref="I65" r:id="rId212" display="https://images-na.ssl-images-amazon.com/images/I/71SkFoDAZpL._AC_US600_.jpg" tooltip="https://images-na.ssl-images-amazon.com/images/I/71SkFoDAZpL._AC_US600_.jpg"/>
    <hyperlink ref="J65" r:id="rId213" display="B0D8Q9GCQW" tooltip="https://www.amazon.com/dp/B0D8Q9GCQW"/>
    <hyperlink ref="K65" r:id="rId6" display="Clothing, Shoes &amp; Jewelry:Women:Clothing:Active:Skirts &amp; Skorts:Active Skirts" tooltip="https://www.amazon.com/b?node=1046602"/>
    <hyperlink ref="L65" r:id="rId7" display="Clothing, Shoes &amp; Jewelry"/>
    <hyperlink ref="AR65" r:id="rId73" display="https://www.amazon.com/gp/help/seller/at-a-glance.html/ref=dp_merchant_link?seller=A1GY02MYETD4XU" tooltip="https://www.amazon.com/gp/help/seller/at-a-glance.html/ref=dp_merchant_link?seller=A1GY02MYETD4XU"/>
    <hyperlink ref="B51" r:id="rId214" display="B0CRZ4GZH7" tooltip="https://www.amazon.com/dp/B0CRZ4GZH7"/>
    <hyperlink ref="F51" r:id="rId215" display="https://www.amazon.com/stores/OZICERD/page/B0AE5652-9345-4919-9CB2-17A9B59CF66C?ref_=ast_bln" tooltip="https://www.amazon.com/stores/OZICERD/page/B0AE5652-9345-4919-9CB2-17A9B59CF66C?ref_=ast_bln"/>
    <hyperlink ref="H51" r:id="rId216" display="https://www.amazon.com/dp/B0CRZ4GZH7?psc=1" tooltip="https://www.amazon.com/dp/B0CRZ4GZH7?psc=1"/>
    <hyperlink ref="I51" r:id="rId217" display="https://m.media-amazon.com/images/I/31TsLVz5IHL._AC_SR600,600_.jpg" tooltip="https://m.media-amazon.com/images/I/31TsLVz5IHL._AC_SR600,600_.jpg"/>
    <hyperlink ref="J51" r:id="rId218" display="B0D7SSPTMS" tooltip="https://www.amazon.com/dp/B0D7SSPTMS"/>
    <hyperlink ref="K51" r:id="rId6" display="Clothing, Shoes &amp; Jewelry:Women:Clothing:Active:Skirts &amp; Skorts:Active Skirts" tooltip="https://www.amazon.com/b?node=1046602"/>
    <hyperlink ref="L51" r:id="rId7" display="Clothing, Shoes &amp; Jewelry"/>
    <hyperlink ref="AR51" r:id="rId219" display="https://www.amazon.com/gp/help/seller/at-a-glance.html/ref=dp_merchant_link?seller=A1BKZZRRS0CM3R" tooltip="https://www.amazon.com/gp/help/seller/at-a-glance.html/ref=dp_merchant_link?seller=A1BKZZRRS0CM3R"/>
    <hyperlink ref="B52" r:id="rId220" display="B09QS33TKG" tooltip="https://www.amazon.com/dp/B09QS33TKG"/>
    <hyperlink ref="F52" r:id="rId153" display="https://www.amazon.com/stores/CenturyStar/page/46C2A9C3-3690-4A12-87BB-FF1FF798D2C1?ref_=ast_bln&amp;store_ref=bl_ast_dp_brandLogo_sto" tooltip="https://www.amazon.com/stores/CenturyStar/page/46C2A9C3-3690-4A12-87BB-FF1FF798D2C1?ref_=ast_bln&amp;store_ref=bl_ast_dp_brandLogo_sto"/>
    <hyperlink ref="H52" r:id="rId221" display="https://www.amazon.com/dp/B09QS33TKG?psc=1" tooltip="https://www.amazon.com/dp/B09QS33TKG?psc=1"/>
    <hyperlink ref="I52" r:id="rId222" display="https://m.media-amazon.com/images/I/41S+KK9cEwL._AC_SR600,600_.jpg" tooltip="https://m.media-amazon.com/images/I/41S+KK9cEwL._AC_SR600,600_.jpg"/>
    <hyperlink ref="J52" r:id="rId223" display="B0B2J83HCV" tooltip="https://www.amazon.com/dp/B0B2J83HCV"/>
    <hyperlink ref="K52" r:id="rId6" display="Clothing, Shoes &amp; Jewelry:Women:Clothing:Active:Skirts &amp; Skorts:Active Skirts" tooltip="https://www.amazon.com/b?node=1046602"/>
    <hyperlink ref="L52" r:id="rId7" display="Clothing, Shoes &amp; Jewelry"/>
    <hyperlink ref="AR52" r:id="rId157" display="https://www.amazon.com/gp/help/seller/at-a-glance.html/ref=dp_merchant_link?seller=A1E7ZG1UOPRDZA" tooltip="https://www.amazon.com/gp/help/seller/at-a-glance.html/ref=dp_merchant_link?seller=A1E7ZG1UOPRDZA"/>
    <hyperlink ref="B37" r:id="rId224" display="B0CQ7939R4" tooltip="https://www.amazon.com/dp/B0CQ7939R4"/>
    <hyperlink ref="F37" r:id="rId193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37" r:id="rId225" display="https://www.amazon.com/dp/B0CQ7939R4?psc=1" tooltip="https://www.amazon.com/dp/B0CQ7939R4?psc=1"/>
    <hyperlink ref="I37" r:id="rId226" display="https://m.media-amazon.com/images/I/41BRbIS9jkL._AC_SR600,600_.jpg" tooltip="https://m.media-amazon.com/images/I/41BRbIS9jkL._AC_SR600,600_.jpg"/>
    <hyperlink ref="J37" r:id="rId227" display="B0CPXQMM5Z" tooltip="https://www.amazon.com/dp/B0CPXQMM5Z"/>
    <hyperlink ref="K37" r:id="rId6" display="Clothing, Shoes &amp; Jewelry:Women:Clothing:Active:Skirts &amp; Skorts:Active Skirts" tooltip="https://www.amazon.com/b?node=1046602"/>
    <hyperlink ref="L37" r:id="rId7" display="Clothing, Shoes &amp; Jewelry"/>
    <hyperlink ref="AR37" r:id="rId197" display="https://www.amazon.com/gp/help/seller/at-a-glance.html/ref=dp_merchant_link?seller=A1CX3Y6OPGB2MO" tooltip="https://www.amazon.com/gp/help/seller/at-a-glance.html/ref=dp_merchant_link?seller=A1CX3Y6OPGB2MO"/>
    <hyperlink ref="B57" r:id="rId228" display="B0CSFLR9JC" tooltip="https://www.amazon.com/dp/B0CSFLR9JC"/>
    <hyperlink ref="F57" r:id="rId131" display="https://www.amazon.com/stores/LXNMGO/page/490B654F-B61F-4078-9B68-86BD1ED0E6C8?ref_=ast_bln" tooltip="https://www.amazon.com/stores/LXNMGO/page/490B654F-B61F-4078-9B68-86BD1ED0E6C8?ref_=ast_bln"/>
    <hyperlink ref="H57" r:id="rId229" display="https://www.amazon.com/dp/B0CSFLR9JC?psc=1" tooltip="https://www.amazon.com/dp/B0CSFLR9JC?psc=1"/>
    <hyperlink ref="I57" r:id="rId230" display="https://m.media-amazon.com/images/I/31kYFXk1poL._AC_SR600,600_.jpg" tooltip="https://m.media-amazon.com/images/I/31kYFXk1poL._AC_SR600,600_.jpg"/>
    <hyperlink ref="J57" r:id="rId231" display="B0CSFMBN8Q" tooltip="https://www.amazon.com/dp/B0CSFMBN8Q"/>
    <hyperlink ref="K57" r:id="rId6" display="Clothing, Shoes &amp; Jewelry:Women:Clothing:Active:Skirts &amp; Skorts:Active Skirts" tooltip="https://www.amazon.com/b?node=1046602"/>
    <hyperlink ref="L57" r:id="rId7" display="Clothing, Shoes &amp; Jewelry"/>
    <hyperlink ref="AR57" r:id="rId135" display="https://www.amazon.com/gp/help/seller/at-a-glance.html/ref=dp_merchant_link?seller=A1PIYJCG80M7TJ" tooltip="https://www.amazon.com/gp/help/seller/at-a-glance.html/ref=dp_merchant_link?seller=A1PIYJCG80M7TJ"/>
    <hyperlink ref="B3" r:id="rId232" display="B0DFGTWJYL" tooltip="https://www.amazon.com/dp/B0DFGTWJYL"/>
    <hyperlink ref="F3" r:id="rId97" display="https://www.amazon.com/stores/StelleAthletica/page/92A01961-B5D1-4EA4-A438-84B406B2808B?ref_=ast_bln&amp;store_ref=bl_ast_dp_brandLogo_sto" tooltip="https://www.amazon.com/stores/StelleAthletica/page/92A01961-B5D1-4EA4-A438-84B406B2808B?ref_=ast_bln&amp;store_ref=bl_ast_dp_brandLogo_sto"/>
    <hyperlink ref="H3" r:id="rId233" display="https://www.amazon.com/dp/B0DFGTWJYL?psc=1" tooltip="https://www.amazon.com/dp/B0DFGTWJYL?psc=1"/>
    <hyperlink ref="I3" r:id="rId234" display="https://m.media-amazon.com/images/I/31ode6tTOcL._AC_SR600,600_.jpg" tooltip="https://m.media-amazon.com/images/I/31ode6tTOcL._AC_SR600,600_.jpg"/>
    <hyperlink ref="J3" r:id="rId235" display="B0BWK6TP4D" tooltip="https://www.amazon.com/dp/B0BWK6TP4D"/>
    <hyperlink ref="K3" r:id="rId6" display="Clothing, Shoes &amp; Jewelry:Women:Clothing:Active:Skirts &amp; Skorts:Active Skirts" tooltip="https://www.amazon.com/b?node=1046602"/>
    <hyperlink ref="L3" r:id="rId7" display="Clothing, Shoes &amp; Jewelry"/>
    <hyperlink ref="AR3" r:id="rId101" display="https://www.amazon.com/gp/help/seller/at-a-glance.html/ref=dp_merchant_link?seller=A1ACJK2TICWQAI" tooltip="https://www.amazon.com/gp/help/seller/at-a-glance.html/ref=dp_merchant_link?seller=A1ACJK2TICWQAI"/>
    <hyperlink ref="B72" r:id="rId236" display="B0B4SCTNDH" tooltip="https://www.amazon.com/dp/B0B4SCTNDH"/>
    <hyperlink ref="F72" r:id="rId237" display="https://www.amazon.com/stores/Aurgelmir/page/04964F01-4C86-4940-8DF1-9FE259AA09A8?ref_=ast_bln&amp;store_ref=bl_ast_dp_brandLogo_sto" tooltip="https://www.amazon.com/stores/Aurgelmir/page/04964F01-4C86-4940-8DF1-9FE259AA09A8?ref_=ast_bln&amp;store_ref=bl_ast_dp_brandLogo_sto"/>
    <hyperlink ref="H72" r:id="rId238" display="https://www.amazon.com/dp/B0B4SCTNDH?psc=1" tooltip="https://www.amazon.com/dp/B0B4SCTNDH?psc=1"/>
    <hyperlink ref="I72" r:id="rId239" display="https://images-na.ssl-images-amazon.com/images/I/41bs8h3nUAL._AC_US600_.jpg" tooltip="https://images-na.ssl-images-amazon.com/images/I/41bs8h3nUAL._AC_US600_.jpg"/>
    <hyperlink ref="J72" r:id="rId240" display="B0BDF6N9G3" tooltip="https://www.amazon.com/dp/B0BDF6N9G3"/>
    <hyperlink ref="K72" r:id="rId6" display="Clothing, Shoes &amp; Jewelry:Women:Clothing:Active:Skirts &amp; Skorts:Active Skirts" tooltip="https://www.amazon.com/b?node=1046602"/>
    <hyperlink ref="L72" r:id="rId7" display="Clothing, Shoes &amp; Jewelry"/>
    <hyperlink ref="AR72" r:id="rId241" display="https://www.amazon.com/gp/help/seller/at-a-glance.html/ref=dp_merchant_link?seller=A39S8SRL7UWE0L" tooltip="https://www.amazon.com/gp/help/seller/at-a-glance.html/ref=dp_merchant_link?seller=A39S8SRL7UWE0L"/>
    <hyperlink ref="B54" r:id="rId242" display="B0CRDJP1NM" tooltip="https://www.amazon.com/dp/B0CRDJP1NM"/>
    <hyperlink ref="F54" r:id="rId34" display="https://www.amazon.com/stores/JoyGirl/page/244B0403-A359-40F4-9EBC-58F880F1B1C0?ref_=ast_bln" tooltip="https://www.amazon.com/stores/JoyGirl/page/244B0403-A359-40F4-9EBC-58F880F1B1C0?ref_=ast_bln"/>
    <hyperlink ref="H54" r:id="rId243" display="https://www.amazon.com/dp/B0CRDJP1NM?psc=1" tooltip="https://www.amazon.com/dp/B0CRDJP1NM?psc=1"/>
    <hyperlink ref="I54" r:id="rId244" display="https://m.media-amazon.com/images/I/41I1ydyZ-jL._AC_SR600,600_.jpg" tooltip="https://m.media-amazon.com/images/I/41I1ydyZ-jL._AC_SR600,600_.jpg"/>
    <hyperlink ref="J54" r:id="rId245" display="B0CR9T17H6" tooltip="https://www.amazon.com/dp/B0CR9T17H6"/>
    <hyperlink ref="K54" r:id="rId6" display="Clothing, Shoes &amp; Jewelry:Women:Clothing:Active:Skirts &amp; Skorts:Active Skirts" tooltip="https://www.amazon.com/b?node=1046602"/>
    <hyperlink ref="L54" r:id="rId7" display="Clothing, Shoes &amp; Jewelry"/>
    <hyperlink ref="AR54" r:id="rId38" display="https://www.amazon.com/gp/help/seller/at-a-glance.html/ref=dp_merchant_link?seller=AYO07RIYQGDLC" tooltip="https://www.amazon.com/gp/help/seller/at-a-glance.html/ref=dp_merchant_link?seller=AYO07RIYQGDLC"/>
    <hyperlink ref="B47" r:id="rId246" display="B07QYQN2VR" tooltip="https://www.amazon.com/dp/B07QYQN2VR"/>
    <hyperlink ref="F47" r:id="rId205" display="https://www.amazon.com/stores/ANIVIVO/page/48D0AAB9-C21A-4991-9D28-EA0B9E5AC52E?ref_=ast_bln&amp;store_ref=bl_ast_dp_brandLogo_sto" tooltip="https://www.amazon.com/stores/ANIVIVO/page/48D0AAB9-C21A-4991-9D28-EA0B9E5AC52E?ref_=ast_bln&amp;store_ref=bl_ast_dp_brandLogo_sto"/>
    <hyperlink ref="H47" r:id="rId247" display="https://www.amazon.com/dp/B07QYQN2VR?psc=1" tooltip="https://www.amazon.com/dp/B07QYQN2VR?psc=1"/>
    <hyperlink ref="I47" r:id="rId248" display="https://m.media-amazon.com/images/I/31Y77V7SykL._AC_SR600,600_.jpg" tooltip="https://m.media-amazon.com/images/I/31Y77V7SykL._AC_SR600,600_.jpg"/>
    <hyperlink ref="J47" r:id="rId249" display="B07QDFFMD9" tooltip="https://www.amazon.com/dp/B07QDFFMD9"/>
    <hyperlink ref="K47" r:id="rId6" display="Clothing, Shoes &amp; Jewelry:Women:Clothing:Active:Skirts &amp; Skorts:Active Skirts" tooltip="https://www.amazon.com/b?node=1046602"/>
    <hyperlink ref="L47" r:id="rId7" display="Clothing, Shoes &amp; Jewelry"/>
    <hyperlink ref="AR47" r:id="rId209" display="https://www.amazon.com/gp/help/seller/at-a-glance.html/ref=dp_merchant_link?seller=A1NWEKIL8JK1I9" tooltip="https://www.amazon.com/gp/help/seller/at-a-glance.html/ref=dp_merchant_link?seller=A1NWEKIL8JK1I9"/>
    <hyperlink ref="B19" r:id="rId250" display="B09F6MPHJB" tooltip="https://www.amazon.com/dp/B09F6MPHJB"/>
    <hyperlink ref="F19" r:id="rId251" display="https://www.amazon.com/stores/Yknktstc/page/C6C27C07-3AC9-479F-BE59-C3BAEEF29A0D?ref_=ast_bln&amp;store_ref=bl_ast_dp_brandLogo_sto" tooltip="https://www.amazon.com/stores/Yknktstc/page/C6C27C07-3AC9-479F-BE59-C3BAEEF29A0D?ref_=ast_bln&amp;store_ref=bl_ast_dp_brandLogo_sto"/>
    <hyperlink ref="H19" r:id="rId252" display="https://www.amazon.com/dp/B09F6MPHJB?psc=1" tooltip="https://www.amazon.com/dp/B09F6MPHJB?psc=1"/>
    <hyperlink ref="I19" r:id="rId253" display="https://m.media-amazon.com/images/I/415eHQhw2AL._AC_SR600,600_.jpg" tooltip="https://m.media-amazon.com/images/I/415eHQhw2AL._AC_SR600,600_.jpg"/>
    <hyperlink ref="J19" r:id="rId254" display="B09PH4N2ZF" tooltip="https://www.amazon.com/dp/B09PH4N2ZF"/>
    <hyperlink ref="K19" r:id="rId6" display="Clothing, Shoes &amp; Jewelry:Women:Clothing:Active:Skirts &amp; Skorts:Active Skirts" tooltip="https://www.amazon.com/b?node=1046602"/>
    <hyperlink ref="L19" r:id="rId7" display="Clothing, Shoes &amp; Jewelry"/>
    <hyperlink ref="AR19" r:id="rId255" display="https://www.amazon.com/gp/help/seller/at-a-glance.html/ref=dp_merchant_link?seller=A3TYFLD94WLE02" tooltip="https://www.amazon.com/gp/help/seller/at-a-glance.html/ref=dp_merchant_link?seller=A3TYFLD94WLE02"/>
    <hyperlink ref="B61" r:id="rId256" display="B0BHNTCSX9" tooltip="https://www.amazon.com/dp/B0BHNTCSX9"/>
    <hyperlink ref="F61" r:id="rId205" display="https://www.amazon.com/stores/ANIVIVO/page/48D0AAB9-C21A-4991-9D28-EA0B9E5AC52E?ref_=ast_bln&amp;store_ref=bl_ast_dp_brandLogo_sto" tooltip="https://www.amazon.com/stores/ANIVIVO/page/48D0AAB9-C21A-4991-9D28-EA0B9E5AC52E?ref_=ast_bln&amp;store_ref=bl_ast_dp_brandLogo_sto"/>
    <hyperlink ref="H61" r:id="rId257" display="https://www.amazon.com/dp/B0BHNTCSX9?psc=1" tooltip="https://www.amazon.com/dp/B0BHNTCSX9?psc=1"/>
    <hyperlink ref="I61" r:id="rId258" display="https://m.media-amazon.com/images/I/31EVh2TCLpL._AC_SR600,600_.jpg" tooltip="https://m.media-amazon.com/images/I/31EVh2TCLpL._AC_SR600,600_.jpg"/>
    <hyperlink ref="J61" r:id="rId259" display="B0D9CM6644" tooltip="https://www.amazon.com/dp/B0D9CM6644"/>
    <hyperlink ref="K61" r:id="rId6" display="Clothing, Shoes &amp; Jewelry:Women:Clothing:Active:Skirts &amp; Skorts:Active Skirts" tooltip="https://www.amazon.com/b?node=1046602"/>
    <hyperlink ref="L61" r:id="rId7" display="Clothing, Shoes &amp; Jewelry"/>
    <hyperlink ref="AR61" r:id="rId209" display="https://www.amazon.com/gp/help/seller/at-a-glance.html/ref=dp_merchant_link?seller=A1NWEKIL8JK1I9" tooltip="https://www.amazon.com/gp/help/seller/at-a-glance.html/ref=dp_merchant_link?seller=A1NWEKIL8JK1I9"/>
    <hyperlink ref="B80" r:id="rId260" display="B0CNCBQBWW" tooltip="https://www.amazon.com/dp/B0CNCBQBWW"/>
    <hyperlink ref="F80" r:id="rId215" display="https://www.amazon.com/stores/OZICERD/page/B0AE5652-9345-4919-9CB2-17A9B59CF66C?ref_=ast_bln" tooltip="https://www.amazon.com/stores/OZICERD/page/B0AE5652-9345-4919-9CB2-17A9B59CF66C?ref_=ast_bln"/>
    <hyperlink ref="H80" r:id="rId261" display="https://www.amazon.com/dp/B0CNCBQBWW?psc=1" tooltip="https://www.amazon.com/dp/B0CNCBQBWW?psc=1"/>
    <hyperlink ref="I80" r:id="rId262" display="https://images-na.ssl-images-amazon.com/images/I/71GK9daXJFL._AC_US600_.jpg" tooltip="https://images-na.ssl-images-amazon.com/images/I/71GK9daXJFL._AC_US600_.jpg"/>
    <hyperlink ref="J80" r:id="rId263" display="B0D7SSDNMY" tooltip="https://www.amazon.com/dp/B0D7SSDNMY"/>
    <hyperlink ref="K80" r:id="rId6" display="Clothing, Shoes &amp; Jewelry:Women:Clothing:Active:Skirts &amp; Skorts:Active Skirts" tooltip="https://www.amazon.com/b?node=1046602"/>
    <hyperlink ref="L80" r:id="rId7" display="Clothing, Shoes &amp; Jewelry"/>
    <hyperlink ref="AR80" r:id="rId219" display="https://www.amazon.com/gp/help/seller/at-a-glance.html/ref=dp_merchant_link?seller=A1BKZZRRS0CM3R" tooltip="https://www.amazon.com/gp/help/seller/at-a-glance.html/ref=dp_merchant_link?seller=A1BKZZRRS0CM3R"/>
    <hyperlink ref="B41" r:id="rId264" display="B08NFG6Z3G" tooltip="https://www.amazon.com/dp/B08NFG6Z3G"/>
    <hyperlink ref="F41" r:id="rId265" display="https://www.amazon.com/stores/MadebyJohnny/page/B3F609C9-3484-4E73-BE61-CD9CDE7CAAC3?ref_=ast_bln&amp;store_ref=bl_ast_dp_brandLogo_sto" tooltip="https://www.amazon.com/stores/MadebyJohnny/page/B3F609C9-3484-4E73-BE61-CD9CDE7CAAC3?ref_=ast_bln&amp;store_ref=bl_ast_dp_brandLogo_sto"/>
    <hyperlink ref="H41" r:id="rId266" display="https://www.amazon.com/dp/B08NFG6Z3G?psc=1" tooltip="https://www.amazon.com/dp/B08NFG6Z3G?psc=1"/>
    <hyperlink ref="I41" r:id="rId267" display="https://m.media-amazon.com/images/I/41VVOxFMHVL._AC_SR600,600_.jpg" tooltip="https://m.media-amazon.com/images/I/41VVOxFMHVL._AC_SR600,600_.jpg"/>
    <hyperlink ref="J41" r:id="rId268" display="B08NFDXR9Y" tooltip="https://www.amazon.com/dp/B08NFDXR9Y"/>
    <hyperlink ref="K41" r:id="rId6" display="Clothing, Shoes &amp; Jewelry:Women:Clothing:Active:Skirts &amp; Skorts:Active Skirts" tooltip="https://www.amazon.com/b?node=1046602"/>
    <hyperlink ref="L41" r:id="rId7" display="Clothing, Shoes &amp; Jewelry"/>
    <hyperlink ref="AR41" r:id="rId269" display="https://www.amazon.com/gp/help/seller/at-a-glance.html/ref=dp_merchant_link?seller=A37XK733SMU7C1" tooltip="https://www.amazon.com/gp/help/seller/at-a-glance.html/ref=dp_merchant_link?seller=A37XK733SMU7C1"/>
    <hyperlink ref="B45" r:id="rId270" display="B07LD75CKQ" tooltip="https://www.amazon.com/dp/B07LD75CKQ"/>
    <hyperlink ref="F45" r:id="rId271" display="https://www.amazon.com/stores/Yollmart/page/834C04E1-1445-41DC-B0F9-DE1C08E8E1E8?ref_=ast_bln&amp;store_ref=bl_ast_dp_brandLogo_sto" tooltip="https://www.amazon.com/stores/Yollmart/page/834C04E1-1445-41DC-B0F9-DE1C08E8E1E8?ref_=ast_bln&amp;store_ref=bl_ast_dp_brandLogo_sto"/>
    <hyperlink ref="H45" r:id="rId272" display="https://www.amazon.com/dp/B07LD75CKQ?psc=1" tooltip="https://www.amazon.com/dp/B07LD75CKQ?psc=1"/>
    <hyperlink ref="I45" r:id="rId273" display="https://m.media-amazon.com/images/I/51QUygWA-+L._AC_SR600,600_.jpg" tooltip="https://m.media-amazon.com/images/I/51QUygWA-+L._AC_SR600,600_.jpg"/>
    <hyperlink ref="J45" r:id="rId274" display="B07LD8K89D" tooltip="https://www.amazon.com/dp/B07LD8K89D"/>
    <hyperlink ref="K45" r:id="rId6" display="Clothing, Shoes &amp; Jewelry:Women:Clothing:Active:Skirts &amp; Skorts:Active Skirts" tooltip="https://www.amazon.com/b?node=1046602"/>
    <hyperlink ref="L45" r:id="rId7" display="Clothing, Shoes &amp; Jewelry"/>
    <hyperlink ref="AR45" r:id="rId275" display="https://www.amazon.com/gp/help/seller/at-a-glance.html/ref=dp_merchant_link?seller=A2ZTKLGW111KU5" tooltip="https://www.amazon.com/gp/help/seller/at-a-glance.html/ref=dp_merchant_link?seller=A2ZTKLGW111KU5"/>
    <hyperlink ref="B68" r:id="rId276" display="B0BBMF142Z" tooltip="https://www.amazon.com/dp/B0BBMF142Z"/>
    <hyperlink ref="F68" r:id="rId277" display="https://www.amazon.com/stores/XiokerSports/page/5C17F7F6-E1B6-44CC-9855-669CCCFB9840?ref_=ast_bln&amp;store_ref=bl_ast_dp_brandLogo_sto" tooltip="https://www.amazon.com/stores/XiokerSports/page/5C17F7F6-E1B6-44CC-9855-669CCCFB9840?ref_=ast_bln&amp;store_ref=bl_ast_dp_brandLogo_sto"/>
    <hyperlink ref="H68" r:id="rId278" display="https://www.amazon.com/dp/B0BBMF142Z?psc=1" tooltip="https://www.amazon.com/dp/B0BBMF142Z?psc=1"/>
    <hyperlink ref="I68" r:id="rId279" display="https://m.media-amazon.com/images/I/31XbB5VBUVL._AC_SR600,600_.jpg" tooltip="https://m.media-amazon.com/images/I/31XbB5VBUVL._AC_SR600,600_.jpg"/>
    <hyperlink ref="J68" r:id="rId276" display="B0BBMF142Z" tooltip="https://www.amazon.com/dp/B0BBMF142Z"/>
    <hyperlink ref="K68" r:id="rId6" display="Clothing, Shoes &amp; Jewelry:Women:Clothing:Active:Skirts &amp; Skorts:Active Skirts" tooltip="https://www.amazon.com/b?node=1046602"/>
    <hyperlink ref="L68" r:id="rId7" display="Clothing, Shoes &amp; Jewelry"/>
    <hyperlink ref="AR68" r:id="rId280" display="https://www.amazon.com/gp/help/seller/at-a-glance.html/ref=dp_merchant_link?seller=A24775X1KAIBQI" tooltip="https://www.amazon.com/gp/help/seller/at-a-glance.html/ref=dp_merchant_link?seller=A24775X1KAIBQI"/>
    <hyperlink ref="B26" r:id="rId281" display="B0C9GTRNBT" tooltip="https://www.amazon.com/dp/B0C9GTRNBT"/>
    <hyperlink ref="F26" r:id="rId282" display="https://www.amazon.com/stores/VIGORICS/page/FEC2A707-E5BF-40D3-94B7-CB2E20B911AC?ref_=ast_bln&amp;store_ref=bl_ast_dp_brandLogo_sto" tooltip="https://www.amazon.com/stores/VIGORICS/page/FEC2A707-E5BF-40D3-94B7-CB2E20B911AC?ref_=ast_bln&amp;store_ref=bl_ast_dp_brandLogo_sto"/>
    <hyperlink ref="H26" r:id="rId283" display="https://www.amazon.com/dp/B0C9GTRNBT?psc=1" tooltip="https://www.amazon.com/dp/B0C9GTRNBT?psc=1"/>
    <hyperlink ref="I26" r:id="rId284" display="https://m.media-amazon.com/images/I/41PyIjbn9gL._AC_SR600,600_.jpg" tooltip="https://m.media-amazon.com/images/I/41PyIjbn9gL._AC_SR600,600_.jpg"/>
    <hyperlink ref="J26" r:id="rId281" display="B0C9GTRNBT" tooltip="https://www.amazon.com/dp/B0C9GTRNBT"/>
    <hyperlink ref="K26" r:id="rId285" display="Clothing, Shoes &amp; Jewelry:Women:Clothing:Skirts" tooltip="https://www.amazon.com/b?node=1045022"/>
    <hyperlink ref="L26" r:id="rId7" display="Clothing, Shoes &amp; Jewelry"/>
    <hyperlink ref="AR26" r:id="rId286" display="https://www.amazon.com/gp/help/seller/at-a-glance.html/ref=dp_merchant_link?seller=AFA7SX9CHJSXJ" tooltip="https://www.amazon.com/gp/help/seller/at-a-glance.html/ref=dp_merchant_link?seller=AFA7SX9CHJSXJ"/>
    <hyperlink ref="B58" r:id="rId287" display="B0CXD5PYTR" tooltip="https://www.amazon.com/dp/B0CXD5PYTR"/>
    <hyperlink ref="F58" r:id="rId288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58" r:id="rId289" display="https://www.amazon.com/dp/B0CXD5PYTR?psc=1" tooltip="https://www.amazon.com/dp/B0CXD5PYTR?psc=1"/>
    <hyperlink ref="I58" r:id="rId290" display="https://m.media-amazon.com/images/I/318GPvAU69L._AC_SR600,600_.jpg" tooltip="https://m.media-amazon.com/images/I/318GPvAU69L._AC_SR600,600_.jpg"/>
    <hyperlink ref="J58" r:id="rId287" display="B0CXD5PYTR" tooltip="https://www.amazon.com/dp/B0CXD5PYTR"/>
    <hyperlink ref="K58" r:id="rId6" display="Clothing, Shoes &amp; Jewelry:Women:Clothing:Active:Skirts &amp; Skorts:Active Skirts" tooltip="https://www.amazon.com/b?node=1046602"/>
    <hyperlink ref="L58" r:id="rId7" display="Clothing, Shoes &amp; Jewelry"/>
    <hyperlink ref="AR58" r:id="rId291" display="https://www.amazon.com/gp/help/seller/at-a-glance.html/ref=dp_merchant_link?seller=ADPI9LE50EUV" tooltip="https://www.amazon.com/gp/help/seller/at-a-glance.html/ref=dp_merchant_link?seller=ADPI9LE50EUV"/>
    <hyperlink ref="B59" r:id="rId292" display="B09Q53W5ND" tooltip="https://www.amazon.com/dp/B09Q53W5ND"/>
    <hyperlink ref="F59" r:id="rId265" display="https://www.amazon.com/stores/MadebyJohnny/page/B3F609C9-3484-4E73-BE61-CD9CDE7CAAC3?ref_=ast_bln&amp;store_ref=bl_ast_dp_brandLogo_sto" tooltip="https://www.amazon.com/stores/MadebyJohnny/page/B3F609C9-3484-4E73-BE61-CD9CDE7CAAC3?ref_=ast_bln&amp;store_ref=bl_ast_dp_brandLogo_sto"/>
    <hyperlink ref="H59" r:id="rId293" display="https://www.amazon.com/dp/B09Q53W5ND?psc=1" tooltip="https://www.amazon.com/dp/B09Q53W5ND?psc=1"/>
    <hyperlink ref="I59" r:id="rId294" display="https://m.media-amazon.com/images/I/41YDMA-023L._AC_SR600,600_.jpg" tooltip="https://m.media-amazon.com/images/I/41YDMA-023L._AC_SR600,600_.jpg"/>
    <hyperlink ref="J59" r:id="rId292" display="B09Q53W5ND" tooltip="https://www.amazon.com/dp/B09Q53W5ND"/>
    <hyperlink ref="K59" r:id="rId6" display="Clothing, Shoes &amp; Jewelry:Women:Clothing:Active:Skirts &amp; Skorts:Active Skirts" tooltip="https://www.amazon.com/b?node=1046602"/>
    <hyperlink ref="L59" r:id="rId7" display="Clothing, Shoes &amp; Jewelry"/>
    <hyperlink ref="AR59" r:id="rId269" display="https://www.amazon.com/gp/help/seller/at-a-glance.html/ref=dp_merchant_link?seller=A37XK733SMU7C1" tooltip="https://www.amazon.com/gp/help/seller/at-a-glance.html/ref=dp_merchant_link?seller=A37XK733SMU7C1"/>
    <hyperlink ref="B66" r:id="rId295" display="B0BHHZYSSB" tooltip="https://www.amazon.com/dp/B0BHHZYSSB"/>
    <hyperlink ref="F66" r:id="rId296" display="https://www.amazon.com/stores/XNMAYA/page/36CB5E40-34D0-4AFC-A3E8-4C1297D8D0A5?ref_=ast_bln" tooltip="https://www.amazon.com/stores/XNMAYA/page/36CB5E40-34D0-4AFC-A3E8-4C1297D8D0A5?ref_=ast_bln"/>
    <hyperlink ref="H66" r:id="rId297" display="https://www.amazon.com/dp/B0BHHZYSSB?psc=1" tooltip="https://www.amazon.com/dp/B0BHHZYSSB?psc=1"/>
    <hyperlink ref="I66" r:id="rId201" display="https://m.media-amazon.com/images/I/415rgvPMsrL._AC_SR600,600_.jpg" tooltip="https://m.media-amazon.com/images/I/415rgvPMsrL._AC_SR600,600_.jpg"/>
    <hyperlink ref="J66" r:id="rId295" display="B0BHHZYSSB" tooltip="https://www.amazon.com/dp/B0BHHZYSSB"/>
    <hyperlink ref="K66" r:id="rId6" display="Clothing, Shoes &amp; Jewelry:Women:Clothing:Active:Skirts &amp; Skorts:Active Skirts" tooltip="https://www.amazon.com/b?node=1046602"/>
    <hyperlink ref="L66" r:id="rId7" display="Clothing, Shoes &amp; Jewelry"/>
    <hyperlink ref="AR66" r:id="rId298" display="https://www.amazon.com/gp/help/seller/at-a-glance.html/ref=dp_merchant_link?seller=AGI8S9YM8S32" tooltip="https://www.amazon.com/gp/help/seller/at-a-glance.html/ref=dp_merchant_link?seller=AGI8S9YM8S32"/>
    <hyperlink ref="B44" r:id="rId299" display="B0CTWZZGY9" tooltip="https://www.amazon.com/dp/B0CTWZZGY9"/>
    <hyperlink ref="F44" r:id="rId300" display="https://www.amazon.com/stores/THHGPO/page/DBE87FC1-D6CB-4A5D-A8ED-A0FA0A581CFF?ref_=ast_bln" tooltip="https://www.amazon.com/stores/THHGPO/page/DBE87FC1-D6CB-4A5D-A8ED-A0FA0A581CFF?ref_=ast_bln"/>
    <hyperlink ref="H44" r:id="rId301" display="https://www.amazon.com/dp/B0CTWZZGY9?psc=1" tooltip="https://www.amazon.com/dp/B0CTWZZGY9?psc=1"/>
    <hyperlink ref="I44" r:id="rId302" display="https://m.media-amazon.com/images/I/41PGbJnkl2L._AC_SR600,600_.jpg" tooltip="https://m.media-amazon.com/images/I/41PGbJnkl2L._AC_SR600,600_.jpg"/>
    <hyperlink ref="J44" r:id="rId299" display="B0CTWZZGY9" tooltip="https://www.amazon.com/dp/B0CTWZZGY9"/>
    <hyperlink ref="K44" r:id="rId303" display="Clothing, Shoes &amp; Jewelry:Sport Specific Clothing:Dance:Women:Skirts" tooltip="https://www.amazon.com/b?node=2515164011"/>
    <hyperlink ref="L44" r:id="rId7" display="Clothing, Shoes &amp; Jewelry"/>
    <hyperlink ref="AR44" r:id="rId304" display="https://www.amazon.com/gp/help/seller/at-a-glance.html/ref=dp_merchant_link?seller=A72WZD9I50LKA" tooltip="https://www.amazon.com/gp/help/seller/at-a-glance.html/ref=dp_merchant_link?seller=A72WZD9I50LKA"/>
    <hyperlink ref="B25" r:id="rId305" display="B0CNSX743S" tooltip="https://www.amazon.com/dp/B0CNSX743S"/>
    <hyperlink ref="F25" r:id="rId306" display="https://www.amazon.com/stores/Avidlove/page/6E5DD973-1818-42AC-965A-E648630A6ACA?ref_=ast_bln&amp;store_ref=bl_ast_dp_brandLogo_sto" tooltip="https://www.amazon.com/stores/Avidlove/page/6E5DD973-1818-42AC-965A-E648630A6ACA?ref_=ast_bln&amp;store_ref=bl_ast_dp_brandLogo_sto"/>
    <hyperlink ref="H25" r:id="rId307" display="https://www.amazon.com/dp/B0CNSX743S?psc=1" tooltip="https://www.amazon.com/dp/B0CNSX743S?psc=1"/>
    <hyperlink ref="I25" r:id="rId308" display="https://m.media-amazon.com/images/I/31vDCqnuAxL._AC_SR600,600_.jpg" tooltip="https://m.media-amazon.com/images/I/31vDCqnuAxL._AC_SR600,600_.jpg"/>
    <hyperlink ref="J25" r:id="rId305" display="B0CNSX743S" tooltip="https://www.amazon.com/dp/B0CNSX743S"/>
    <hyperlink ref="K25" r:id="rId6" display="Clothing, Shoes &amp; Jewelry:Women:Clothing:Active:Skirts &amp; Skorts:Active Skirts" tooltip="https://www.amazon.com/b?node=1046602"/>
    <hyperlink ref="L25" r:id="rId7" display="Clothing, Shoes &amp; Jewelry"/>
    <hyperlink ref="AR25" r:id="rId309" display="https://www.amazon.com/gp/help/seller/at-a-glance.html/ref=dp_merchant_link?seller=ADQRWGK1A469B" tooltip="https://www.amazon.com/gp/help/seller/at-a-glance.html/ref=dp_merchant_link?seller=ADQRWGK1A469B"/>
    <hyperlink ref="B33" r:id="rId310" display="B0C4Y5RDB1" tooltip="https://www.amazon.com/dp/B0C4Y5RDB1"/>
    <hyperlink ref="F33" r:id="rId311" display="https://www.amazon.com/stores/Oyamiki/page/EC1A3AB1-AA68-417F-9465-00ECF1BC7EEB?ref_=ast_bln&amp;store_ref=bl_ast_dp_brandLogo_sto" tooltip="https://www.amazon.com/stores/Oyamiki/page/EC1A3AB1-AA68-417F-9465-00ECF1BC7EEB?ref_=ast_bln&amp;store_ref=bl_ast_dp_brandLogo_sto"/>
    <hyperlink ref="H33" r:id="rId312" display="https://www.amazon.com/dp/B0C4Y5RDB1?psc=1" tooltip="https://www.amazon.com/dp/B0C4Y5RDB1?psc=1"/>
    <hyperlink ref="I33" r:id="rId313" display="https://images-na.ssl-images-amazon.com/images/I/91k6N8+p2ZL._AC_US600_.jpg" tooltip="https://images-na.ssl-images-amazon.com/images/I/91k6N8+p2ZL._AC_US600_.jpg"/>
    <hyperlink ref="J33" r:id="rId310" display="B0C4Y5RDB1" tooltip="https://www.amazon.com/dp/B0C4Y5RDB1"/>
    <hyperlink ref="K33" r:id="rId6" display="Clothing, Shoes &amp; Jewelry:Women:Clothing:Active:Skirts &amp; Skorts:Active Skirts" tooltip="https://www.amazon.com/b?node=1046602"/>
    <hyperlink ref="L33" r:id="rId7" display="Clothing, Shoes &amp; Jewelry"/>
    <hyperlink ref="AR33" r:id="rId314" display="https://www.amazon.com/gp/help/seller/at-a-glance.html/ref=dp_merchant_link?seller=A39FUMDCUVK0H6" tooltip="https://www.amazon.com/gp/help/seller/at-a-glance.html/ref=dp_merchant_link?seller=A39FUMDCUVK0H6"/>
    <hyperlink ref="B38" r:id="rId315" display="B0D66D7D4H" tooltip="https://www.amazon.com/dp/B0D66D7D4H"/>
    <hyperlink ref="F38" r:id="rId215" display="https://www.amazon.com/stores/OZICERD/page/B0AE5652-9345-4919-9CB2-17A9B59CF66C?ref_=ast_bln" tooltip="https://www.amazon.com/stores/OZICERD/page/B0AE5652-9345-4919-9CB2-17A9B59CF66C?ref_=ast_bln"/>
    <hyperlink ref="H38" r:id="rId316" display="https://www.amazon.com/dp/B0D66D7D4H?psc=1" tooltip="https://www.amazon.com/dp/B0D66D7D4H?psc=1"/>
    <hyperlink ref="I38" r:id="rId317" display="https://images-na.ssl-images-amazon.com/images/I/71NMpBHxBQL._AC_US600_.jpg" tooltip="https://images-na.ssl-images-amazon.com/images/I/71NMpBHxBQL._AC_US600_.jpg"/>
    <hyperlink ref="J38" r:id="rId315" display="B0D66D7D4H" tooltip="https://www.amazon.com/dp/B0D66D7D4H"/>
    <hyperlink ref="K38" r:id="rId6" display="Clothing, Shoes &amp; Jewelry:Women:Clothing:Active:Skirts &amp; Skorts:Active Skirts" tooltip="https://www.amazon.com/b?node=1046602"/>
    <hyperlink ref="L38" r:id="rId7" display="Clothing, Shoes &amp; Jewelry"/>
    <hyperlink ref="AR38" r:id="rId219" display="https://www.amazon.com/gp/help/seller/at-a-glance.html/ref=dp_merchant_link?seller=A1BKZZRRS0CM3R" tooltip="https://www.amazon.com/gp/help/seller/at-a-glance.html/ref=dp_merchant_link?seller=A1BKZZRRS0CM3R"/>
    <hyperlink ref="B84" r:id="rId318" display="B093XS7LP2" tooltip="https://www.amazon.com/dp/B093XS7LP2"/>
    <hyperlink ref="F84" r:id="rId319" display="https://www.amazon.com/stores/Betaven/page/720E6134-0D08-42D8-9556-267F9A867429?ref_=ast_bln&amp;store_ref=bl_ast_dp_brandLogo_sto" tooltip="https://www.amazon.com/stores/Betaven/page/720E6134-0D08-42D8-9556-267F9A867429?ref_=ast_bln&amp;store_ref=bl_ast_dp_brandLogo_sto"/>
    <hyperlink ref="H84" r:id="rId320" display="https://www.amazon.com/dp/B093XS7LP2?psc=1" tooltip="https://www.amazon.com/dp/B093XS7LP2?psc=1"/>
    <hyperlink ref="I84" r:id="rId321" display="https://m.media-amazon.com/images/I/41ncfwj4XsL._AC_SR600,600_.jpg" tooltip="https://m.media-amazon.com/images/I/41ncfwj4XsL._AC_SR600,600_.jpg"/>
    <hyperlink ref="J84" r:id="rId318" display="B093XS7LP2" tooltip="https://www.amazon.com/dp/B093XS7LP2"/>
    <hyperlink ref="K84" r:id="rId6" display="Clothing, Shoes &amp; Jewelry:Women:Clothing:Active:Skirts &amp; Skorts:Active Skirts" tooltip="https://www.amazon.com/b?node=1046602"/>
    <hyperlink ref="L84" r:id="rId7" display="Clothing, Shoes &amp; Jewelry"/>
    <hyperlink ref="AR84" r:id="rId322" display="https://www.amazon.com/gp/help/seller/at-a-glance.html/ref=dp_merchant_link?seller=A167MWRKMDKHIP" tooltip="https://www.amazon.com/gp/help/seller/at-a-glance.html/ref=dp_merchant_link?seller=A167MWRKMDKHIP"/>
    <hyperlink ref="B70" r:id="rId323" display="B09HTLMGR3" tooltip="https://www.amazon.com/dp/B09HTLMGR3"/>
    <hyperlink ref="F70" r:id="rId324" display="https://www.amazon.com/stores/WowenyFashionSports/page/3D2B143F-34DE-485E-BFE3-BDB0B8FA5ED3?ref_=ast_bln&amp;store_ref=bl_ast_dp_brandLogo_sto" tooltip="https://www.amazon.com/stores/WowenyFashionSports/page/3D2B143F-34DE-485E-BFE3-BDB0B8FA5ED3?ref_=ast_bln&amp;store_ref=bl_ast_dp_brandLogo_sto"/>
    <hyperlink ref="H70" r:id="rId325" display="https://www.amazon.com/dp/B09HTLMGR3?psc=1" tooltip="https://www.amazon.com/dp/B09HTLMGR3?psc=1"/>
    <hyperlink ref="I70" r:id="rId326" display="https://images-na.ssl-images-amazon.com/images/I/61lUFO4TnlL._AC_US600_.jpg" tooltip="https://images-na.ssl-images-amazon.com/images/I/61lUFO4TnlL._AC_US600_.jpg"/>
    <hyperlink ref="J70" r:id="rId323" display="B09HTLMGR3" tooltip="https://www.amazon.com/dp/B09HTLMGR3"/>
    <hyperlink ref="K70" r:id="rId6" display="Clothing, Shoes &amp; Jewelry:Women:Clothing:Active:Skirts &amp; Skorts:Active Skirts" tooltip="https://www.amazon.com/b?node=1046602"/>
    <hyperlink ref="L70" r:id="rId7" display="Clothing, Shoes &amp; Jewelry"/>
    <hyperlink ref="AR70" r:id="rId327" display="https://www.amazon.com/gp/help/seller/at-a-glance.html/ref=dp_merchant_link?seller=A3OGLFRJIKZSEY" tooltip="https://www.amazon.com/gp/help/seller/at-a-glance.html/ref=dp_merchant_link?seller=A3OGLFRJIKZSEY"/>
    <hyperlink ref="B82" r:id="rId328" display="B0CQX17W1G" tooltip="https://www.amazon.com/dp/B0CQX17W1G"/>
    <hyperlink ref="F82" r:id="rId329" display="https://www.amazon.com/stores/NORMOV/page/B3E19D4A-0DED-4089-BEC3-DF1BA344462A?ref_=ast_bln" tooltip="https://www.amazon.com/stores/NORMOV/page/B3E19D4A-0DED-4089-BEC3-DF1BA344462A?ref_=ast_bln"/>
    <hyperlink ref="H82" r:id="rId330" display="https://www.amazon.com/dp/B0CQX17W1G?psc=1" tooltip="https://www.amazon.com/dp/B0CQX17W1G?psc=1"/>
    <hyperlink ref="I82" r:id="rId331" display="https://images-na.ssl-images-amazon.com/images/I/71fEBPiwuqL._AC_US600_.jpg" tooltip="https://images-na.ssl-images-amazon.com/images/I/71fEBPiwuqL._AC_US600_.jpg"/>
    <hyperlink ref="J82" r:id="rId328" display="B0CQX17W1G" tooltip="https://www.amazon.com/dp/B0CQX17W1G"/>
    <hyperlink ref="K82" r:id="rId6" display="Clothing, Shoes &amp; Jewelry:Women:Clothing:Active:Skirts &amp; Skorts:Active Skirts" tooltip="https://www.amazon.com/b?node=1046602"/>
    <hyperlink ref="L82" r:id="rId7" display="Clothing, Shoes &amp; Jewelry"/>
    <hyperlink ref="AR82" r:id="rId332" display="https://www.amazon.com/gp/help/seller/at-a-glance.html/ref=dp_merchant_link?seller=A3MMXFW2QAF7BE" tooltip="https://www.amazon.com/gp/help/seller/at-a-glance.html/ref=dp_merchant_link?seller=A3MMXFW2QAF7BE"/>
    <hyperlink ref="B75" r:id="rId333" display="B0BK8ZQBLS" tooltip="https://www.amazon.com/dp/B0BK8ZQBLS"/>
    <hyperlink ref="F75" r:id="rId334" display="https://www.amazon.com/stores/GANADO/page/E5F73BC9-B93D-4218-8FE9-C18807977314?ref_=ast_bln&amp;store_ref=bl_ast_dp_brandLogo_sto" tooltip="https://www.amazon.com/stores/GANADO/page/E5F73BC9-B93D-4218-8FE9-C18807977314?ref_=ast_bln&amp;store_ref=bl_ast_dp_brandLogo_sto"/>
    <hyperlink ref="H75" r:id="rId335" display="https://www.amazon.com/dp/B0BK8ZQBLS?psc=1" tooltip="https://www.amazon.com/dp/B0BK8ZQBLS?psc=1"/>
    <hyperlink ref="I75" r:id="rId336" display="https://m.media-amazon.com/images/I/31Q+qxBiP5L._AC_SR600,600_.jpg" tooltip="https://m.media-amazon.com/images/I/31Q+qxBiP5L._AC_SR600,600_.jpg"/>
    <hyperlink ref="J75" r:id="rId333" display="B0BK8ZQBLS" tooltip="https://www.amazon.com/dp/B0BK8ZQBLS"/>
    <hyperlink ref="K75" r:id="rId6" display="Clothing, Shoes &amp; Jewelry:Women:Clothing:Active:Skirts &amp; Skorts:Active Skirts" tooltip="https://www.amazon.com/b?node=1046602"/>
    <hyperlink ref="L75" r:id="rId7" display="Clothing, Shoes &amp; Jewelry"/>
    <hyperlink ref="AR75" r:id="rId337" display="https://www.amazon.com/gp/help/seller/at-a-glance.html/ref=dp_merchant_link?seller=A1MQI7SMZZ7C1W" tooltip="https://www.amazon.com/gp/help/seller/at-a-glance.html/ref=dp_merchant_link?seller=A1MQI7SMZZ7C1W"/>
    <hyperlink ref="B77" r:id="rId338" display="B0CSYD4QMR" tooltip="https://www.amazon.com/dp/B0CSYD4QMR"/>
    <hyperlink ref="F77" r:id="rId28" display="https://www.amazon.com/stores/SANTINY/page/C8E491B5-0FA2-4D0C-979E-F3B657EE0FA5?ref_=ast_bln&amp;store_ref=bl_ast_dp_brandLogo_sto" tooltip="https://www.amazon.com/stores/SANTINY/page/C8E491B5-0FA2-4D0C-979E-F3B657EE0FA5?ref_=ast_bln&amp;store_ref=bl_ast_dp_brandLogo_sto"/>
    <hyperlink ref="H77" r:id="rId339" display="https://www.amazon.com/dp/B0CSYD4QMR?psc=1" tooltip="https://www.amazon.com/dp/B0CSYD4QMR?psc=1"/>
    <hyperlink ref="I77" r:id="rId340" display="https://m.media-amazon.com/images/I/41AjvNZtUCL._AC_SR600,600_.jpg" tooltip="https://m.media-amazon.com/images/I/41AjvNZtUCL._AC_SR600,600_.jpg"/>
    <hyperlink ref="J77" r:id="rId338" display="B0CSYD4QMR" tooltip="https://www.amazon.com/dp/B0CSYD4QMR"/>
    <hyperlink ref="K77" r:id="rId6" display="Clothing, Shoes &amp; Jewelry:Women:Clothing:Active:Skirts &amp; Skorts:Active Skirts" tooltip="https://www.amazon.com/b?node=1046602"/>
    <hyperlink ref="L77" r:id="rId7" display="Clothing, Shoes &amp; Jewelry"/>
    <hyperlink ref="AR77" r:id="rId32" display="https://www.amazon.com/gp/help/seller/at-a-glance.html/ref=dp_merchant_link?seller=A3E1SQM5WUB3RR" tooltip="https://www.amazon.com/gp/help/seller/at-a-glance.html/ref=dp_merchant_link?seller=A3E1SQM5WUB3RR"/>
    <hyperlink ref="B88" r:id="rId341" display="B0C23QYD92" tooltip="https://www.amazon.com/dp/B0C23QYD92"/>
    <hyperlink ref="F88" r:id="rId193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88" r:id="rId342" display="https://www.amazon.com/dp/B0C23QYD92?psc=1" tooltip="https://www.amazon.com/dp/B0C23QYD92?psc=1"/>
    <hyperlink ref="I88" r:id="rId343" display="https://m.media-amazon.com/images/I/419kHLN+NqL._AC_SR600,600_.jpg" tooltip="https://m.media-amazon.com/images/I/419kHLN+NqL._AC_SR600,600_.jpg"/>
    <hyperlink ref="J88" r:id="rId341" display="B0C23QYD92" tooltip="https://www.amazon.com/dp/B0C23QYD92"/>
    <hyperlink ref="K88" r:id="rId6" display="Clothing, Shoes &amp; Jewelry:Women:Clothing:Active:Skirts &amp; Skorts:Active Skirts" tooltip="https://www.amazon.com/b?node=1046602"/>
    <hyperlink ref="L88" r:id="rId7" display="Clothing, Shoes &amp; Jewelry"/>
    <hyperlink ref="AR88" r:id="rId197" display="https://www.amazon.com/gp/help/seller/at-a-glance.html/ref=dp_merchant_link?seller=A1CX3Y6OPGB2MO" tooltip="https://www.amazon.com/gp/help/seller/at-a-glance.html/ref=dp_merchant_link?seller=A1CX3Y6OPGB2MO"/>
    <hyperlink ref="B78" r:id="rId344" display="B07YRW6BBZ" tooltip="https://www.amazon.com/dp/B07YRW6BBZ"/>
    <hyperlink ref="F78" r:id="rId345" display="https://www.amazon.com/stores/A2Y/page/599F0E35-293A-408D-8F5B-D183ECDC8EC2?ref_=ast_bln&amp;store_ref=bl_ast_dp_brandLogo_sto" tooltip="https://www.amazon.com/stores/A2Y/page/599F0E35-293A-408D-8F5B-D183ECDC8EC2?ref_=ast_bln&amp;store_ref=bl_ast_dp_brandLogo_sto"/>
    <hyperlink ref="H78" r:id="rId346" display="https://www.amazon.com/dp/B07YRW6BBZ?psc=1" tooltip="https://www.amazon.com/dp/B07YRW6BBZ?psc=1"/>
    <hyperlink ref="I78" r:id="rId347" display="https://m.media-amazon.com/images/I/21wgZEXuJpL._AC_SR600,600_.jpg" tooltip="https://m.media-amazon.com/images/I/21wgZEXuJpL._AC_SR600,600_.jpg"/>
    <hyperlink ref="J78" r:id="rId344" display="B07YRW6BBZ" tooltip="https://www.amazon.com/dp/B07YRW6BBZ"/>
    <hyperlink ref="K78" r:id="rId6" display="Clothing, Shoes &amp; Jewelry:Women:Clothing:Active:Skirts &amp; Skorts:Active Skirts" tooltip="https://www.amazon.com/b?node=1046602"/>
    <hyperlink ref="L78" r:id="rId7" display="Clothing, Shoes &amp; Jewelry"/>
    <hyperlink ref="AR78" r:id="rId348" display="https://www.amazon.com/gp/help/seller/at-a-glance.html/ref=dp_merchant_link?seller=ARYR5KB7WDODT" tooltip="https://www.amazon.com/gp/help/seller/at-a-glance.html/ref=dp_merchant_link?seller=ARYR5KB7WDODT"/>
    <hyperlink ref="B93" r:id="rId349" display="B0CG2Y9B6T" tooltip="https://www.amazon.com/dp/B0CG2Y9B6T"/>
    <hyperlink ref="F93" r:id="rId350" display="https://www.amazon.com/stores/JACKSMITH/page/51E52A6E-5130-4D79-B070-6442E1F33D43?ref_=ast_bln&amp;store_ref=bl_ast_dp_brandLogo_sto" tooltip="https://www.amazon.com/stores/JACKSMITH/page/51E52A6E-5130-4D79-B070-6442E1F33D43?ref_=ast_bln&amp;store_ref=bl_ast_dp_brandLogo_sto"/>
    <hyperlink ref="H93" r:id="rId351" display="https://www.amazon.com/dp/B0CG2Y9B6T?psc=1" tooltip="https://www.amazon.com/dp/B0CG2Y9B6T?psc=1"/>
    <hyperlink ref="I93" r:id="rId352" display="https://images-na.ssl-images-amazon.com/images/I/712yr75J8OL._AC_US600_.jpg" tooltip="https://images-na.ssl-images-amazon.com/images/I/712yr75J8OL._AC_US600_.jpg"/>
    <hyperlink ref="J93" r:id="rId349" display="B0CG2Y9B6T" tooltip="https://www.amazon.com/dp/B0CG2Y9B6T"/>
    <hyperlink ref="K93" r:id="rId6" display="Clothing, Shoes &amp; Jewelry:Women:Clothing:Active:Skirts &amp; Skorts:Active Skirts" tooltip="https://www.amazon.com/b?node=1046602"/>
    <hyperlink ref="L93" r:id="rId7" display="Clothing, Shoes &amp; Jewelry"/>
    <hyperlink ref="AR93" r:id="rId353" display="https://www.amazon.com/gp/help/seller/at-a-glance.html/ref=dp_merchant_link?seller=A36JLU7BHR5ZMD" tooltip="https://www.amazon.com/gp/help/seller/at-a-glance.html/ref=dp_merchant_link?seller=A36JLU7BHR5ZMD"/>
    <hyperlink ref="B92" r:id="rId354" display="B0D9RSJ2F2" tooltip="https://www.amazon.com/dp/B0D9RSJ2F2"/>
    <hyperlink ref="F92" r:id="rId15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92" r:id="rId355" display="https://www.amazon.com/dp/B0D9RSJ2F2?psc=1" tooltip="https://www.amazon.com/dp/B0D9RSJ2F2?psc=1"/>
    <hyperlink ref="I92" r:id="rId356" display="https://m.media-amazon.com/images/I/310z6SNCURL._AC_SR600,600_.jpg" tooltip="https://m.media-amazon.com/images/I/310z6SNCURL._AC_SR600,600_.jpg"/>
    <hyperlink ref="J92" r:id="rId354" display="B0D9RSJ2F2" tooltip="https://www.amazon.com/dp/B0D9RSJ2F2"/>
    <hyperlink ref="K92" r:id="rId6" display="Clothing, Shoes &amp; Jewelry:Women:Clothing:Active:Skirts &amp; Skorts:Active Skirts" tooltip="https://www.amazon.com/b?node=1046602"/>
    <hyperlink ref="L92" r:id="rId7" display="Clothing, Shoes &amp; Jewelry"/>
    <hyperlink ref="AR92" r:id="rId163" display="https://www.amazon.com/gp/help/seller/at-a-glance.html/ref=dp_merchant_link?seller=AB2NECOE3B4S7" tooltip="https://www.amazon.com/gp/help/seller/at-a-glance.html/ref=dp_merchant_link?seller=AB2NECOE3B4S7"/>
    <hyperlink ref="B83" r:id="rId357" display="B0BJKP58Q8" tooltip="https://www.amazon.com/dp/B0BJKP58Q8"/>
    <hyperlink ref="F83" r:id="rId358" display="https://www.amazon.com/stores/HOKOYI/page/07637E19-C5CA-4012-B20B-9AE8FBEC1FED?ref_=ast_bln&amp;store_ref=bl_ast_dp_brandLogo_sto" tooltip="https://www.amazon.com/stores/HOKOYI/page/07637E19-C5CA-4012-B20B-9AE8FBEC1FED?ref_=ast_bln&amp;store_ref=bl_ast_dp_brandLogo_sto"/>
    <hyperlink ref="H83" r:id="rId359" display="https://www.amazon.com/dp/B0BJKP58Q8?psc=1" tooltip="https://www.amazon.com/dp/B0BJKP58Q8?psc=1"/>
    <hyperlink ref="I83" r:id="rId360" display="https://m.media-amazon.com/images/I/31R5aRELi-L._AC_SR600,600_.jpg" tooltip="https://m.media-amazon.com/images/I/31R5aRELi-L._AC_SR600,600_.jpg"/>
    <hyperlink ref="J83" r:id="rId357" display="B0BJKP58Q8" tooltip="https://www.amazon.com/dp/B0BJKP58Q8"/>
    <hyperlink ref="K83" r:id="rId6" display="Clothing, Shoes &amp; Jewelry:Women:Clothing:Active:Skirts &amp; Skorts:Active Skirts" tooltip="https://www.amazon.com/b?node=1046602"/>
    <hyperlink ref="L83" r:id="rId7" display="Clothing, Shoes &amp; Jewelry"/>
    <hyperlink ref="AR83" r:id="rId361" display="https://www.amazon.com/gp/help/seller/at-a-glance.html/ref=dp_merchant_link?seller=A2U6Y6GUDRM6PV" tooltip="https://www.amazon.com/gp/help/seller/at-a-glance.html/ref=dp_merchant_link?seller=A2U6Y6GUDRM6PV"/>
    <hyperlink ref="B62" r:id="rId362" display="B0D5HGZG2F" tooltip="https://www.amazon.com/dp/B0D5HGZG2F"/>
    <hyperlink ref="F62" r:id="rId121" display="https://www.amazon.com/stores/ODODOS/page/4EE07D3A-483C-4E62-A43F-1E8D9A75F92A?ref_=ast_bln&amp;store_ref=bl_ast_dp_brandLogo_sto" tooltip="https://www.amazon.com/stores/ODODOS/page/4EE07D3A-483C-4E62-A43F-1E8D9A75F92A?ref_=ast_bln&amp;store_ref=bl_ast_dp_brandLogo_sto"/>
    <hyperlink ref="H62" r:id="rId363" display="https://www.amazon.com/dp/B0D5HGZG2F?psc=1" tooltip="https://www.amazon.com/dp/B0D5HGZG2F?psc=1"/>
    <hyperlink ref="I62" r:id="rId364" display="https://m.media-amazon.com/images/I/31e827D+pjL._AC_SR600,600_.jpg" tooltip="https://m.media-amazon.com/images/I/31e827D+pjL._AC_SR600,600_.jpg"/>
    <hyperlink ref="J62" r:id="rId362" display="B0D5HGZG2F" tooltip="https://www.amazon.com/dp/B0D5HGZG2F"/>
    <hyperlink ref="K62" r:id="rId365" display="Clothing, Shoes &amp; Jewelry:Women:Clothing:Active:Skirts &amp; Skorts:Active Skorts" tooltip="https://www.amazon.com/b?node=2211990011"/>
    <hyperlink ref="L62" r:id="rId7" display="Clothing, Shoes &amp; Jewelry"/>
    <hyperlink ref="AR62" r:id="rId125" display="https://www.amazon.com/gp/help/seller/at-a-glance.html/ref=dp_merchant_link?seller=A1HPK4MEBNYOYY" tooltip="https://www.amazon.com/gp/help/seller/at-a-glance.html/ref=dp_merchant_link?seller=A1HPK4MEBNYOYY"/>
    <hyperlink ref="B36" r:id="rId366" display="B08Q37Z53T" tooltip="https://www.amazon.com/dp/B08Q37Z53T"/>
    <hyperlink ref="F36" r:id="rId22" display="https://www.amazon.com/stores/Ekouaer/page/9A1AB698-AD0F-4C23-AEED-46CAC35A1B77?ref_=ast_bln&amp;store_ref=bl_ast_dp_brandLogo_sto" tooltip="https://www.amazon.com/stores/Ekouaer/page/9A1AB698-AD0F-4C23-AEED-46CAC35A1B77?ref_=ast_bln&amp;store_ref=bl_ast_dp_brandLogo_sto"/>
    <hyperlink ref="H36" r:id="rId367" display="https://www.amazon.com/dp/B08Q37Z53T?psc=1" tooltip="https://www.amazon.com/dp/B08Q37Z53T?psc=1"/>
    <hyperlink ref="I36" r:id="rId368" display="https://m.media-amazon.com/images/I/41hzEpmRDcL._AC_SR600,600_.jpg" tooltip="https://m.media-amazon.com/images/I/41hzEpmRDcL._AC_SR600,600_.jpg"/>
    <hyperlink ref="J36" r:id="rId366" display="B08Q37Z53T" tooltip="https://www.amazon.com/dp/B08Q37Z53T"/>
    <hyperlink ref="K36" r:id="rId6" display="Clothing, Shoes &amp; Jewelry:Women:Clothing:Active:Skirts &amp; Skorts:Active Skirts" tooltip="https://www.amazon.com/b?node=1046602"/>
    <hyperlink ref="L36" r:id="rId7" display="Clothing, Shoes &amp; Jewelry"/>
    <hyperlink ref="AR36" r:id="rId26" display="https://www.amazon.com/gp/help/seller/at-a-glance.html/ref=dp_merchant_link?seller=A2PG48TKFAAGHH" tooltip="https://www.amazon.com/gp/help/seller/at-a-glance.html/ref=dp_merchant_link?seller=A2PG48TKFAAGHH"/>
    <hyperlink ref="B64" r:id="rId369" display="B0BWDMFJ87" tooltip="https://www.amazon.com/dp/B0BWDMFJ87"/>
    <hyperlink ref="F64" r:id="rId52" display="https://www.amazon.com/stores/Weaimtoprovidecustomerbothgoodserviceandbestproductingoodvalue/page/904819AB-6B6A-44FB-8F6E-100C7249A34A?ref_=ast_bln&amp;store_ref=bl_ast_dp_brandLogo_sto" tooltip="https://www.amazon.com/stores/Weaimtoprovidecustomerbothgoodserviceandbestproductingoodvalue/page/904819AB-6B6A-44FB-8F6E-100C7249A34A?ref_=ast_bln&amp;store_ref=bl_ast_dp_brandLogo_sto"/>
    <hyperlink ref="H64" r:id="rId370" display="https://www.amazon.com/dp/B0BWDMFJ87?psc=1" tooltip="https://www.amazon.com/dp/B0BWDMFJ87?psc=1"/>
    <hyperlink ref="I64" r:id="rId371" display="https://m.media-amazon.com/images/I/51IiH55cqsL._AC_SR600,600_.jpg" tooltip="https://m.media-amazon.com/images/I/51IiH55cqsL._AC_SR600,600_.jpg"/>
    <hyperlink ref="J64" r:id="rId369" display="B0BWDMFJ87" tooltip="https://www.amazon.com/dp/B0BWDMFJ87"/>
    <hyperlink ref="K64" r:id="rId6" display="Clothing, Shoes &amp; Jewelry:Women:Clothing:Active:Skirts &amp; Skorts:Active Skirts" tooltip="https://www.amazon.com/b?node=1046602"/>
    <hyperlink ref="L64" r:id="rId7" display="Clothing, Shoes &amp; Jewelry"/>
    <hyperlink ref="AR64" r:id="rId56" display="https://www.amazon.com/gp/help/seller/at-a-glance.html/ref=dp_merchant_link?seller=A1I3Z4ZI1HXHLL" tooltip="https://www.amazon.com/gp/help/seller/at-a-glance.html/ref=dp_merchant_link?seller=A1I3Z4ZI1HXHLL"/>
    <hyperlink ref="B86" r:id="rId372" display="B0CQCLL1LG" tooltip="https://www.amazon.com/dp/B0CQCLL1LG"/>
    <hyperlink ref="F86" r:id="rId373" display="https://www.amazon.com/stores/EARKOHA/page/BEA02167-BB2F-4C6B-8C46-D62FFEB866C2?ref_=ast_bln&amp;store_ref=bl_ast_dp_brandLogo_sto" tooltip="https://www.amazon.com/stores/EARKOHA/page/BEA02167-BB2F-4C6B-8C46-D62FFEB866C2?ref_=ast_bln&amp;store_ref=bl_ast_dp_brandLogo_sto"/>
    <hyperlink ref="H86" r:id="rId374" display="https://www.amazon.com/dp/B0CQCLL1LG?psc=1" tooltip="https://www.amazon.com/dp/B0CQCLL1LG?psc=1"/>
    <hyperlink ref="I86" r:id="rId375" display="https://m.media-amazon.com/images/I/416Laj178vL._AIweblab959719,T4_AC_SR38,50_.jpg?aicid=AUI-3.1" tooltip="https://m.media-amazon.com/images/I/416Laj178vL._AIweblab959719,T4_AC_SR38,50_.jpg?aicid=AUI-3.1"/>
    <hyperlink ref="J86" r:id="rId372" display="B0CQCLL1LG" tooltip="https://www.amazon.com/dp/B0CQCLL1LG"/>
    <hyperlink ref="K86" r:id="rId6" display="Clothing, Shoes &amp; Jewelry:Women:Clothing:Active:Skirts &amp; Skorts:Active Skirts" tooltip="https://www.amazon.com/b?node=1046602"/>
    <hyperlink ref="L86" r:id="rId7" display="Clothing, Shoes &amp; Jewelry"/>
    <hyperlink ref="AR86" r:id="rId376" display="https://www.amazon.com/gp/help/seller/at-a-glance.html/ref=dp_merchant_link?seller=AWC7NUCRC3BCP" tooltip="https://www.amazon.com/gp/help/seller/at-a-glance.html/ref=dp_merchant_link?seller=AWC7NUCRC3BCP"/>
    <hyperlink ref="B63" r:id="rId377" display="B0BZH8PP33" tooltip="https://www.amazon.com/dp/B0BZH8PP33"/>
    <hyperlink ref="F63" r:id="rId378" display="https://www.amazon.com/stores/CAZUOYI/page/3D3DB17B-FF03-4615-A0AC-2AB14A906E0A?ref_=ast_bln" tooltip="https://www.amazon.com/stores/CAZUOYI/page/3D3DB17B-FF03-4615-A0AC-2AB14A906E0A?ref_=ast_bln"/>
    <hyperlink ref="H63" r:id="rId379" display="https://www.amazon.com/dp/B0BZH8PP33?psc=1" tooltip="https://www.amazon.com/dp/B0BZH8PP33?psc=1"/>
    <hyperlink ref="I63" r:id="rId380" display="https://m.media-amazon.com/images/I/41dvkWhCTpL._AC_SR600,600_.jpg" tooltip="https://m.media-amazon.com/images/I/41dvkWhCTpL._AC_SR600,600_.jpg"/>
    <hyperlink ref="J63" r:id="rId377" display="B0BZH8PP33" tooltip="https://www.amazon.com/dp/B0BZH8PP33"/>
    <hyperlink ref="K63" r:id="rId6" display="Clothing, Shoes &amp; Jewelry:Women:Clothing:Active:Skirts &amp; Skorts:Active Skirts" tooltip="https://www.amazon.com/b?node=1046602"/>
    <hyperlink ref="L63" r:id="rId7" display="Clothing, Shoes &amp; Jewelry"/>
    <hyperlink ref="AR63" r:id="rId381" display="https://www.amazon.com/gp/help/seller/at-a-glance.html/ref=dp_merchant_link?seller=A18ONQ5JPHCYH1" tooltip="https://www.amazon.com/gp/help/seller/at-a-glance.html/ref=dp_merchant_link?seller=A18ONQ5JPHCYH1"/>
    <hyperlink ref="B29" r:id="rId382" display="B0CPSP57J1" tooltip="https://www.amazon.com/dp/B0CPSP57J1"/>
    <hyperlink ref="F29" r:id="rId383" display="https://www.amazon.com/stores/GGradual/page/83E26C48-D353-4DB2-BBB1-1B1E939F003F?ref_=ast_bln&amp;store_ref=bl_ast_dp_brandLogo_sto" tooltip="https://www.amazon.com/stores/GGradual/page/83E26C48-D353-4DB2-BBB1-1B1E939F003F?ref_=ast_bln&amp;store_ref=bl_ast_dp_brandLogo_sto"/>
    <hyperlink ref="H29" r:id="rId384" display="https://www.amazon.com/dp/B0CPSP57J1?psc=1" tooltip="https://www.amazon.com/dp/B0CPSP57J1?psc=1"/>
    <hyperlink ref="I29" r:id="rId385" display="https://m.media-amazon.com/images/I/51NQ-X4qLyL._AC_SR600,600_.jpg" tooltip="https://m.media-amazon.com/images/I/51NQ-X4qLyL._AC_SR600,600_.jpg"/>
    <hyperlink ref="J29" r:id="rId382" display="B0CPSP57J1" tooltip="https://www.amazon.com/dp/B0CPSP57J1"/>
    <hyperlink ref="K29" r:id="rId365" display="Clothing, Shoes &amp; Jewelry:Women:Clothing:Active:Skirts &amp; Skorts:Active Skorts" tooltip="https://www.amazon.com/b?node=2211990011"/>
    <hyperlink ref="L29" r:id="rId7" display="Clothing, Shoes &amp; Jewelry"/>
    <hyperlink ref="AR29" r:id="rId386" display="https://www.amazon.com/gp/help/seller/at-a-glance.html/ref=dp_merchant_link?seller=A3J1UQ06EUSAGL" tooltip="https://www.amazon.com/gp/help/seller/at-a-glance.html/ref=dp_merchant_link?seller=A3J1UQ06EUSAGL"/>
    <hyperlink ref="B76" r:id="rId387" display="B0CT89R1L4" tooltip="https://www.amazon.com/dp/B0CT89R1L4"/>
    <hyperlink ref="F76" r:id="rId388" display="https://www.amazon.com/stores/Heathyoga/page/ADF7612E-0194-4BBE-B9AA-8E2C72DF616C?ref_=ast_bln&amp;store_ref=bl_ast_dp_brandLogo_sto" tooltip="https://www.amazon.com/stores/Heathyoga/page/ADF7612E-0194-4BBE-B9AA-8E2C72DF616C?ref_=ast_bln&amp;store_ref=bl_ast_dp_brandLogo_sto"/>
    <hyperlink ref="H76" r:id="rId389" display="https://www.amazon.com/dp/B0CT89R1L4?psc=1" tooltip="https://www.amazon.com/dp/B0CT89R1L4?psc=1"/>
    <hyperlink ref="I76" r:id="rId390" display="https://images-na.ssl-images-amazon.com/images/I/71iNwyoB6+L._AC_US600_.jpg" tooltip="https://images-na.ssl-images-amazon.com/images/I/71iNwyoB6+L._AC_US600_.jpg"/>
    <hyperlink ref="J76" r:id="rId387" display="B0CT89R1L4" tooltip="https://www.amazon.com/dp/B0CT89R1L4"/>
    <hyperlink ref="K76" r:id="rId6" display="Clothing, Shoes &amp; Jewelry:Women:Clothing:Active:Skirts &amp; Skorts:Active Skirts" tooltip="https://www.amazon.com/b?node=1046602"/>
    <hyperlink ref="L76" r:id="rId7" display="Clothing, Shoes &amp; Jewelry"/>
    <hyperlink ref="AR76" r:id="rId391" display="https://www.amazon.com/gp/help/seller/at-a-glance.html/ref=dp_merchant_link?seller=A2V0UAASMLW3VH" tooltip="https://www.amazon.com/gp/help/seller/at-a-glance.html/ref=dp_merchant_link?seller=A2V0UAASMLW3VH"/>
    <hyperlink ref="B12" r:id="rId392" display="B09Y425F5C" tooltip="https://www.amazon.com/dp/B09Y425F5C"/>
    <hyperlink ref="F12" r:id="rId393" display="https://www.amazon.com/stores/Blaosn/page/B0F6364E-0AC6-4DE3-9E97-1E4EC22AC043?ref_=ast_bln&amp;store_ref=bl_ast_dp_brandLogo_sto" tooltip="https://www.amazon.com/stores/Blaosn/page/B0F6364E-0AC6-4DE3-9E97-1E4EC22AC043?ref_=ast_bln&amp;store_ref=bl_ast_dp_brandLogo_sto"/>
    <hyperlink ref="H12" r:id="rId394" display="https://www.amazon.com/dp/B09Y425F5C?psc=1" tooltip="https://www.amazon.com/dp/B09Y425F5C?psc=1"/>
    <hyperlink ref="I12" r:id="rId395" display="https://images-na.ssl-images-amazon.com/images/I/61aQM47pBWL._AC_US600_.jpg" tooltip="https://images-na.ssl-images-amazon.com/images/I/61aQM47pBWL._AC_US600_.jpg"/>
    <hyperlink ref="J12" r:id="rId392" display="B09Y425F5C" tooltip="https://www.amazon.com/dp/B09Y425F5C"/>
    <hyperlink ref="K12" r:id="rId6" display="Clothing, Shoes &amp; Jewelry:Women:Clothing:Active:Skirts &amp; Skorts:Active Skirts" tooltip="https://www.amazon.com/b?node=1046602"/>
    <hyperlink ref="L12" r:id="rId7" display="Clothing, Shoes &amp; Jewelry"/>
    <hyperlink ref="AR12" r:id="rId396" display="https://www.amazon.com/gp/help/seller/at-a-glance.html/ref=dp_merchant_link?seller=A2KB57SF0224RC" tooltip="https://www.amazon.com/gp/help/seller/at-a-glance.html/ref=dp_merchant_link?seller=A2KB57SF0224RC"/>
    <hyperlink ref="B17" r:id="rId397" display="B0CDXDPBY7" tooltip="https://www.amazon.com/dp/B0CDXDPBY7"/>
    <hyperlink ref="F17" r:id="rId306" display="https://www.amazon.com/stores/Avidlove/page/6E5DD973-1818-42AC-965A-E648630A6ACA?ref_=ast_bln&amp;store_ref=bl_ast_dp_brandLogo_sto" tooltip="https://www.amazon.com/stores/Avidlove/page/6E5DD973-1818-42AC-965A-E648630A6ACA?ref_=ast_bln&amp;store_ref=bl_ast_dp_brandLogo_sto"/>
    <hyperlink ref="H17" r:id="rId398" display="https://www.amazon.com/dp/B0CDXDPBY7?psc=1" tooltip="https://www.amazon.com/dp/B0CDXDPBY7?psc=1"/>
    <hyperlink ref="I17" r:id="rId399" display="https://images-na.ssl-images-amazon.com/images/I/810csjn8hBL._AC_US600_.jpg" tooltip="https://images-na.ssl-images-amazon.com/images/I/810csjn8hBL._AC_US600_.jpg"/>
    <hyperlink ref="J17" r:id="rId397" display="B0CDXDPBY7" tooltip="https://www.amazon.com/dp/B0CDXDPBY7"/>
    <hyperlink ref="K17" r:id="rId400" display="Clothing, Shoes &amp; Jewelry:Novelty &amp; More:Clothing:Novelty:Women:Skirts" tooltip="https://www.amazon.com/b?node=9056935011"/>
    <hyperlink ref="L17" r:id="rId7" display="Clothing, Shoes &amp; Jewelry"/>
    <hyperlink ref="AR17" r:id="rId309" display="https://www.amazon.com/gp/help/seller/at-a-glance.html/ref=dp_merchant_link?seller=ADQRWGK1A469B" tooltip="https://www.amazon.com/gp/help/seller/at-a-glance.html/ref=dp_merchant_link?seller=ADQRWGK1A469B"/>
    <hyperlink ref="B79" r:id="rId401" display="B0C9QNFW18" tooltip="https://www.amazon.com/dp/B0C9QNFW18"/>
    <hyperlink ref="F79" r:id="rId402" display="https://www.amazon.com/stores/Joyingtwo/page/AA994E35-091F-495D-8B4E-77FE38D76020?ref_=ast_bln" tooltip="https://www.amazon.com/stores/Joyingtwo/page/AA994E35-091F-495D-8B4E-77FE38D76020?ref_=ast_bln"/>
    <hyperlink ref="H79" r:id="rId403" display="https://www.amazon.com/dp/B0C9QNFW18?psc=1" tooltip="https://www.amazon.com/dp/B0C9QNFW18?psc=1"/>
    <hyperlink ref="I79" r:id="rId404" display="https://images-na.ssl-images-amazon.com/images/I/619mEGg9BlL._AC_US600_.jpg" tooltip="https://images-na.ssl-images-amazon.com/images/I/619mEGg9BlL._AC_US600_.jpg"/>
    <hyperlink ref="J79" r:id="rId401" display="B0C9QNFW18" tooltip="https://www.amazon.com/dp/B0C9QNFW18"/>
    <hyperlink ref="K79" r:id="rId6" display="Clothing, Shoes &amp; Jewelry:Women:Clothing:Active:Skirts &amp; Skorts:Active Skirts" tooltip="https://www.amazon.com/b?node=1046602"/>
    <hyperlink ref="L79" r:id="rId7" display="Clothing, Shoes &amp; Jewelry"/>
    <hyperlink ref="AR79" r:id="rId405" display="https://www.amazon.com/gp/help/seller/at-a-glance.html/ref=dp_merchant_link?seller=A3268KKK8QF5FK" tooltip="https://www.amazon.com/gp/help/seller/at-a-glance.html/ref=dp_merchant_link?seller=A3268KKK8QF5FK"/>
    <hyperlink ref="B56" r:id="rId406" display="B0D8J5PX5G" tooltip="https://www.amazon.com/dp/B0D8J5PX5G"/>
    <hyperlink ref="F56" r:id="rId171" display="https://www.amazon.com/stores/Tivifox/page/E2A59205-E472-4802-9961-6090A18C0A6F?ref_=ast_bln" tooltip="https://www.amazon.com/stores/Tivifox/page/E2A59205-E472-4802-9961-6090A18C0A6F?ref_=ast_bln"/>
    <hyperlink ref="H56" r:id="rId407" display="https://www.amazon.com/dp/B0D8J5PX5G?psc=1" tooltip="https://www.amazon.com/dp/B0D8J5PX5G?psc=1"/>
    <hyperlink ref="I56" r:id="rId408" display="https://m.media-amazon.com/images/I/412Rqfytk3L._AC_SR600,600_.jpg" tooltip="https://m.media-amazon.com/images/I/412Rqfytk3L._AC_SR600,600_.jpg"/>
    <hyperlink ref="J56" r:id="rId406" display="B0D8J5PX5G" tooltip="https://www.amazon.com/dp/B0D8J5PX5G"/>
    <hyperlink ref="K56" r:id="rId6" display="Clothing, Shoes &amp; Jewelry:Women:Clothing:Active:Skirts &amp; Skorts:Active Skirts" tooltip="https://www.amazon.com/b?node=1046602"/>
    <hyperlink ref="L56" r:id="rId7" display="Clothing, Shoes &amp; Jewelry"/>
    <hyperlink ref="AR56" r:id="rId175" display="https://www.amazon.com/gp/help/seller/at-a-glance.html/ref=dp_merchant_link?seller=A20EOU5S7BFWN4" tooltip="https://www.amazon.com/gp/help/seller/at-a-glance.html/ref=dp_merchant_link?seller=A20EOU5S7BFWN4"/>
    <hyperlink ref="B71" r:id="rId409" display="B0D53GV4H8" tooltip="https://www.amazon.com/dp/B0D53GV4H8"/>
    <hyperlink ref="F71" r:id="rId410" display="https://www.amazon.com/stores/CRESAY/page/1A434FE1-0B49-4696-9048-3999EE19BC64?ref_=ast_bln&amp;store_ref=bl_ast_dp_brandLogo_sto" tooltip="https://www.amazon.com/stores/CRESAY/page/1A434FE1-0B49-4696-9048-3999EE19BC64?ref_=ast_bln&amp;store_ref=bl_ast_dp_brandLogo_sto"/>
    <hyperlink ref="H71" r:id="rId411" display="https://www.amazon.com/dp/B0D53GV4H8?psc=1" tooltip="https://www.amazon.com/dp/B0D53GV4H8?psc=1"/>
    <hyperlink ref="I71" r:id="rId412" display="https://m.media-amazon.com/images/I/41kPdH8q-qL._AC_SR600,600_.jpg" tooltip="https://m.media-amazon.com/images/I/41kPdH8q-qL._AC_SR600,600_.jpg"/>
    <hyperlink ref="J71" r:id="rId409" display="B0D53GV4H8" tooltip="https://www.amazon.com/dp/B0D53GV4H8"/>
    <hyperlink ref="K71" r:id="rId6" display="Clothing, Shoes &amp; Jewelry:Women:Clothing:Active:Skirts &amp; Skorts:Active Skirts" tooltip="https://www.amazon.com/b?node=1046602"/>
    <hyperlink ref="L71" r:id="rId7" display="Clothing, Shoes &amp; Jewelry"/>
    <hyperlink ref="AR71" r:id="rId413" display="https://www.amazon.com/gp/help/seller/at-a-glance.html/ref=dp_merchant_link?seller=A35KZH1XOKRBK" tooltip="https://www.amazon.com/gp/help/seller/at-a-glance.html/ref=dp_merchant_link?seller=A35KZH1XOKRBK"/>
    <hyperlink ref="B81" r:id="rId414" display="B0CNVT851G" tooltip="https://www.amazon.com/dp/B0CNVT851G"/>
    <hyperlink ref="F81" r:id="rId415" display="https://www.amazon.com/stores/Viodia/page/2DE13E0B-A7B3-4F9B-9846-53EBE7FDA4F5?ref_=ast_bln&amp;store_ref=bl_ast_dp_brandLogo_sto" tooltip="https://www.amazon.com/stores/Viodia/page/2DE13E0B-A7B3-4F9B-9846-53EBE7FDA4F5?ref_=ast_bln&amp;store_ref=bl_ast_dp_brandLogo_sto"/>
    <hyperlink ref="H81" r:id="rId416" display="https://www.amazon.com/dp/B0CNVT851G?psc=1" tooltip="https://www.amazon.com/dp/B0CNVT851G?psc=1"/>
    <hyperlink ref="I81" r:id="rId417" display="https://m.media-amazon.com/images/I/312T+8HISFL._AC_SR600,600_.jpg" tooltip="https://m.media-amazon.com/images/I/312T+8HISFL._AC_SR600,600_.jpg"/>
    <hyperlink ref="J81" r:id="rId414" display="B0CNVT851G" tooltip="https://www.amazon.com/dp/B0CNVT851G"/>
    <hyperlink ref="K81" r:id="rId6" display="Clothing, Shoes &amp; Jewelry:Women:Clothing:Active:Skirts &amp; Skorts:Active Skirts" tooltip="https://www.amazon.com/b?node=1046602"/>
    <hyperlink ref="L81" r:id="rId7" display="Clothing, Shoes &amp; Jewelry"/>
    <hyperlink ref="AR81" r:id="rId418" display="https://www.amazon.com/gp/help/seller/at-a-glance.html/ref=dp_merchant_link?seller=A3ARCQ9ILY075Q" tooltip="https://www.amazon.com/gp/help/seller/at-a-glance.html/ref=dp_merchant_link?seller=A3ARCQ9ILY075Q"/>
    <hyperlink ref="B60" r:id="rId419" display="B0C918W433" tooltip="https://www.amazon.com/dp/B0C918W433"/>
    <hyperlink ref="F60" r:id="rId420" display="https://www.amazon.com/stores/CZRLHYT/page/B636243B-7C04-440A-9955-D1E6A65AC46B?ref_=ast_bln&amp;store_ref=bl_ast_dp_brandLogo_sto" tooltip="https://www.amazon.com/stores/CZRLHYT/page/B636243B-7C04-440A-9955-D1E6A65AC46B?ref_=ast_bln&amp;store_ref=bl_ast_dp_brandLogo_sto"/>
    <hyperlink ref="H60" r:id="rId421" display="https://www.amazon.com/dp/B0C918W433?psc=1" tooltip="https://www.amazon.com/dp/B0C918W433?psc=1"/>
    <hyperlink ref="I60" r:id="rId422" display="https://m.media-amazon.com/images/I/51C+KH+kAuL._AIweblab959719,T4_AC_SR38,50_.jpg?aicid=AUI-3.1" tooltip="https://m.media-amazon.com/images/I/51C+KH+kAuL._AIweblab959719,T4_AC_SR38,50_.jpg?aicid=AUI-3.1"/>
    <hyperlink ref="J60" r:id="rId419" display="B0C918W433" tooltip="https://www.amazon.com/dp/B0C918W433"/>
    <hyperlink ref="K60" r:id="rId6" display="Clothing, Shoes &amp; Jewelry:Women:Clothing:Active:Skirts &amp; Skorts:Active Skirts" tooltip="https://www.amazon.com/b?node=1046602"/>
    <hyperlink ref="L60" r:id="rId7" display="Clothing, Shoes &amp; Jewelry"/>
    <hyperlink ref="AR60" r:id="rId423" display="https://www.amazon.com/gp/help/seller/at-a-glance.html/ref=dp_merchant_link?seller=A34W0637HUY9YO" tooltip="https://www.amazon.com/gp/help/seller/at-a-glance.html/ref=dp_merchant_link?seller=A34W0637HUY9YO"/>
    <hyperlink ref="B101" r:id="rId424" display="B0D5D879B3" tooltip="https://www.amazon.com/dp/B0D5D879B3"/>
    <hyperlink ref="F101" r:id="rId193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101" r:id="rId425" display="https://www.amazon.com/dp/B0D5D879B3?psc=1" tooltip="https://www.amazon.com/dp/B0D5D879B3?psc=1"/>
    <hyperlink ref="I101" r:id="rId426" display="https://m.media-amazon.com/images/I/41bUztfjmQL._AC_SR600,600_.jpg" tooltip="https://m.media-amazon.com/images/I/41bUztfjmQL._AC_SR600,600_.jpg"/>
    <hyperlink ref="J101" r:id="rId424" display="B0D5D879B3" tooltip="https://www.amazon.com/dp/B0D5D879B3"/>
    <hyperlink ref="K101" r:id="rId6" display="Clothing, Shoes &amp; Jewelry:Women:Clothing:Active:Skirts &amp; Skorts:Active Skirts" tooltip="https://www.amazon.com/b?node=1046602"/>
    <hyperlink ref="L101" r:id="rId7" display="Clothing, Shoes &amp; Jewelry"/>
    <hyperlink ref="AR101" r:id="rId197" display="https://www.amazon.com/gp/help/seller/at-a-glance.html/ref=dp_merchant_link?seller=A1CX3Y6OPGB2MO" tooltip="https://www.amazon.com/gp/help/seller/at-a-glance.html/ref=dp_merchant_link?seller=A1CX3Y6OPGB2MO"/>
    <hyperlink ref="B67" r:id="rId427" display="B0BVVQWQJQ" tooltip="https://www.amazon.com/dp/B0BVVQWQJQ"/>
    <hyperlink ref="F67" r:id="rId22" display="https://www.amazon.com/stores/Ekouaer/page/9A1AB698-AD0F-4C23-AEED-46CAC35A1B77?ref_=ast_bln&amp;store_ref=bl_ast_dp_brandLogo_sto" tooltip="https://www.amazon.com/stores/Ekouaer/page/9A1AB698-AD0F-4C23-AEED-46CAC35A1B77?ref_=ast_bln&amp;store_ref=bl_ast_dp_brandLogo_sto"/>
    <hyperlink ref="H67" r:id="rId428" display="https://www.amazon.com/dp/B0BVVQWQJQ?psc=1" tooltip="https://www.amazon.com/dp/B0BVVQWQJQ?psc=1"/>
    <hyperlink ref="I67" r:id="rId429" display="https://m.media-amazon.com/images/I/31-vKe36HzL._AC_SR600,600_.jpg" tooltip="https://m.media-amazon.com/images/I/31-vKe36HzL._AC_SR600,600_.jpg"/>
    <hyperlink ref="J67" r:id="rId427" display="B0BVVQWQJQ" tooltip="https://www.amazon.com/dp/B0BVVQWQJQ"/>
    <hyperlink ref="K67" r:id="rId6" display="Clothing, Shoes &amp; Jewelry:Women:Clothing:Active:Skirts &amp; Skorts:Active Skirts" tooltip="https://www.amazon.com/b?node=1046602"/>
    <hyperlink ref="L67" r:id="rId7" display="Clothing, Shoes &amp; Jewelry"/>
    <hyperlink ref="AR67" r:id="rId26" display="https://www.amazon.com/gp/help/seller/at-a-glance.html/ref=dp_merchant_link?seller=A2PG48TKFAAGHH" tooltip="https://www.amazon.com/gp/help/seller/at-a-glance.html/ref=dp_merchant_link?seller=A2PG48TKFAAGHH"/>
    <hyperlink ref="B89" r:id="rId430" display="B09YCB59RW" tooltip="https://www.amazon.com/dp/B09YCB59RW"/>
    <hyperlink ref="F89" r:id="rId358" display="https://www.amazon.com/stores/HOKOYI/page/07637E19-C5CA-4012-B20B-9AE8FBEC1FED?ref_=ast_bln&amp;store_ref=bl_ast_dp_brandLogo_sto" tooltip="https://www.amazon.com/stores/HOKOYI/page/07637E19-C5CA-4012-B20B-9AE8FBEC1FED?ref_=ast_bln&amp;store_ref=bl_ast_dp_brandLogo_sto"/>
    <hyperlink ref="H89" r:id="rId431" display="https://www.amazon.com/dp/B09YCB59RW?psc=1" tooltip="https://www.amazon.com/dp/B09YCB59RW?psc=1"/>
    <hyperlink ref="I89" r:id="rId432" display="https://m.media-amazon.com/images/I/31edvud3stL._AC_SR600,600_.jpg" tooltip="https://m.media-amazon.com/images/I/31edvud3stL._AC_SR600,600_.jpg"/>
    <hyperlink ref="J89" r:id="rId430" display="B09YCB59RW" tooltip="https://www.amazon.com/dp/B09YCB59RW"/>
    <hyperlink ref="K89" r:id="rId6" display="Clothing, Shoes &amp; Jewelry:Women:Clothing:Active:Skirts &amp; Skorts:Active Skirts" tooltip="https://www.amazon.com/b?node=1046602"/>
    <hyperlink ref="L89" r:id="rId7" display="Clothing, Shoes &amp; Jewelry"/>
    <hyperlink ref="AR89" r:id="rId361" display="https://www.amazon.com/gp/help/seller/at-a-glance.html/ref=dp_merchant_link?seller=A2U6Y6GUDRM6PV" tooltip="https://www.amazon.com/gp/help/seller/at-a-glance.html/ref=dp_merchant_link?seller=A2U6Y6GUDRM6PV"/>
    <hyperlink ref="B99" r:id="rId433" display="B0B6BPYMBJ" tooltip="https://www.amazon.com/dp/B0B6BPYMBJ"/>
    <hyperlink ref="F99" r:id="rId434" display="https://www.amazon.com/stores/baleaf/page/243A5985-DEA3-405F-83ED-364B4A3733C5?ref_=ast_bln&amp;store_ref=bl_ast_dp_brandLogo_sto" tooltip="https://www.amazon.com/stores/baleaf/page/243A5985-DEA3-405F-83ED-364B4A3733C5?ref_=ast_bln&amp;store_ref=bl_ast_dp_brandLogo_sto"/>
    <hyperlink ref="H99" r:id="rId435" display="https://www.amazon.com/dp/B0B6BPYMBJ?psc=1" tooltip="https://www.amazon.com/dp/B0B6BPYMBJ?psc=1"/>
    <hyperlink ref="I99" r:id="rId436" display="https://m.media-amazon.com/images/I/312OWVXYx+L._AC_SR600,600_.jpg" tooltip="https://m.media-amazon.com/images/I/312OWVXYx+L._AC_SR600,600_.jpg"/>
    <hyperlink ref="J99" r:id="rId433" display="B0B6BPYMBJ" tooltip="https://www.amazon.com/dp/B0B6BPYMBJ"/>
    <hyperlink ref="K99" r:id="rId6" display="Clothing, Shoes &amp; Jewelry:Women:Clothing:Active:Skirts &amp; Skorts:Active Skirts" tooltip="https://www.amazon.com/b?node=1046602"/>
    <hyperlink ref="L99" r:id="rId7" display="Clothing, Shoes &amp; Jewelry"/>
    <hyperlink ref="AR99" r:id="rId437" display="https://www.amazon.com/gp/help/seller/at-a-glance.html/ref=dp_merchant_link?seller=AUCI3SOXHH004" tooltip="https://www.amazon.com/gp/help/seller/at-a-glance.html/ref=dp_merchant_link?seller=AUCI3SOXHH004"/>
    <hyperlink ref="B73" r:id="rId438" display="B0BZY6JPVB" tooltip="https://www.amazon.com/dp/B0BZY6JPVB"/>
    <hyperlink ref="F73" r:id="rId439" display="https://www.amazon.com/TTCM/b/ref=bl_sl_s_ap_web_101475501011?ie=UTF8&amp;node=101475501011&amp;field-lbr_brands_browse-bin=TTCM" tooltip="https://www.amazon.com/TTCM/b/ref=bl_sl_s_ap_web_101475501011?ie=UTF8&amp;node=101475501011&amp;field-lbr_brands_browse-bin=TTCM"/>
    <hyperlink ref="H73" r:id="rId440" display="https://www.amazon.com/dp/B0BZY6JPVB?psc=1" tooltip="https://www.amazon.com/dp/B0BZY6JPVB?psc=1"/>
    <hyperlink ref="I73" r:id="rId441" display="https://m.media-amazon.com/images/I/41Vt3zapR3L._AC_SR600,600_.jpg" tooltip="https://m.media-amazon.com/images/I/41Vt3zapR3L._AC_SR600,600_.jpg"/>
    <hyperlink ref="J73" r:id="rId438" display="B0BZY6JPVB" tooltip="https://www.amazon.com/dp/B0BZY6JPVB"/>
    <hyperlink ref="K73" r:id="rId6" display="Clothing, Shoes &amp; Jewelry:Women:Clothing:Active:Skirts &amp; Skorts:Active Skirts" tooltip="https://www.amazon.com/b?node=1046602"/>
    <hyperlink ref="L73" r:id="rId7" display="Clothing, Shoes &amp; Jewelry"/>
    <hyperlink ref="AR73" r:id="rId442" display="https://www.amazon.com/gp/help/seller/at-a-glance.html/ref=dp_merchant_link?seller=AJ2IE5554PWR2" tooltip="https://www.amazon.com/gp/help/seller/at-a-glance.html/ref=dp_merchant_link?seller=AJ2IE5554PWR2"/>
    <hyperlink ref="B96" r:id="rId443" display="B096XJR53X" tooltip="https://www.amazon.com/dp/B096XJR53X"/>
    <hyperlink ref="F96" r:id="rId444" display="https://www.amazon.com/stores/DERCA/page/224A3F5F-0E8D-4421-8AB3-A16602730F7B?ref_=ast_bln&amp;store_ref=bl_ast_dp_brandLogo_sto" tooltip="https://www.amazon.com/stores/DERCA/page/224A3F5F-0E8D-4421-8AB3-A16602730F7B?ref_=ast_bln&amp;store_ref=bl_ast_dp_brandLogo_sto"/>
    <hyperlink ref="H96" r:id="rId445" display="https://www.amazon.com/dp/B096XJR53X?psc=1" tooltip="https://www.amazon.com/dp/B096XJR53X?psc=1"/>
    <hyperlink ref="I96" r:id="rId446" display="https://m.media-amazon.com/images/I/41W6D-IQRFL._AC_SR600,600_.jpg" tooltip="https://m.media-amazon.com/images/I/41W6D-IQRFL._AC_SR600,600_.jpg"/>
    <hyperlink ref="J96" r:id="rId443" display="B096XJR53X" tooltip="https://www.amazon.com/dp/B096XJR53X"/>
    <hyperlink ref="K96" r:id="rId6" display="Clothing, Shoes &amp; Jewelry:Women:Clothing:Active:Skirts &amp; Skorts:Active Skirts" tooltip="https://www.amazon.com/b?node=1046602"/>
    <hyperlink ref="L96" r:id="rId7" display="Clothing, Shoes &amp; Jewelry"/>
    <hyperlink ref="AR96" r:id="rId447" display="https://www.amazon.com/gp/help/seller/at-a-glance.html/ref=dp_merchant_link?seller=AHITYY0DKK64X" tooltip="https://www.amazon.com/gp/help/seller/at-a-glance.html/ref=dp_merchant_link?seller=AHITYY0DKK64X"/>
    <hyperlink ref="B74" r:id="rId448" display="B07Z3DYGPC" tooltip="https://www.amazon.com/dp/B07Z3DYGPC"/>
    <hyperlink ref="F74" r:id="rId449" display="https://www.amazon.com/stores/Ibeauti/page/DA7CF522-D8C1-47C3-BC4D-635BA568C712?ref_=ast_bln&amp;store_ref=bl_ast_dp_brandLogo_sto" tooltip="https://www.amazon.com/stores/Ibeauti/page/DA7CF522-D8C1-47C3-BC4D-635BA568C712?ref_=ast_bln&amp;store_ref=bl_ast_dp_brandLogo_sto"/>
    <hyperlink ref="H74" r:id="rId450" display="https://www.amazon.com/dp/B07Z3DYGPC?psc=1" tooltip="https://www.amazon.com/dp/B07Z3DYGPC?psc=1"/>
    <hyperlink ref="I74" r:id="rId451" display="https://images-na.ssl-images-amazon.com/images/I/71SSv5qFA7L._AC_US600_.jpg" tooltip="https://images-na.ssl-images-amazon.com/images/I/71SSv5qFA7L._AC_US600_.jpg"/>
    <hyperlink ref="J74" r:id="rId448" display="B07Z3DYGPC" tooltip="https://www.amazon.com/dp/B07Z3DYGPC"/>
    <hyperlink ref="K74" r:id="rId6" display="Clothing, Shoes &amp; Jewelry:Women:Clothing:Active:Skirts &amp; Skorts:Active Skirts" tooltip="https://www.amazon.com/b?node=1046602"/>
    <hyperlink ref="L74" r:id="rId7" display="Clothing, Shoes &amp; Jewelry"/>
    <hyperlink ref="AR74" r:id="rId452" display="https://www.amazon.com/gp/help/seller/at-a-glance.html/ref=dp_merchant_link?seller=A2MH65MY8DV99Y" tooltip="https://www.amazon.com/gp/help/seller/at-a-glance.html/ref=dp_merchant_link?seller=A2MH65MY8DV99Y"/>
    <hyperlink ref="B100" r:id="rId453" display="B097F2J334" tooltip="https://www.amazon.com/dp/B097F2J334"/>
    <hyperlink ref="F100" r:id="rId454" display="https://www.amazon.com/stores/Werena/page/92EC3869-06BA-4BDD-94AE-F2B4C7166A32?ref_=ast_bln&amp;store_ref=bl_ast_dp_brandLogo_sto" tooltip="https://www.amazon.com/stores/Werena/page/92EC3869-06BA-4BDD-94AE-F2B4C7166A32?ref_=ast_bln&amp;store_ref=bl_ast_dp_brandLogo_sto"/>
    <hyperlink ref="H100" r:id="rId455" display="https://www.amazon.com/dp/B097F2J334?psc=1" tooltip="https://www.amazon.com/dp/B097F2J334?psc=1"/>
    <hyperlink ref="I100" r:id="rId456" display="https://m.media-amazon.com/images/I/41X6HWdso2L._AC_SR600,600_.jpg" tooltip="https://m.media-amazon.com/images/I/41X6HWdso2L._AC_SR600,600_.jpg"/>
    <hyperlink ref="J100" r:id="rId453" display="B097F2J334" tooltip="https://www.amazon.com/dp/B097F2J334"/>
    <hyperlink ref="K100" r:id="rId6" display="Clothing, Shoes &amp; Jewelry:Women:Clothing:Active:Skirts &amp; Skorts:Active Skirts" tooltip="https://www.amazon.com/b?node=1046602"/>
    <hyperlink ref="L100" r:id="rId7" display="Clothing, Shoes &amp; Jewelry"/>
    <hyperlink ref="AR100" r:id="rId38" display="https://www.amazon.com/gp/help/seller/at-a-glance.html/ref=dp_merchant_link?seller=AYO07RIYQGDLC" tooltip="https://www.amazon.com/gp/help/seller/at-a-glance.html/ref=dp_merchant_link?seller=AYO07RIYQGDLC"/>
    <hyperlink ref="B97" r:id="rId457" display="B0B4FNFD61" tooltip="https://www.amazon.com/dp/B0B4FNFD61"/>
    <hyperlink ref="F97" r:id="rId237" display="https://www.amazon.com/stores/Aurgelmir/page/04964F01-4C86-4940-8DF1-9FE259AA09A8?ref_=ast_bln&amp;store_ref=bl_ast_dp_brandLogo_sto" tooltip="https://www.amazon.com/stores/Aurgelmir/page/04964F01-4C86-4940-8DF1-9FE259AA09A8?ref_=ast_bln&amp;store_ref=bl_ast_dp_brandLogo_sto"/>
    <hyperlink ref="H97" r:id="rId458" display="https://www.amazon.com/dp/B0B4FNFD61?psc=1" tooltip="https://www.amazon.com/dp/B0B4FNFD61?psc=1"/>
    <hyperlink ref="I97" r:id="rId459" display="https://m.media-amazon.com/images/I/31ruMbTOJUL._AC_SR600,600_.jpg" tooltip="https://m.media-amazon.com/images/I/31ruMbTOJUL._AC_SR600,600_.jpg"/>
    <hyperlink ref="J97" r:id="rId457" display="B0B4FNFD61" tooltip="https://www.amazon.com/dp/B0B4FNFD61"/>
    <hyperlink ref="K97" r:id="rId6" display="Clothing, Shoes &amp; Jewelry:Women:Clothing:Active:Skirts &amp; Skorts:Active Skirts" tooltip="https://www.amazon.com/b?node=1046602"/>
    <hyperlink ref="L97" r:id="rId7" display="Clothing, Shoes &amp; Jewelry"/>
    <hyperlink ref="AR97" r:id="rId460" display="https://www.amazon.com/gp/help/seller/at-a-glance.html/ref=dp_merchant_link?seller=A1VF08PZ2BIJ1K" tooltip="https://www.amazon.com/gp/help/seller/at-a-glance.html/ref=dp_merchant_link?seller=A1VF08PZ2BIJ1K"/>
    <hyperlink ref="B69" r:id="rId461" display="B0D7MLB4G9" tooltip="https://www.amazon.com/dp/B0D7MLB4G9"/>
    <hyperlink ref="F69" r:id="rId462" display="https://www.amazon.com/Komorebi/b/ref=bl_sl_s_ap_web_18916816011?ie=UTF8&amp;node=18916816011&amp;field-lbr_brands_browse-bin=Komorebi" tooltip="https://www.amazon.com/Komorebi/b/ref=bl_sl_s_ap_web_18916816011?ie=UTF8&amp;node=18916816011&amp;field-lbr_brands_browse-bin=Komorebi"/>
    <hyperlink ref="H69" r:id="rId463" display="https://www.amazon.com/dp/B0D7MLB4G9?psc=1" tooltip="https://www.amazon.com/dp/B0D7MLB4G9?psc=1"/>
    <hyperlink ref="I69" r:id="rId464" display="https://m.media-amazon.com/images/I/31Cz1dtzZYL._AC_SR600,600_.jpg" tooltip="https://m.media-amazon.com/images/I/31Cz1dtzZYL._AC_SR600,600_.jpg"/>
    <hyperlink ref="J69" r:id="rId461" display="B0D7MLB4G9" tooltip="https://www.amazon.com/dp/B0D7MLB4G9"/>
    <hyperlink ref="K69" r:id="rId6" display="Clothing, Shoes &amp; Jewelry:Women:Clothing:Active:Skirts &amp; Skorts:Active Skirts" tooltip="https://www.amazon.com/b?node=1046602"/>
    <hyperlink ref="L69" r:id="rId7" display="Clothing, Shoes &amp; Jewelry"/>
    <hyperlink ref="AR69" r:id="rId465" display="https://www.amazon.com/gp/help/seller/at-a-glance.html/ref=dp_merchant_link?seller=AMWQF3212ETWM" tooltip="https://www.amazon.com/gp/help/seller/at-a-glance.html/ref=dp_merchant_link?seller=AMWQF3212ETWM"/>
    <hyperlink ref="B87" r:id="rId466" display="B0D1C1LW64" tooltip="https://www.amazon.com/dp/B0D1C1LW64"/>
    <hyperlink ref="F87" r:id="rId97" display="https://www.amazon.com/stores/StelleAthletica/page/92A01961-B5D1-4EA4-A438-84B406B2808B?ref_=ast_bln&amp;store_ref=bl_ast_dp_brandLogo_sto" tooltip="https://www.amazon.com/stores/StelleAthletica/page/92A01961-B5D1-4EA4-A438-84B406B2808B?ref_=ast_bln&amp;store_ref=bl_ast_dp_brandLogo_sto"/>
    <hyperlink ref="H87" r:id="rId467" display="https://www.amazon.com/dp/B0D1C1LW64?psc=1" tooltip="https://www.amazon.com/dp/B0D1C1LW64?psc=1"/>
    <hyperlink ref="I87" r:id="rId468" display="https://m.media-amazon.com/images/I/318j3COTLnL._AC_SR600,600_.jpg" tooltip="https://m.media-amazon.com/images/I/318j3COTLnL._AC_SR600,600_.jpg"/>
    <hyperlink ref="J87" r:id="rId466" display="B0D1C1LW64" tooltip="https://www.amazon.com/dp/B0D1C1LW64"/>
    <hyperlink ref="K87" r:id="rId6" display="Clothing, Shoes &amp; Jewelry:Women:Clothing:Active:Skirts &amp; Skorts:Active Skirts" tooltip="https://www.amazon.com/b?node=1046602"/>
    <hyperlink ref="L87" r:id="rId7" display="Clothing, Shoes &amp; Jewelry"/>
    <hyperlink ref="AR87" r:id="rId101" display="https://www.amazon.com/gp/help/seller/at-a-glance.html/ref=dp_merchant_link?seller=A1ACJK2TICWQAI" tooltip="https://www.amazon.com/gp/help/seller/at-a-glance.html/ref=dp_merchant_link?seller=A1ACJK2TICWQAI"/>
    <hyperlink ref="B91" r:id="rId469" display="B0CSYM9Q7T" tooltip="https://www.amazon.com/dp/B0CSYM9Q7T"/>
    <hyperlink ref="F91" r:id="rId470" display="https://www.amazon.com/stores/COOTRY/page/565D8BF1-4C17-4F9B-A3A2-58AC71AE9048?ref_=ast_bln&amp;store_ref=bl_ast_dp_brandLogo_sto" tooltip="https://www.amazon.com/stores/COOTRY/page/565D8BF1-4C17-4F9B-A3A2-58AC71AE9048?ref_=ast_bln&amp;store_ref=bl_ast_dp_brandLogo_sto"/>
    <hyperlink ref="H91" r:id="rId471" display="https://www.amazon.com/dp/B0CSYM9Q7T?psc=1" tooltip="https://www.amazon.com/dp/B0CSYM9Q7T?psc=1"/>
    <hyperlink ref="I91" r:id="rId472" display="https://images-na.ssl-images-amazon.com/images/I/617UqpBnogL._AC_US600_.jpg" tooltip="https://images-na.ssl-images-amazon.com/images/I/617UqpBnogL._AC_US600_.jpg"/>
    <hyperlink ref="J91" r:id="rId469" display="B0CSYM9Q7T" tooltip="https://www.amazon.com/dp/B0CSYM9Q7T"/>
    <hyperlink ref="K91" r:id="rId6" display="Clothing, Shoes &amp; Jewelry:Women:Clothing:Active:Skirts &amp; Skorts:Active Skirts" tooltip="https://www.amazon.com/b?node=1046602"/>
    <hyperlink ref="L91" r:id="rId7" display="Clothing, Shoes &amp; Jewelry"/>
    <hyperlink ref="AR91" r:id="rId473" display="https://www.amazon.com/gp/help/seller/at-a-glance.html/ref=dp_merchant_link?seller=ANLCQE6VHYYWG" tooltip="https://www.amazon.com/gp/help/seller/at-a-glance.html/ref=dp_merchant_link?seller=ANLCQE6VHYYWG"/>
    <hyperlink ref="B94" r:id="rId474" display="B082SQNRPG" tooltip="https://www.amazon.com/dp/B082SQNRPG"/>
    <hyperlink ref="F94" r:id="rId193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94" r:id="rId475" display="https://www.amazon.com/dp/B082SQNRPG?psc=1" tooltip="https://www.amazon.com/dp/B082SQNRPG?psc=1"/>
    <hyperlink ref="I94" r:id="rId476" display="https://m.media-amazon.com/images/I/41P5VBsiUHL._AC_SR600,600_.jpg" tooltip="https://m.media-amazon.com/images/I/41P5VBsiUHL._AC_SR600,600_.jpg"/>
    <hyperlink ref="J94" r:id="rId474" display="B082SQNRPG" tooltip="https://www.amazon.com/dp/B082SQNRPG"/>
    <hyperlink ref="K94" r:id="rId6" display="Clothing, Shoes &amp; Jewelry:Women:Clothing:Active:Skirts &amp; Skorts:Active Skirts" tooltip="https://www.amazon.com/b?node=1046602"/>
    <hyperlink ref="L94" r:id="rId7" display="Clothing, Shoes &amp; Jewelry"/>
    <hyperlink ref="AR94" r:id="rId197" display="https://www.amazon.com/gp/help/seller/at-a-glance.html/ref=dp_merchant_link?seller=A1CX3Y6OPGB2MO" tooltip="https://www.amazon.com/gp/help/seller/at-a-glance.html/ref=dp_merchant_link?seller=A1CX3Y6OPGB2MO"/>
    <hyperlink ref="B85" r:id="rId477" display="B084KX4SX6" tooltip="https://www.amazon.com/dp/B084KX4SX6"/>
    <hyperlink ref="F85" r:id="rId478" display="https://www.amazon.com/stores/RBX/page/78897117-36E3-4177-9399-6280AE9D7D85?ref_=ast_bln&amp;store_ref=bl_ast_dp_brandLogo_sto" tooltip="https://www.amazon.com/stores/RBX/page/78897117-36E3-4177-9399-6280AE9D7D85?ref_=ast_bln&amp;store_ref=bl_ast_dp_brandLogo_sto"/>
    <hyperlink ref="H85" r:id="rId479" display="https://www.amazon.com/dp/B084KX4SX6?psc=1" tooltip="https://www.amazon.com/dp/B084KX4SX6?psc=1"/>
    <hyperlink ref="I85" r:id="rId480" display="https://images-na.ssl-images-amazon.com/images/I/71SjAUBobQL._AC_US600_.jpg" tooltip="https://images-na.ssl-images-amazon.com/images/I/71SjAUBobQL._AC_US600_.jpg"/>
    <hyperlink ref="J85" r:id="rId477" display="B084KX4SX6" tooltip="https://www.amazon.com/dp/B084KX4SX6"/>
    <hyperlink ref="K85" r:id="rId6" display="Clothing, Shoes &amp; Jewelry:Women:Clothing:Active:Skirts &amp; Skorts:Active Skirts" tooltip="https://www.amazon.com/b?node=1046602"/>
    <hyperlink ref="L85" r:id="rId7" display="Clothing, Shoes &amp; Jewelry"/>
    <hyperlink ref="AR85" r:id="rId481" display="https://www.amazon.com/gp/help/seller/at-a-glance.html/ref=dp_merchant_link?seller=A34BGYZVA31Z8W" tooltip="https://www.amazon.com/gp/help/seller/at-a-glance.html/ref=dp_merchant_link?seller=A34BGYZVA31Z8W"/>
    <hyperlink ref="B90" r:id="rId482" display="B0CYBSMXH6" tooltip="https://www.amazon.com/dp/B0CYBSMXH6"/>
    <hyperlink ref="F90" r:id="rId141" display="https://www.amazon.com/stores/Ewedoos/page/EC71E27C-F065-4B1A-BC11-6864EA5D8E2D?ref_=ast_bln&amp;store_ref=bl_ast_dp_brandLogo_sto" tooltip="https://www.amazon.com/stores/Ewedoos/page/EC71E27C-F065-4B1A-BC11-6864EA5D8E2D?ref_=ast_bln&amp;store_ref=bl_ast_dp_brandLogo_sto"/>
    <hyperlink ref="H90" r:id="rId483" display="https://www.amazon.com/dp/B0CYBSMXH6?psc=1" tooltip="https://www.amazon.com/dp/B0CYBSMXH6?psc=1"/>
    <hyperlink ref="I90" r:id="rId484" display="https://images-na.ssl-images-amazon.com/images/I/715l2cCRN9L._AC_US600_.jpg" tooltip="https://images-na.ssl-images-amazon.com/images/I/715l2cCRN9L._AC_US600_.jpg"/>
    <hyperlink ref="J90" r:id="rId482" display="B0CYBSMXH6" tooltip="https://www.amazon.com/dp/B0CYBSMXH6"/>
    <hyperlink ref="K90" r:id="rId6" display="Clothing, Shoes &amp; Jewelry:Women:Clothing:Active:Skirts &amp; Skorts:Active Skirts" tooltip="https://www.amazon.com/b?node=1046602"/>
    <hyperlink ref="L90" r:id="rId7" display="Clothing, Shoes &amp; Jewelry"/>
    <hyperlink ref="AR90" r:id="rId145" display="https://www.amazon.com/gp/help/seller/at-a-glance.html/ref=dp_merchant_link?seller=A2HNL56YD62DB3" tooltip="https://www.amazon.com/gp/help/seller/at-a-glance.html/ref=dp_merchant_link?seller=A2HNL56YD62DB3"/>
    <hyperlink ref="B95" r:id="rId485" display="B0CRBF2DBC" tooltip="https://www.amazon.com/dp/B0CRBF2DBC"/>
    <hyperlink ref="F95" r:id="rId393" display="https://www.amazon.com/stores/Blaosn/page/B0F6364E-0AC6-4DE3-9E97-1E4EC22AC043?ref_=ast_bln&amp;store_ref=bl_ast_dp_brandLogo_sto" tooltip="https://www.amazon.com/stores/Blaosn/page/B0F6364E-0AC6-4DE3-9E97-1E4EC22AC043?ref_=ast_bln&amp;store_ref=bl_ast_dp_brandLogo_sto"/>
    <hyperlink ref="H95" r:id="rId486" display="https://www.amazon.com/dp/B0CRBF2DBC?psc=1" tooltip="https://www.amazon.com/dp/B0CRBF2DBC?psc=1"/>
    <hyperlink ref="I95" r:id="rId487" display="https://images-na.ssl-images-amazon.com/images/I/61LqIkqV8uL._AC_US600_.jpg" tooltip="https://images-na.ssl-images-amazon.com/images/I/61LqIkqV8uL._AC_US600_.jpg"/>
    <hyperlink ref="J95" r:id="rId485" display="B0CRBF2DBC" tooltip="https://www.amazon.com/dp/B0CRBF2DBC"/>
    <hyperlink ref="K95" r:id="rId6" display="Clothing, Shoes &amp; Jewelry:Women:Clothing:Active:Skirts &amp; Skorts:Active Skirts" tooltip="https://www.amazon.com/b?node=1046602"/>
    <hyperlink ref="L95" r:id="rId7" display="Clothing, Shoes &amp; Jewelry"/>
    <hyperlink ref="AR95" r:id="rId396" display="https://www.amazon.com/gp/help/seller/at-a-glance.html/ref=dp_merchant_link?seller=A2KB57SF0224RC" tooltip="https://www.amazon.com/gp/help/seller/at-a-glance.html/ref=dp_merchant_link?seller=A2KB57SF0224RC"/>
    <hyperlink ref="B98" r:id="rId488" display="B0CSJN478G" tooltip="https://www.amazon.com/dp/B0CSJN478G"/>
    <hyperlink ref="F98" r:id="rId489" display="https://www.amazon.com/stores/MIER/page/AF290D77-EAC6-4050-921D-8847D5493E1F?ref_=ast_bln&amp;store_ref=bl_ast_dp_brandLogo_sto" tooltip="https://www.amazon.com/stores/MIER/page/AF290D77-EAC6-4050-921D-8847D5493E1F?ref_=ast_bln&amp;store_ref=bl_ast_dp_brandLogo_sto"/>
    <hyperlink ref="H98" r:id="rId490" display="https://www.amazon.com/dp/B0CSJN478G?psc=1" tooltip="https://www.amazon.com/dp/B0CSJN478G?psc=1"/>
    <hyperlink ref="I98" r:id="rId491" display="https://m.media-amazon.com/images/I/31bxgwxMJVL._AC_SR600,600_.jpg" tooltip="https://m.media-amazon.com/images/I/31bxgwxMJVL._AC_SR600,600_.jpg"/>
    <hyperlink ref="J98" r:id="rId488" display="B0CSJN478G" tooltip="https://www.amazon.com/dp/B0CSJN478G"/>
    <hyperlink ref="K98" r:id="rId6" display="Clothing, Shoes &amp; Jewelry:Women:Clothing:Active:Skirts &amp; Skorts:Active Skirts" tooltip="https://www.amazon.com/b?node=1046602"/>
    <hyperlink ref="L98" r:id="rId7" display="Clothing, Shoes &amp; Jewelry"/>
    <hyperlink ref="AR98" r:id="rId492" display="https://www.amazon.com/gp/help/seller/at-a-glance.html/ref=dp_merchant_link?seller=A12D6DYWZULY97" tooltip="https://www.amazon.com/gp/help/seller/at-a-glance.html/ref=dp_merchant_link?seller=A12D6DYWZULY97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4.4" outlineLevelRow="6"/>
  <cols>
    <col min="1" max="1" width="150" style="4" customWidth="1"/>
  </cols>
  <sheetData>
    <row r="1" s="2" customFormat="1" ht="45" customHeight="1" spans="1:1">
      <c r="A1" s="5" t="s">
        <v>1413</v>
      </c>
    </row>
    <row r="2" s="2" customFormat="1" ht="45" customHeight="1" spans="1:1">
      <c r="A2" s="5" t="s">
        <v>1414</v>
      </c>
    </row>
    <row r="3" s="2" customFormat="1" ht="100" customHeight="1" spans="1:1">
      <c r="A3" s="5" t="s">
        <v>1415</v>
      </c>
    </row>
    <row r="4" s="2" customFormat="1" ht="45" customHeight="1" spans="1:1">
      <c r="A4" s="5" t="s">
        <v>1416</v>
      </c>
    </row>
    <row r="5" s="2" customFormat="1" ht="45" customHeight="1" spans="1:1">
      <c r="A5" s="5" t="s">
        <v>1417</v>
      </c>
    </row>
    <row r="6" s="3" customFormat="1" ht="45" customHeight="1" spans="1:1">
      <c r="A6" s="6" t="s">
        <v>1418</v>
      </c>
    </row>
    <row r="7" ht="45" customHeight="1" spans="1:1">
      <c r="A7" s="7" t="s">
        <v>1419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E8" sqref="E8"/>
    </sheetView>
  </sheetViews>
  <sheetFormatPr defaultColWidth="8.88888888888889" defaultRowHeight="14.4" outlineLevelRow="2"/>
  <sheetData>
    <row r="1" ht="45.75" customHeight="1" spans="1:1">
      <c r="A1" s="1"/>
    </row>
    <row r="2" ht="45.75" customHeight="1" spans="1:1">
      <c r="A2" s="1"/>
    </row>
    <row r="3" ht="45.75" customHeight="1" spans="1:1">
      <c r="A3" s="1"/>
    </row>
  </sheetData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G9" sqref="G9"/>
    </sheetView>
  </sheetViews>
  <sheetFormatPr defaultColWidth="8.88888888888889" defaultRowHeight="14.4"/>
  <sheetData>
    <row r="1" ht="45.75" customHeight="1" spans="1:1">
      <c r="A1" s="1"/>
    </row>
    <row r="2" ht="45.75" customHeight="1" spans="1:1">
      <c r="A2" s="1"/>
    </row>
    <row r="3" ht="45.75" customHeight="1" spans="1:1">
      <c r="A3" s="1"/>
    </row>
    <row r="4" ht="45.75" customHeight="1" spans="1:1">
      <c r="A4" s="1"/>
    </row>
    <row r="5" ht="45.75" customHeight="1" spans="1:1">
      <c r="A5" s="1"/>
    </row>
    <row r="6" ht="45.75" customHeight="1" spans="1:1">
      <c r="A6" s="1"/>
    </row>
    <row r="7" ht="45.75" customHeight="1" spans="1:1">
      <c r="A7" s="1"/>
    </row>
    <row r="8" ht="45.75" customHeight="1" spans="1:1">
      <c r="A8" s="1"/>
    </row>
    <row r="9" ht="45.75" customHeight="1" spans="1:1">
      <c r="A9" s="1"/>
    </row>
    <row r="10" ht="45.75" customHeight="1" spans="1:1">
      <c r="A10" s="1"/>
    </row>
    <row r="11" ht="45.75" customHeight="1" spans="1:1">
      <c r="A11" s="1"/>
    </row>
    <row r="12" ht="45.75" customHeight="1" spans="1:1">
      <c r="A12" s="1"/>
    </row>
    <row r="13" ht="45.75" customHeight="1" spans="1:1">
      <c r="A13" s="1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US</vt:lpstr>
      <vt:lpstr>Note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8226982979</cp:lastModifiedBy>
  <dcterms:created xsi:type="dcterms:W3CDTF">2024-10-31T10:32:00Z</dcterms:created>
  <dcterms:modified xsi:type="dcterms:W3CDTF">2024-11-06T01:09:49Z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8E17A7267F214D2F9B846396A81FFD22_12</vt:lpwstr>
  </property>
  <property fmtid="{D5CDD505-2E9C-101B-9397-08002B2CF9AE}" pid="3" name="KSOProductBuildVer">
    <vt:lpwstr>2052-12.1.0.18608</vt:lpwstr>
  </property>
</Properties>
</file>