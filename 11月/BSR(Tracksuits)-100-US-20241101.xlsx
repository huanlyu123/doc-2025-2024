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3040" windowHeight="9180"/>
  </bookViews>
  <sheets>
    <sheet name="US" sheetId="1" r:id="rId1"/>
    <sheet name="Note" sheetId="2" r:id="rId2"/>
    <sheet name="Sheet1" sheetId="3" r:id="rId3"/>
    <sheet name="Sheet2" sheetId="4" r:id="rId4"/>
  </sheets>
  <definedNames>
    <definedName name="_xlnm._FilterDatabase" localSheetId="0" hidden="1">US!$A$1:$BF$101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1" name="ID_FFBA0941EEE44A7AAE18AF803BC81C4C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</etc:cellImage>
  <etc:cellImage>
    <xdr:pic>
      <xdr:nvPicPr>
        <xdr:cNvPr id="100" name="ID_9F5B6BCFE01C49B0AB8F0BA20FEE8FD5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</etc:cellImage>
  <etc:cellImage>
    <xdr:pic>
      <xdr:nvPicPr>
        <xdr:cNvPr id="99" name="ID_8EA22A040FF4497395972C2871DB9399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</etc:cellImage>
  <etc:cellImage>
    <xdr:pic>
      <xdr:nvPicPr>
        <xdr:cNvPr id="98" name="ID_591DCB69E703407BBD54036373B2BA2F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</etc:cellImage>
  <etc:cellImage>
    <xdr:pic>
      <xdr:nvPicPr>
        <xdr:cNvPr id="97" name="ID_EEADA0FD12FC4A41A93FB336472D2259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</etc:cellImage>
  <etc:cellImage>
    <xdr:pic>
      <xdr:nvPicPr>
        <xdr:cNvPr id="96" name="ID_3F8A28B2CB034D24ADA051238F5CE20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</etc:cellImage>
  <etc:cellImage>
    <xdr:pic>
      <xdr:nvPicPr>
        <xdr:cNvPr id="95" name="ID_EF821CABAE374D88AB8856B8FC2E797D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</etc:cellImage>
  <etc:cellImage>
    <xdr:pic>
      <xdr:nvPicPr>
        <xdr:cNvPr id="94" name="ID_F878261AD8E047EE8FD46F8133300D16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</etc:cellImage>
  <etc:cellImage>
    <xdr:pic>
      <xdr:nvPicPr>
        <xdr:cNvPr id="93" name="ID_6C2DDB60828F4382B3D1E85C7648386C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</etc:cellImage>
  <etc:cellImage>
    <xdr:pic>
      <xdr:nvPicPr>
        <xdr:cNvPr id="92" name="ID_878FA0F5453A4CA8A9408B3EF290485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</etc:cellImage>
  <etc:cellImage>
    <xdr:pic>
      <xdr:nvPicPr>
        <xdr:cNvPr id="91" name="ID_6F930E1E9B69409F80E8DC53475E9FD3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</etc:cellImage>
  <etc:cellImage>
    <xdr:pic>
      <xdr:nvPicPr>
        <xdr:cNvPr id="90" name="ID_29F2977D9E494CDBA57634110D6D6EE9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</etc:cellImage>
  <etc:cellImage>
    <xdr:pic>
      <xdr:nvPicPr>
        <xdr:cNvPr id="89" name="ID_92626A75FD314075A976BCF11AB9B876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</etc:cellImage>
  <etc:cellImage>
    <xdr:pic>
      <xdr:nvPicPr>
        <xdr:cNvPr id="88" name="ID_7ECA72034642459D884D0033D4AF78CC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</etc:cellImage>
  <etc:cellImage>
    <xdr:pic>
      <xdr:nvPicPr>
        <xdr:cNvPr id="87" name="ID_D14C6616CF2C440F9A4210FE77713D94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</etc:cellImage>
  <etc:cellImage>
    <xdr:pic>
      <xdr:nvPicPr>
        <xdr:cNvPr id="86" name="ID_21589562F8FE432388C8C800EAE5B442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</etc:cellImage>
  <etc:cellImage>
    <xdr:pic>
      <xdr:nvPicPr>
        <xdr:cNvPr id="85" name="ID_FF76363E5A5E43AB8B1A1418095ACF70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</etc:cellImage>
  <etc:cellImage>
    <xdr:pic>
      <xdr:nvPicPr>
        <xdr:cNvPr id="84" name="ID_139363D2A9964BCB82E6D3436B9918BB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</etc:cellImage>
  <etc:cellImage>
    <xdr:pic>
      <xdr:nvPicPr>
        <xdr:cNvPr id="83" name="ID_D0036FEC6E694C199F1A25E9F0574CB2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</etc:cellImage>
  <etc:cellImage>
    <xdr:pic>
      <xdr:nvPicPr>
        <xdr:cNvPr id="82" name="ID_9798E92E1620454786542F899214D3F3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</etc:cellImage>
  <etc:cellImage>
    <xdr:pic>
      <xdr:nvPicPr>
        <xdr:cNvPr id="81" name="ID_92D89497A28A4CFBBBDDBCBAA4A3105D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</etc:cellImage>
  <etc:cellImage>
    <xdr:pic>
      <xdr:nvPicPr>
        <xdr:cNvPr id="80" name="ID_F1A9400964AC4586B750D46EA1FF6808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</etc:cellImage>
  <etc:cellImage>
    <xdr:pic>
      <xdr:nvPicPr>
        <xdr:cNvPr id="79" name="ID_FF3CE515D2A24677BCC40F91CB5D7FF7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</etc:cellImage>
  <etc:cellImage>
    <xdr:pic>
      <xdr:nvPicPr>
        <xdr:cNvPr id="78" name="ID_5592E824DE0248CBBF1FDD90397142E5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</etc:cellImage>
  <etc:cellImage>
    <xdr:pic>
      <xdr:nvPicPr>
        <xdr:cNvPr id="77" name="ID_AA72BD4B6776452EA89F222F56B9B2AD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</etc:cellImage>
  <etc:cellImage>
    <xdr:pic>
      <xdr:nvPicPr>
        <xdr:cNvPr id="76" name="ID_3CECA8EFAE1A4E58BA0716EE18456AE1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</etc:cellImage>
  <etc:cellImage>
    <xdr:pic>
      <xdr:nvPicPr>
        <xdr:cNvPr id="75" name="ID_81330CACAC2D4E80B494FE14EAB7C74C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</etc:cellImage>
  <etc:cellImage>
    <xdr:pic>
      <xdr:nvPicPr>
        <xdr:cNvPr id="74" name="ID_EF82C70F2EB44FFA814F70ADF247B6C1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</etc:cellImage>
  <etc:cellImage>
    <xdr:pic>
      <xdr:nvPicPr>
        <xdr:cNvPr id="73" name="ID_9AA7C579735045AF8C59C0DB7975AAD4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</etc:cellImage>
  <etc:cellImage>
    <xdr:pic>
      <xdr:nvPicPr>
        <xdr:cNvPr id="72" name="ID_CFD7CF63601948D0AB15C9185149EDB7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</etc:cellImage>
  <etc:cellImage>
    <xdr:pic>
      <xdr:nvPicPr>
        <xdr:cNvPr id="71" name="ID_5B11A8AEA7F64A059874155D4043CC73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</etc:cellImage>
  <etc:cellImage>
    <xdr:pic>
      <xdr:nvPicPr>
        <xdr:cNvPr id="70" name="ID_E2B8806CC43F4EF88BB907EDAF3F5D76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</etc:cellImage>
  <etc:cellImage>
    <xdr:pic>
      <xdr:nvPicPr>
        <xdr:cNvPr id="69" name="ID_F6F7C3B469644A9DB457686607B7F40E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</etc:cellImage>
  <etc:cellImage>
    <xdr:pic>
      <xdr:nvPicPr>
        <xdr:cNvPr id="68" name="ID_6542334331654E45A36CA8FA605CA550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</etc:cellImage>
  <etc:cellImage>
    <xdr:pic>
      <xdr:nvPicPr>
        <xdr:cNvPr id="67" name="ID_506C786A33B24BFA93CF0DA785871212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</etc:cellImage>
  <etc:cellImage>
    <xdr:pic>
      <xdr:nvPicPr>
        <xdr:cNvPr id="66" name="ID_585AE393698841E38FE901DABAAFB8FC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</etc:cellImage>
  <etc:cellImage>
    <xdr:pic>
      <xdr:nvPicPr>
        <xdr:cNvPr id="9" name="ID_E8C29E202388409A9668909C70E63EC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</etc:cellImage>
  <etc:cellImage>
    <xdr:pic>
      <xdr:nvPicPr>
        <xdr:cNvPr id="8" name="ID_F3A7A4F2C4024D23A2D001739BCFC0D5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</etc:cellImage>
  <etc:cellImage>
    <xdr:pic>
      <xdr:nvPicPr>
        <xdr:cNvPr id="7" name="ID_A7857CBA3F804E8AA4A13C3E7F3DC78B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</etc:cellImage>
  <etc:cellImage>
    <xdr:pic>
      <xdr:nvPicPr>
        <xdr:cNvPr id="6" name="ID_88BF2F1A26084DBF835EBF2925FB1342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</etc:cellImage>
  <etc:cellImage>
    <xdr:pic>
      <xdr:nvPicPr>
        <xdr:cNvPr id="5" name="ID_BE67C2CDA775435AA47F93DBDF27BB42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</etc:cellImage>
  <etc:cellImage>
    <xdr:pic>
      <xdr:nvPicPr>
        <xdr:cNvPr id="4" name="ID_A36799880F694DB79209D093CF5492E0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</etc:cellImage>
  <etc:cellImage>
    <xdr:pic>
      <xdr:nvPicPr>
        <xdr:cNvPr id="3" name="ID_86FA167D75334993B916C85688E5E071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</etc:cellImage>
  <etc:cellImage>
    <xdr:pic>
      <xdr:nvPicPr>
        <xdr:cNvPr id="2" name="ID_B13AB42DF50D4C48AA1AE8CCFB525613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</etc:cellImage>
  <etc:cellImage>
    <xdr:pic>
      <xdr:nvPicPr>
        <xdr:cNvPr id="10" name="ID_67D9850C276F423EA60B8D5FEE747232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</etc:cellImage>
  <etc:cellImage>
    <xdr:pic>
      <xdr:nvPicPr>
        <xdr:cNvPr id="11" name="ID_BA6C54793FF14186A3843C6CE284AED2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</etc:cellImage>
  <etc:cellImage>
    <xdr:pic>
      <xdr:nvPicPr>
        <xdr:cNvPr id="12" name="ID_BA77186E161D4A248E1BB004213BBF86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</etc:cellImage>
  <etc:cellImage>
    <xdr:pic>
      <xdr:nvPicPr>
        <xdr:cNvPr id="13" name="ID_0D33FAA1DB0349B193E8B4566705AC6D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</etc:cellImage>
  <etc:cellImage>
    <xdr:pic>
      <xdr:nvPicPr>
        <xdr:cNvPr id="14" name="ID_350893B233E54119BE48FB39FBBB26D2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</etc:cellImage>
  <etc:cellImage>
    <xdr:pic>
      <xdr:nvPicPr>
        <xdr:cNvPr id="15" name="ID_2DDC1B823D454E038D182DD3D2A568F7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</etc:cellImage>
  <etc:cellImage>
    <xdr:pic>
      <xdr:nvPicPr>
        <xdr:cNvPr id="16" name="ID_B24B58BCE6544D14AC8E7EEAA0DEECA6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</etc:cellImage>
  <etc:cellImage>
    <xdr:pic>
      <xdr:nvPicPr>
        <xdr:cNvPr id="17" name="ID_4339F78E0F5742BBB03C2C3205B4D8A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</etc:cellImage>
  <etc:cellImage>
    <xdr:pic>
      <xdr:nvPicPr>
        <xdr:cNvPr id="18" name="ID_15C2BC85865A4D709A0462C2CC95BA8E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</etc:cellImage>
  <etc:cellImage>
    <xdr:pic>
      <xdr:nvPicPr>
        <xdr:cNvPr id="19" name="ID_B37207925BCD420F8361BAB59617C3CD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</etc:cellImage>
  <etc:cellImage>
    <xdr:pic>
      <xdr:nvPicPr>
        <xdr:cNvPr id="20" name="ID_7EC23E60FCCC470A9F3502AF991C8B5C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</etc:cellImage>
  <etc:cellImage>
    <xdr:pic>
      <xdr:nvPicPr>
        <xdr:cNvPr id="21" name="ID_6FDBA9B1541B49AD847967B0EB94F52A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</etc:cellImage>
  <etc:cellImage>
    <xdr:pic>
      <xdr:nvPicPr>
        <xdr:cNvPr id="22" name="ID_99151A3C0EB54943B1EAE48682CC4B9F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</etc:cellImage>
  <etc:cellImage>
    <xdr:pic>
      <xdr:nvPicPr>
        <xdr:cNvPr id="23" name="ID_9CF097CAA4054475B9CDA400313F1E2A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</etc:cellImage>
  <etc:cellImage>
    <xdr:pic>
      <xdr:nvPicPr>
        <xdr:cNvPr id="24" name="ID_AC7D3EE6AF9A4C708343892AEA810C2A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</etc:cellImage>
  <etc:cellImage>
    <xdr:pic>
      <xdr:nvPicPr>
        <xdr:cNvPr id="25" name="ID_EE6913334A7E47B7AC37B29603DBC6F6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</etc:cellImage>
  <etc:cellImage>
    <xdr:pic>
      <xdr:nvPicPr>
        <xdr:cNvPr id="26" name="ID_8FB0922C5EEA452B99D2FA0DAC310A9E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</etc:cellImage>
  <etc:cellImage>
    <xdr:pic>
      <xdr:nvPicPr>
        <xdr:cNvPr id="27" name="ID_B44E0099ECCE4DF09138E60132870E2A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</etc:cellImage>
  <etc:cellImage>
    <xdr:pic>
      <xdr:nvPicPr>
        <xdr:cNvPr id="28" name="ID_CDF186A7D6044172B61655AA0C437008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</etc:cellImage>
  <etc:cellImage>
    <xdr:pic>
      <xdr:nvPicPr>
        <xdr:cNvPr id="29" name="ID_DD908389575B446690C9794BDDCE7ABF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</etc:cellImage>
  <etc:cellImage>
    <xdr:pic>
      <xdr:nvPicPr>
        <xdr:cNvPr id="30" name="ID_2D60AA4402B24A9E8FB0EF74F65CBBE8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</etc:cellImage>
  <etc:cellImage>
    <xdr:pic>
      <xdr:nvPicPr>
        <xdr:cNvPr id="31" name="ID_BCCBB93B83BA423E86CA39E3F20D041D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</etc:cellImage>
  <etc:cellImage>
    <xdr:pic>
      <xdr:nvPicPr>
        <xdr:cNvPr id="32" name="ID_2C5BB409C4664E27904925F0F400C946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</etc:cellImage>
  <etc:cellImage>
    <xdr:pic>
      <xdr:nvPicPr>
        <xdr:cNvPr id="33" name="ID_4764690224E94C5A9652F08C2ACED4FF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</etc:cellImage>
  <etc:cellImage>
    <xdr:pic>
      <xdr:nvPicPr>
        <xdr:cNvPr id="34" name="ID_F887AFC850AD477D998B354C3E0CB088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</etc:cellImage>
  <etc:cellImage>
    <xdr:pic>
      <xdr:nvPicPr>
        <xdr:cNvPr id="35" name="ID_7D3C7D4FE79F4F059397FDFA51FA80FC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</etc:cellImage>
  <etc:cellImage>
    <xdr:pic>
      <xdr:nvPicPr>
        <xdr:cNvPr id="36" name="ID_26156A1980284F27A3CE88B92EB577CC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</etc:cellImage>
  <etc:cellImage>
    <xdr:pic>
      <xdr:nvPicPr>
        <xdr:cNvPr id="37" name="ID_85A7E0A0B8BF46EFB8C58CC782AB1EF0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</etc:cellImage>
  <etc:cellImage>
    <xdr:pic>
      <xdr:nvPicPr>
        <xdr:cNvPr id="38" name="ID_0C03FD57A8D148E28177CB8FD76DCC92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</etc:cellImage>
  <etc:cellImage>
    <xdr:pic>
      <xdr:nvPicPr>
        <xdr:cNvPr id="39" name="ID_E898478B338D4FA485AB807B033EECBE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</etc:cellImage>
  <etc:cellImage>
    <xdr:pic>
      <xdr:nvPicPr>
        <xdr:cNvPr id="40" name="ID_7962F616F2CC4BE291A0FBABBE1186D3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</etc:cellImage>
  <etc:cellImage>
    <xdr:pic>
      <xdr:nvPicPr>
        <xdr:cNvPr id="41" name="ID_426530DDE2464F3DBB6A793F4AE0F1E7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</etc:cellImage>
  <etc:cellImage>
    <xdr:pic>
      <xdr:nvPicPr>
        <xdr:cNvPr id="42" name="ID_1F3111EFE1834636B948270338089084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</etc:cellImage>
  <etc:cellImage>
    <xdr:pic>
      <xdr:nvPicPr>
        <xdr:cNvPr id="43" name="ID_DCA78E78950045DE9294494BBEDBC33C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</etc:cellImage>
  <etc:cellImage>
    <xdr:pic>
      <xdr:nvPicPr>
        <xdr:cNvPr id="44" name="ID_F114FB6E47D044198503C6CF4F20AB4C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</etc:cellImage>
  <etc:cellImage>
    <xdr:pic>
      <xdr:nvPicPr>
        <xdr:cNvPr id="45" name="ID_928FBAACBB09488382C7758833B67DB5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</etc:cellImage>
  <etc:cellImage>
    <xdr:pic>
      <xdr:nvPicPr>
        <xdr:cNvPr id="46" name="ID_BE442C1CDB0345AA9872AD57B6CA8C27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</etc:cellImage>
  <etc:cellImage>
    <xdr:pic>
      <xdr:nvPicPr>
        <xdr:cNvPr id="47" name="ID_404381DE8BE940139BFC254F17A37F0F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</etc:cellImage>
  <etc:cellImage>
    <xdr:pic>
      <xdr:nvPicPr>
        <xdr:cNvPr id="48" name="ID_6E53FEB405BF49FDA766B029E28BC971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</etc:cellImage>
  <etc:cellImage>
    <xdr:pic>
      <xdr:nvPicPr>
        <xdr:cNvPr id="49" name="ID_A4BD95FC30BE48F7994AE33CB4B929AF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</etc:cellImage>
  <etc:cellImage>
    <xdr:pic>
      <xdr:nvPicPr>
        <xdr:cNvPr id="50" name="ID_F7B118C1919A4459A02AA34C62FAE403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</etc:cellImage>
  <etc:cellImage>
    <xdr:pic>
      <xdr:nvPicPr>
        <xdr:cNvPr id="51" name="ID_0FED23B694874EBAAEB3C50B413A4927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</etc:cellImage>
  <etc:cellImage>
    <xdr:pic>
      <xdr:nvPicPr>
        <xdr:cNvPr id="52" name="ID_0913A62199684CC985B9C47A698489E4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</etc:cellImage>
  <etc:cellImage>
    <xdr:pic>
      <xdr:nvPicPr>
        <xdr:cNvPr id="53" name="ID_74596E76856C4959BE98081534CD8C73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</etc:cellImage>
  <etc:cellImage>
    <xdr:pic>
      <xdr:nvPicPr>
        <xdr:cNvPr id="54" name="ID_D96F34ED08A74AAC88C3DF40E73EB254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</etc:cellImage>
  <etc:cellImage>
    <xdr:pic>
      <xdr:nvPicPr>
        <xdr:cNvPr id="55" name="ID_7BA8B097E3704116A456CAD408F3C56B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</etc:cellImage>
  <etc:cellImage>
    <xdr:pic>
      <xdr:nvPicPr>
        <xdr:cNvPr id="56" name="ID_AD38CF5B542744F5A26A3AC50D06165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</etc:cellImage>
  <etc:cellImage>
    <xdr:pic>
      <xdr:nvPicPr>
        <xdr:cNvPr id="57" name="ID_3081B06DEA6A413F978358DEB8B358EA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</etc:cellImage>
  <etc:cellImage>
    <xdr:pic>
      <xdr:nvPicPr>
        <xdr:cNvPr id="58" name="ID_4DCC23E4EBE24339886E074514AD86AB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</etc:cellImage>
  <etc:cellImage>
    <xdr:pic>
      <xdr:nvPicPr>
        <xdr:cNvPr id="59" name="ID_EE346A2F3962438C8C61B799C644E0B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</etc:cellImage>
  <etc:cellImage>
    <xdr:pic>
      <xdr:nvPicPr>
        <xdr:cNvPr id="60" name="ID_98898CFE40A443A580B2FFC835F2EBDE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</etc:cellImage>
  <etc:cellImage>
    <xdr:pic>
      <xdr:nvPicPr>
        <xdr:cNvPr id="61" name="ID_FCEC68FB89FD4F5AA89D2AD44292AE9E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</etc:cellImage>
  <etc:cellImage>
    <xdr:pic>
      <xdr:nvPicPr>
        <xdr:cNvPr id="62" name="ID_40403643C295424D951E5BC73537F81B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</etc:cellImage>
  <etc:cellImage>
    <xdr:pic>
      <xdr:nvPicPr>
        <xdr:cNvPr id="63" name="ID_1C64EAD89FBB4D53A7A660B776D08C1D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</etc:cellImage>
  <etc:cellImage>
    <xdr:pic>
      <xdr:nvPicPr>
        <xdr:cNvPr id="64" name="ID_E5BF230EFE8444D9BD6DF8E911B7FB2F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</etc:cellImage>
  <etc:cellImage>
    <xdr:pic>
      <xdr:nvPicPr>
        <xdr:cNvPr id="65" name="ID_D0FDB4A1055F429BA001157EE2960EC1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<sst xmlns="http://schemas.openxmlformats.org/spreadsheetml/2006/main" count="3505" uniqueCount="1263">
  <si>
    <t>图片</t>
  </si>
  <si>
    <t>ASIN</t>
  </si>
  <si>
    <t>SKU</t>
  </si>
  <si>
    <t>详细参数</t>
  </si>
  <si>
    <t>品牌</t>
  </si>
  <si>
    <t>品牌链接</t>
  </si>
  <si>
    <t>商品标题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</si>
  <si>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</si>
  <si>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</si>
  <si>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</si>
  <si>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</si>
  <si>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</si>
  <si>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</si>
  <si>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</si>
  <si>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</si>
  <si>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</si>
  <si>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</si>
  <si>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</si>
  <si>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</si>
  <si>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</si>
  <si>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</si>
  <si>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</si>
  <si>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</si>
  <si>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</si>
  <si>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</si>
  <si>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</si>
  <si>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</si>
  <si>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</si>
  <si>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
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</si>
  <si>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</si>
  <si>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</si>
  <si>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</si>
  <si>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</si>
  <si>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</si>
  <si>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</si>
  <si>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</si>
  <si>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</si>
  <si>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</si>
  <si>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</si>
  <si>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</si>
  <si>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</si>
  <si>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</si>
  <si>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</si>
  <si>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</si>
  <si>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</si>
  <si>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</si>
  <si>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</si>
  <si>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</si>
  <si>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</si>
  <si>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</si>
  <si>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</si>
  <si>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</si>
  <si>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</si>
  <si>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</si>
  <si>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重量</t>
  </si>
  <si>
    <t>体积</t>
  </si>
  <si>
    <t>B0CC983BYN</t>
  </si>
  <si>
    <t>Size: Medium | Color: Coffeegrey</t>
  </si>
  <si>
    <t>Fabric type: 50%polyester,50%cotton | Care instructions: Machine Wash | Origin: Imported | Country of Origin: China</t>
  </si>
  <si>
    <t>AUTOMET</t>
  </si>
  <si>
    <t>https://www.amazon.com/stores/AUTOMET/page/FCCD3AC0-B62A-45A7-BF7C-452CD65FDF26?ref_=ast_bln&amp;store_ref=bl_ast_dp_brandLogo_sto</t>
  </si>
  <si>
    <t>AUTOMET Womens 2 Piece Outfits Lounge Hoodie Sweatsuit Sets Oversized Sweatshirt Baggy Fall Fashion Sweatpants with Pockets</t>
  </si>
  <si>
    <t>https://www.amazon.com/dp/B0CC983BYN?psc=1</t>
  </si>
  <si>
    <t>https://m.media-amazon.com/images/I/31Oho2JLoyL._AC_SR600,600_.jpg</t>
  </si>
  <si>
    <t>B0CVVNZQ2M</t>
  </si>
  <si>
    <t>Clothing, Shoes &amp; Jewelry:Women:Clothing:Active:Sets:Tracksuits</t>
  </si>
  <si>
    <t>Clothing, Shoes &amp; Jewelry</t>
  </si>
  <si>
    <t>Women's Tracksuits</t>
  </si>
  <si>
    <t>1</t>
  </si>
  <si>
    <t>1,000</t>
  </si>
  <si>
    <t>2023-07-18</t>
  </si>
  <si>
    <t>FBA</t>
  </si>
  <si>
    <t>Automet-US</t>
  </si>
  <si>
    <t>CN</t>
  </si>
  <si>
    <t xml:space="preserve">公司名称：Guangzhou Yili Network Technology Co., Ltd.
办公地址：
嘉禾街道鹤龙二路259号
为邦创意园 14栋301室
广州市
白云区
广东省
510440
CN
</t>
  </si>
  <si>
    <t>https://www.amazon.com/gp/help/seller/at-a-glance.html/ref=dp_merchant_link?seller=AB2NECOE3B4S7</t>
  </si>
  <si>
    <t>Y</t>
  </si>
  <si>
    <t/>
  </si>
  <si>
    <t>2.56 Pounds</t>
  </si>
  <si>
    <t>1.16 kg</t>
  </si>
  <si>
    <t>16.85 x 12.87 x 2.87 inches</t>
  </si>
  <si>
    <t>42.80 x 32.69 x 7.29 cm</t>
  </si>
  <si>
    <t>B0C3QS2K65</t>
  </si>
  <si>
    <t>Size: Medium | Color: Black</t>
  </si>
  <si>
    <t>Fabric type: 50% rayon + 45% polyester + 5% spandex | Care instructions: Machine Wash | Origin: Imported</t>
  </si>
  <si>
    <t>ANRABESS</t>
  </si>
  <si>
    <t>https://www.amazon.com/stores/ANRABESS/page/937C5045-E1CD-46BB-99F1-38FA5C0E3B27?ref_=ast_bln&amp;store_ref=bl_ast_dp_brandLogo_sto</t>
  </si>
  <si>
    <t>ANRABESS Women 2 Piece Outfits Sweatsuit Oversized Sweatshirt Sweatpants Tracksuit Sweat Lounge Matching Set 2024 Fall Trendy</t>
  </si>
  <si>
    <t>https://www.amazon.com/dp/B0C3QS2K65?psc=1</t>
  </si>
  <si>
    <t>https://images-na.ssl-images-amazon.com/images/I/51RqYmL9tML._AC_US600_.jpg</t>
  </si>
  <si>
    <t>B0CM5QT2DG</t>
  </si>
  <si>
    <t>2</t>
  </si>
  <si>
    <t>4,000</t>
  </si>
  <si>
    <t>10%</t>
  </si>
  <si>
    <t>2023-04-27</t>
  </si>
  <si>
    <t xml:space="preserve">公司名称：Yiwu Ceteng e-commerce firm
办公地址：
稠江街道楼下村四区22幢3单元205室
金华市
义乌市
浙江省
322001
CN
</t>
  </si>
  <si>
    <t>https://www.amazon.com/gp/help/seller/at-a-glance.html/ref=dp_merchant_link?seller=ADPI9LE50EUV</t>
  </si>
  <si>
    <t>2.12 Pounds</t>
  </si>
  <si>
    <t>961.62 g</t>
  </si>
  <si>
    <t>13.11 x 10.75 x 2.64 inches</t>
  </si>
  <si>
    <t>33.30 x 27.31 x 6.71 cm</t>
  </si>
  <si>
    <t>B0D663V1K6</t>
  </si>
  <si>
    <t>Size: Medium | Color: White Grey(29" Inseam)</t>
  </si>
  <si>
    <t>Fabric type: 90% Rayon, 10% Spandex | Care instructions: Machine Wash | Origin: Imported | Country of Origin: China</t>
  </si>
  <si>
    <t>Darong</t>
  </si>
  <si>
    <t>https://www.amazon.com/stores/Darong/page/F9B823FD-2420-444B-80E7-CFAE2ED1F141?ref_=ast_bln</t>
  </si>
  <si>
    <t>Darong Women's 2 Piece Sets Fall Outfits Long Sleeve Wide Leg Tracksuits Casual Lounge Set Matching Sets</t>
  </si>
  <si>
    <t>https://www.amazon.com/dp/B0D663V1K6?psc=1</t>
  </si>
  <si>
    <t>https://m.media-amazon.com/images/I/31h1IDY63zL._AC_SR600,600_.jpg</t>
  </si>
  <si>
    <t>B0D667XPLQ</t>
  </si>
  <si>
    <t>3</t>
  </si>
  <si>
    <t>600</t>
  </si>
  <si>
    <t>5%</t>
  </si>
  <si>
    <t>2024-06-04</t>
  </si>
  <si>
    <t xml:space="preserve">公司名称：fuzhou jinan darong fuzhuang maoyi youxian gongsi
办公地址：
寿山乡岭头村岭头街34号-2号楼609室
福州市
晋安区
福建
350011
CN
</t>
  </si>
  <si>
    <t>https://www.amazon.com/gp/help/seller/at-a-glance.html/ref=dp_merchant_link?seller=AY5PETPKQBLHL</t>
  </si>
  <si>
    <t>1.41 Pounds</t>
  </si>
  <si>
    <t>639.56 g</t>
  </si>
  <si>
    <t>12.36 x 9.37 x 2.24 inches</t>
  </si>
  <si>
    <t>31.39 x 23.80 x 5.69 cm</t>
  </si>
  <si>
    <t>B0CBDH3JYF</t>
  </si>
  <si>
    <t>AUTOMET Women's Sweatsuits 2 Piece Outfits Long Sleeve Half Zip Pullover and Baggy Sweatpants with Pockets</t>
  </si>
  <si>
    <t>https://www.amazon.com/dp/B0CBDH3JYF?psc=1</t>
  </si>
  <si>
    <t>https://images-na.ssl-images-amazon.com/images/I/51cw8FzoFDL._AC_US600_.jpg</t>
  </si>
  <si>
    <t>B0CYY49D6Z</t>
  </si>
  <si>
    <t>6</t>
  </si>
  <si>
    <t>700</t>
  </si>
  <si>
    <t>2023-07-07</t>
  </si>
  <si>
    <t>2.18 Pounds</t>
  </si>
  <si>
    <t>988.83 g</t>
  </si>
  <si>
    <t>16.22 x 12.71 x 5.63 inches</t>
  </si>
  <si>
    <t>41.20 x 32.28 x 14.30 cm</t>
  </si>
  <si>
    <t>B099JZBT9M</t>
  </si>
  <si>
    <t>Size: Large | Color: 2a-black</t>
  </si>
  <si>
    <t>Fabric type: ✦ Material：95% polyester + 5% spandex,These womens 2 piece loungewear sweatsuit sets are made with superior quality and skin-friendly material to provide you more comfy and soft wearing experience. | Care instructions: Machine Wash | Origin: Imported</t>
  </si>
  <si>
    <t>Aloodor</t>
  </si>
  <si>
    <t>https://www.amazon.com/stores/Aloodor/page/82CDBE47-776A-4D16-B59E-0DBD6E2BE719?ref_=ast_bln&amp;store_ref=bl_ast_dp_brandLogo_sto</t>
  </si>
  <si>
    <t>Aloodor Sweatsuit for Women 2 Piece Outfits for Womens Crewneck Sweatshirts Pullover</t>
  </si>
  <si>
    <t>https://www.amazon.com/dp/B099JZBT9M?psc=1</t>
  </si>
  <si>
    <t>https://images-na.ssl-images-amazon.com/images/I/616ZjG4+MoL._AC_US600_.jpg</t>
  </si>
  <si>
    <t>B099K2ZM68</t>
  </si>
  <si>
    <t>4</t>
  </si>
  <si>
    <t>2,000</t>
  </si>
  <si>
    <t>8%</t>
  </si>
  <si>
    <t>2021-08-10</t>
  </si>
  <si>
    <t xml:space="preserve">公司名称：Guangzhou Blue Whale Technology Information Co
办公地址：
天源路804号
大院内17栋自编A03 -101(Y151室)
广州市
天河区
510000
CN
</t>
  </si>
  <si>
    <t>https://www.amazon.com/gp/help/seller/at-a-glance.html/ref=dp_merchant_link?seller=A3VT9VLIG8GZLW</t>
  </si>
  <si>
    <t>womens airplane travel outfits</t>
  </si>
  <si>
    <t>0.44 pounds</t>
  </si>
  <si>
    <t>199.58 g</t>
  </si>
  <si>
    <t>15.12 x 12.09 x 2.44 inches</t>
  </si>
  <si>
    <t>38.40 x 30.71 x 6.20 cm</t>
  </si>
  <si>
    <t>B0D73Q3VF9</t>
  </si>
  <si>
    <t>Size: Medium | Color: Ink Blue</t>
  </si>
  <si>
    <t>Fabric type: 92% Rayon, 8% Spandex | Care instructions: Machine Wash | Origin: Imported | Country of Origin: China</t>
  </si>
  <si>
    <t>Kissfix</t>
  </si>
  <si>
    <t>https://www.amazon.com/stores/Kissfix/page/B82BAD26-E741-4B6F-9851-BE9C8A0A8462?ref_=ast_bln&amp;store_ref=bl_ast_dp_brandLogo_sto</t>
  </si>
  <si>
    <t>Kissfix Two Piece Lounge Matching Sets For Women Fall Casual Outfits Crop Top Wide Leg Pant With Pocket</t>
  </si>
  <si>
    <t>https://www.amazon.com/dp/B0D73Q3VF9?psc=1</t>
  </si>
  <si>
    <t>https://images-na.ssl-images-amazon.com/images/I/51AsO6blGVL._AC_US600_.jpg</t>
  </si>
  <si>
    <t>B0D73Q28ZT</t>
  </si>
  <si>
    <t>5</t>
  </si>
  <si>
    <t>50</t>
  </si>
  <si>
    <t>40%</t>
  </si>
  <si>
    <t>2024-06-13</t>
  </si>
  <si>
    <t>Kissfix-US</t>
  </si>
  <si>
    <t xml:space="preserve">公司名称：Guangzhou Jiazi Clothing Trading Co., Ltd
办公地址：
嘉禾街鹤龙二路259号为邦创意园
14栋308
广州市
广东省
白云区
510440
CN
</t>
  </si>
  <si>
    <t>https://www.amazon.com/gp/help/seller/at-a-glance.html/ref=dp_merchant_link?seller=A39S3583PNM4DE</t>
  </si>
  <si>
    <t>1.46 Pounds</t>
  </si>
  <si>
    <t>662.24 g</t>
  </si>
  <si>
    <t>10.43 x 9.8 x 2.28 inches</t>
  </si>
  <si>
    <t>26.49 x 24.89 x 5.79 cm</t>
  </si>
  <si>
    <t>B0CFKJGMRG</t>
  </si>
  <si>
    <t>Size: Large | Color: Solid Black</t>
  </si>
  <si>
    <t>Fabric type: 96%Polyester/4%Elastane | Origin: Imported | Country of Origin: China</t>
  </si>
  <si>
    <t>BTFBM</t>
  </si>
  <si>
    <t>https://www.amazon.com/stores/BTFBM/page/F5DB1F57-0171-4D2E-BD4E-5C4A8D024498?ref_=ast_bln&amp;store_ref=bl_ast_dp_brandLogo_sto</t>
  </si>
  <si>
    <t>BTFBM Women's 2 Piece Tracksuit Fall Outfits 2024 Long Sleeve Half Zip Sweatshirt Sweatpants Lounge Set Sweatsuits</t>
  </si>
  <si>
    <t>https://www.amazon.com/dp/B0CFKJGMRG?psc=1</t>
  </si>
  <si>
    <t>https://m.media-amazon.com/images/I/31m480tSm0L._AC_SR600,600_.jpg</t>
  </si>
  <si>
    <t>B0CFKFXJTJ</t>
  </si>
  <si>
    <t>7</t>
  </si>
  <si>
    <t>400</t>
  </si>
  <si>
    <t>2023-08-13</t>
  </si>
  <si>
    <t>Zadeeso</t>
  </si>
  <si>
    <t xml:space="preserve">公司名称：Foshan Jianxi Clothing Co., Ltd.
办公地址：
罗村下柏大道吉祥路10号吉祥工业园一栋3楼B自编2号
佛山市
狮山镇
广东
528299
CN
</t>
  </si>
  <si>
    <t>https://www.amazon.com/gp/help/seller/at-a-glance.html/ref=dp_merchant_link?seller=A16JH42LGBJNLY</t>
  </si>
  <si>
    <t>1.94 Pounds</t>
  </si>
  <si>
    <t>879.97 g</t>
  </si>
  <si>
    <t>13.15 x 11.1 x 2.99 inches</t>
  </si>
  <si>
    <t>33.40 x 28.19 x 7.59 cm</t>
  </si>
  <si>
    <t>B0CBC6VHWC</t>
  </si>
  <si>
    <t>Size: X-Large | Color: Black</t>
  </si>
  <si>
    <t>Fabric type: 70% Viscose, 30% Nylon | Care instructions: Machine Wash | Origin: Imported | Closure type: Pull On | Country of Origin: China</t>
  </si>
  <si>
    <t>Tanming</t>
  </si>
  <si>
    <t>https://www.amazon.com/stores/Tanming/page/079BC433-4468-4140-A15C-77AD183B21C1?ref_=ast_bln&amp;store_ref=bl_ast_dp_brandLogo_sto</t>
  </si>
  <si>
    <t>Tanming Women's 2 Piece Outfits Long Sleeve Knit Sweater Top Wide Leg Pants Lounge Sets Tracksuits</t>
  </si>
  <si>
    <t>https://www.amazon.com/dp/B0CBC6VHWC?psc=1</t>
  </si>
  <si>
    <t>https://m.media-amazon.com/images/I/31RTISCJDiL._AC_SR600,600_.jpg</t>
  </si>
  <si>
    <t>B0CBFM2FJ8</t>
  </si>
  <si>
    <t>8</t>
  </si>
  <si>
    <t>2023-07-06</t>
  </si>
  <si>
    <t xml:space="preserve">公司名称：Duchang County Yadan Clothing Co., Ltd
电话号码：+8615801142140
办公地址：
芙蓉山工业园
新妙湖西侧
九江市
都昌县
江西
332600
CN
</t>
  </si>
  <si>
    <t>https://www.amazon.com/gp/help/seller/at-a-glance.html/ref=dp_merchant_link?seller=A2QUK1SI2L2L0O</t>
  </si>
  <si>
    <t>1.83 Pounds</t>
  </si>
  <si>
    <t>830.07 g</t>
  </si>
  <si>
    <t>11.18 x 8.66 x 3.66 inches</t>
  </si>
  <si>
    <t>28.40 x 22.00 x 9.30 cm</t>
  </si>
  <si>
    <t>B093GVV9MY</t>
  </si>
  <si>
    <t>Size: Large | Color: Black</t>
  </si>
  <si>
    <t>Fabric type: 65% Polyester, 28% Viscose, 7% Elastane | Care instructions: Machine Wash | Origin: Imported | Country of Origin: China</t>
  </si>
  <si>
    <t>PRETTYGARDEN</t>
  </si>
  <si>
    <t>https://www.amazon.com/stores/PRETTYGARDEN/page/2A60D2F3-2F7C-4434-BA5F-394D3BAA8533?ref_=ast_bln&amp;store_ref=bl_ast_dp_brandLogo_sto</t>
  </si>
  <si>
    <t>PRETTYGARDEN Women's Fall Fashion Outfits 2 Piece Sweatsuit Solid Color Long Sleeve Pullover Long Pants Lounge Set</t>
  </si>
  <si>
    <t>https://www.amazon.com/dp/B093GVV9MY?psc=1</t>
  </si>
  <si>
    <t>https://images-na.ssl-images-amazon.com/images/I/61cVVxLa3dL._AC_US600_.jpg</t>
  </si>
  <si>
    <t>B093GWGLN9</t>
  </si>
  <si>
    <t>9</t>
  </si>
  <si>
    <t>2021-04-25</t>
  </si>
  <si>
    <t xml:space="preserve">公司名称：foshanshiqipaijiajuyongpinyouxiangongsi
办公地址：
龙江镇龙江社区文华路50号
假日美域花园3栋912单元
佛山市
顺德区
广东省
528000
CN
</t>
  </si>
  <si>
    <t>https://www.amazon.com/gp/help/seller/at-a-glance.html/ref=dp_merchant_link?seller=AW513678AUV06</t>
  </si>
  <si>
    <t>4.8 ounces</t>
  </si>
  <si>
    <t>136.08 g</t>
  </si>
  <si>
    <t>8 x 5 x 2 inches</t>
  </si>
  <si>
    <t>20.32 x 12.70 x 5.08 cm</t>
  </si>
  <si>
    <t>B0CLY18436</t>
  </si>
  <si>
    <t>Fabric type: 55%Rayon,40%Polyester,5%Spandex | Care instructions: Machine Wash | Origin: Imported | Country of Origin: China</t>
  </si>
  <si>
    <t>AUTOMET Lounge Sets for Women Sweatsuits 2 Piece Outfits 2024 Fall Drawstring Sweatshirt Wide Leg Sweatpants Tracksuit</t>
  </si>
  <si>
    <t>https://www.amazon.com/dp/B0CLY18436?psc=1</t>
  </si>
  <si>
    <t>https://m.media-amazon.com/images/I/31MxoVoVXyL._AC_SR600,600_.jpg</t>
  </si>
  <si>
    <t>B0CVVP88SJ</t>
  </si>
  <si>
    <t>10</t>
  </si>
  <si>
    <t>500</t>
  </si>
  <si>
    <t>2023-10-26</t>
  </si>
  <si>
    <t>1.98 Pounds</t>
  </si>
  <si>
    <t>898.11 g</t>
  </si>
  <si>
    <t>16.06 x 12.28 x 2.09 inches</t>
  </si>
  <si>
    <t>40.79 x 31.19 x 5.31 cm</t>
  </si>
  <si>
    <t>B0D9Q5DWWG</t>
  </si>
  <si>
    <t>Fabric type: 50% Viscose + 30% Nylon + 20% PBT | Care instructions: Machine Wash | Origin: Imported | Country of Origin: China</t>
  </si>
  <si>
    <t>ANRABESS Women's 2 Piece Outfits Sweater Set Long Sleeve Hoodie Pullover Wide Leg Pants Knit Lounge Matching Sets</t>
  </si>
  <si>
    <t>https://www.amazon.com/dp/B0D9Q5DWWG?psc=1</t>
  </si>
  <si>
    <t>https://images-na.ssl-images-amazon.com/images/I/7105oy5xFQL._AC_US600_.jpg</t>
  </si>
  <si>
    <t>B0D9Q6KGWX</t>
  </si>
  <si>
    <t>12</t>
  </si>
  <si>
    <t>100</t>
  </si>
  <si>
    <t>20%</t>
  </si>
  <si>
    <t>2024-07-18</t>
  </si>
  <si>
    <t>2.23 Pounds</t>
  </si>
  <si>
    <t>1.01 kg</t>
  </si>
  <si>
    <t>15.35 x 12.01 x 2.36 inches</t>
  </si>
  <si>
    <t>38.99 x 30.51 x 5.99 cm</t>
  </si>
  <si>
    <t>B0CLNWYRN1</t>
  </si>
  <si>
    <t>Fabric type: 96%Polyester, 4%Elastane | Care instructions: Machine Wash | Origin: Imported | Country of Origin: China</t>
  </si>
  <si>
    <t>PRETTYGARDEN Womens 2 Piece Sweatsuits Set Long Sleeve Half Zip Pullover Sweatshirt Joggers Sweatpants Fall Outfits Tracksuit</t>
  </si>
  <si>
    <t>https://www.amazon.com/dp/B0CLNWYRN1?psc=1</t>
  </si>
  <si>
    <t>https://images-na.ssl-images-amazon.com/images/I/61Qn45tR3qL._AC_US600_.jpg</t>
  </si>
  <si>
    <t>B0CLNW821L</t>
  </si>
  <si>
    <t>11</t>
  </si>
  <si>
    <t>2023-10-23</t>
  </si>
  <si>
    <t>B0D7VBNVJG</t>
  </si>
  <si>
    <t>Size: Medium | Color: Grey Blue</t>
  </si>
  <si>
    <t>Fabric type: 45%Rayon 48%Polyester 7%Spandex | Care instructions: Machine Wash | Origin: Imported | Country of Origin: China</t>
  </si>
  <si>
    <t>Casly Lamiit</t>
  </si>
  <si>
    <t>https://www.amazon.com/stores/CaslyLamiit/page/DC549CB9-0B31-48D0-BAA1-324ED1F56092?ref_=ast_bln&amp;store_ref=bl_ast_dp_brandLogo_sto</t>
  </si>
  <si>
    <t>Two Piece Sets for Women 2024 Casual Tracksuit Sweatshirt Skorts Matching Set Lounge Tennis Jogger Sweat Suit</t>
  </si>
  <si>
    <t>https://www.amazon.com/dp/B0D7VBNVJG?psc=1</t>
  </si>
  <si>
    <t>https://m.media-amazon.com/images/I/3133Mm6s-kL._AC_SR600,600_.jpg</t>
  </si>
  <si>
    <t>B0D7VC9G58</t>
  </si>
  <si>
    <t>13</t>
  </si>
  <si>
    <t>200</t>
  </si>
  <si>
    <t>26%</t>
  </si>
  <si>
    <t>2024-06-23</t>
  </si>
  <si>
    <t xml:space="preserve">公司名称：Yu Zhang
办公地址：
大济镇钟峰村岑下25号
莆田市
仙游县
福建省
351265
CN
</t>
  </si>
  <si>
    <t>https://www.amazon.com/gp/help/seller/at-a-glance.html/ref=dp_merchant_link?seller=A1LE12BR09LON4</t>
  </si>
  <si>
    <t>1.12 Pounds</t>
  </si>
  <si>
    <t>508.02 g</t>
  </si>
  <si>
    <t>10.79 x 10.2 x 1.97 inches</t>
  </si>
  <si>
    <t>27.41 x 25.91 x 5.00 cm</t>
  </si>
  <si>
    <t>B0CHRF49DJ</t>
  </si>
  <si>
    <t>Fabric type: 48%Viscose46%Polyester6%Elastane | Care instructions: Machine Wash | Origin: Imported | Country of Origin: China</t>
  </si>
  <si>
    <t>PRETTYGARDEN Women's 2 Piece Outfits Casual Lapel Half Zip Sweatshirts And Wide Leg Pants Tracksuit Sets</t>
  </si>
  <si>
    <t>https://www.amazon.com/dp/B0CHRF49DJ?psc=1</t>
  </si>
  <si>
    <t>https://images-na.ssl-images-amazon.com/images/I/61mVGvGfGKL._AC_US600_.jpg</t>
  </si>
  <si>
    <t>B0CHRDF2Q7</t>
  </si>
  <si>
    <t>15</t>
  </si>
  <si>
    <t>2023-09-10</t>
  </si>
  <si>
    <t>B0791BS118</t>
  </si>
  <si>
    <t>Size: Medium | Color: Coral</t>
  </si>
  <si>
    <t>Fabric type: 55% Cotton, 45% Polyester | Care instructions: Machine Wash | Origin: Imported | Fur description: Velour/fleece fabric</t>
  </si>
  <si>
    <t>Facitisu</t>
  </si>
  <si>
    <t>https://www.amazon.com/stores/Facitisu/page/C6A109D2-7B68-4F3D-8BF6-1507F93DB124?ref_=ast_bln</t>
  </si>
  <si>
    <t>Track Suits for Women Set Sweatsuits 2 Piece Tracksuit</t>
  </si>
  <si>
    <t>https://www.amazon.com/dp/B0791BS118?psc=1</t>
  </si>
  <si>
    <t>https://images-na.ssl-images-amazon.com/images/I/61l1qcg0EiL._AC_US600_.jpg</t>
  </si>
  <si>
    <t>B07WKVCH2K</t>
  </si>
  <si>
    <t>14</t>
  </si>
  <si>
    <t>2018-11-05</t>
  </si>
  <si>
    <t>More than garments</t>
  </si>
  <si>
    <t xml:space="preserve">公司名称：Hongdun Li
办公地址：
工业集中区同安园133号（西侧）101单元
厦门市
同安区
福建
361100
CN
</t>
  </si>
  <si>
    <t>https://www.amazon.com/gp/help/seller/at-a-glance.html/ref=dp_merchant_link?seller=A2176U2K5GEUVV</t>
  </si>
  <si>
    <t>1.9 Pounds</t>
  </si>
  <si>
    <t>861.82 g</t>
  </si>
  <si>
    <t>13 x 10 x 1 inches</t>
  </si>
  <si>
    <t>33.02 x 25.40 x 2.54 cm</t>
  </si>
  <si>
    <t>B0D87BTW7C</t>
  </si>
  <si>
    <t>Size: X-Large | Color: 9045-black</t>
  </si>
  <si>
    <t>Fabric type: 95% Polyester, 5% Elastane | Care instructions: Machine Wash | Origin: Imported | Country of Origin: China</t>
  </si>
  <si>
    <t>Nimsruc</t>
  </si>
  <si>
    <t>https://www.amazon.com/stores/Nimsruc/page/B8B9097D-5777-44DC-B796-E510A9A3A113?ref_=ast_bln&amp;store_ref=bl_ast_dp_brandLogo_sto</t>
  </si>
  <si>
    <t>Nimsruc 2 Piece Outfits For Women Sweatsuits Sets Hooded Tracksuit Long Sleeve Pullover Jogger Sweat Pants Set</t>
  </si>
  <si>
    <t>https://www.amazon.com/dp/B0D87BTW7C?psc=1</t>
  </si>
  <si>
    <t>https://m.media-amazon.com/images/I/31ybMKfBw6L._AC_SR600,600_.jpg</t>
  </si>
  <si>
    <t>B0D87DPBJP</t>
  </si>
  <si>
    <t>20</t>
  </si>
  <si>
    <t>2024-06-26</t>
  </si>
  <si>
    <t xml:space="preserve">公司名称：Quanzhou DiaoLang Trading Co., Ltd.
办公地址：
聚祥花苑1栋3梯1610室
泉州
鲤城区江南街道火炬社区常兴路
福建
362000
CN
</t>
  </si>
  <si>
    <t>https://www.amazon.com/gp/help/seller/at-a-glance.html/ref=dp_merchant_link?seller=A379FXF78PEIQJ</t>
  </si>
  <si>
    <t>12.35 ounces</t>
  </si>
  <si>
    <t>350.12 g</t>
  </si>
  <si>
    <t>13.94 x 10.67 x 2.87 inches</t>
  </si>
  <si>
    <t>35.41 x 27.10 x 7.29 cm</t>
  </si>
  <si>
    <t>B0C696G9M1</t>
  </si>
  <si>
    <t>Size: X-Large | Color: A-black</t>
  </si>
  <si>
    <t>Fabric type: Polyester+Cotton | Care instructions: Machine Wash | Origin: Imported | Country of Origin: China</t>
  </si>
  <si>
    <t>ETCYY NEW</t>
  </si>
  <si>
    <t>https://www.amazon.com/stores/ETCYYNEW/page/02F2205D-632D-4EF1-A605-635B1B46E4C3?ref_=ast_bln&amp;store_ref=bl_ast_dp_brandLogo_sto</t>
  </si>
  <si>
    <t>ETCYY NEW Lounge Sets for Women 2 Piece Outfits with Side Split Sweatshirt Tops and Wide Leg Sweatpants</t>
  </si>
  <si>
    <t>https://www.amazon.com/dp/B0C696G9M1?psc=1</t>
  </si>
  <si>
    <t>https://m.media-amazon.com/images/I/31+xfQFcRqL._AC_SR600,600_.jpg</t>
  </si>
  <si>
    <t>B0C69B5ZD4</t>
  </si>
  <si>
    <t>16</t>
  </si>
  <si>
    <t>300</t>
  </si>
  <si>
    <t>2023-05-24</t>
  </si>
  <si>
    <t>ETCYY Clothing</t>
  </si>
  <si>
    <t xml:space="preserve">公司名称：shenzhenshishangpinkukejiyouxiangongsi
办公地址：
大浪社区28区创锦1号A、B座A4层A409
深圳
宝安
广东
518000
CN
</t>
  </si>
  <si>
    <t>https://www.amazon.com/gp/help/seller/at-a-glance.html/ref=dp_merchant_link?seller=A1YQT2IQTLCSGZ</t>
  </si>
  <si>
    <t>13.43 x 10.24 x 2.48 inches</t>
  </si>
  <si>
    <t>34.11 x 26.01 x 6.30 cm</t>
  </si>
  <si>
    <t>B0DCNZBCB9</t>
  </si>
  <si>
    <t>Size: Small | Color: Dark Storm</t>
  </si>
  <si>
    <t>Fabric type: 50% Modal, 45% Polyester, 5% Spandex | Care instructions: Machine Wash | Origin: Imported | Country of Origin: China</t>
  </si>
  <si>
    <t>SUUKSESS</t>
  </si>
  <si>
    <t>https://www.amazon.com/stores/SUUKSESS/page/86C0C647-C07D-423B-BD1C-7EB6676E0F3F?ref_=ast_bln&amp;store_ref=bl_ast_dp_brandLogo_sto</t>
  </si>
  <si>
    <t>SUUKSESS Women 2 Piece Lounge Matching Set Wide Leg Sweatpant Half Zip Sweatshirt</t>
  </si>
  <si>
    <t>https://www.amazon.com/dp/B0DCNZBCB9?psc=1</t>
  </si>
  <si>
    <t>https://m.media-amazon.com/images/I/318-dJIVjnL._AC_SR600,600_.jpg</t>
  </si>
  <si>
    <t>B0DCNTSWPL</t>
  </si>
  <si>
    <t>96</t>
  </si>
  <si>
    <t>2024-08-08</t>
  </si>
  <si>
    <t>AIGUO</t>
  </si>
  <si>
    <t xml:space="preserve">公司名称：guang zhou ai guo mao yi you xian gong si
办公地址：
科学大道64-70号（双数）601房C03
广州市
黄埔区
广东省
510000
CN
</t>
  </si>
  <si>
    <t>https://www.amazon.com/gp/help/seller/at-a-glance.html/ref=dp_merchant_link?seller=A3S55BLY5JOGU1</t>
  </si>
  <si>
    <t>3.53 ounces</t>
  </si>
  <si>
    <t>100.07 g</t>
  </si>
  <si>
    <t>7.5 x 7.5 x 1 inches</t>
  </si>
  <si>
    <t>19.05 x 19.05 x 2.54 cm</t>
  </si>
  <si>
    <t>B0C8JN6JQV</t>
  </si>
  <si>
    <t>ANRABESS Women 2 Piece Outfits Sweater Lounge Sets Long Sleeve Cable Knit Pullover and Wide Leg Pants Tracksuit Matching Set</t>
  </si>
  <si>
    <t>https://www.amazon.com/dp/B0C8JN6JQV?psc=1</t>
  </si>
  <si>
    <t>https://m.media-amazon.com/images/I/31bAl13l5DL._AC_SR600,600_.jpg</t>
  </si>
  <si>
    <t>B0D22WBWLG</t>
  </si>
  <si>
    <t>18</t>
  </si>
  <si>
    <t>2023-06-18</t>
  </si>
  <si>
    <t>2.01 Pounds</t>
  </si>
  <si>
    <t>911.72 g</t>
  </si>
  <si>
    <t>15.31 x 12.56 x 2.4 inches</t>
  </si>
  <si>
    <t>38.89 x 31.90 x 6.10 cm</t>
  </si>
  <si>
    <t>B0816FWPZC</t>
  </si>
  <si>
    <t>Size: Large | Color: Army Green</t>
  </si>
  <si>
    <t>Fabric type: Polyester | Care instructions: Machine Wash | Origin: Imported</t>
  </si>
  <si>
    <t>Nimsruc Jogging Suits for Women 2 Piece Casual</t>
  </si>
  <si>
    <t>https://www.amazon.com/dp/B0816FWPZC?psc=1</t>
  </si>
  <si>
    <t>https://m.media-amazon.com/images/I/31QA+au+dLL._AC_SR600,600_.jpg</t>
  </si>
  <si>
    <t>B0D8W6XN93</t>
  </si>
  <si>
    <t>17</t>
  </si>
  <si>
    <t>2024-07-04</t>
  </si>
  <si>
    <t>10.58 ounces</t>
  </si>
  <si>
    <t>299.94 g</t>
  </si>
  <si>
    <t>16.54 x 11.02 x 0.2 inches</t>
  </si>
  <si>
    <t>42.01 x 27.99 x 0.51 cm</t>
  </si>
  <si>
    <t>B0D3BY33RW</t>
  </si>
  <si>
    <t>Size: Medium | Color: Black+white</t>
  </si>
  <si>
    <t>Fabric type: 50%Polyester,46%Rayon,4%Spandex | Care instructions: Machine Wash | Origin: Imported | Country of Origin: China</t>
  </si>
  <si>
    <t>XIEERDUO</t>
  </si>
  <si>
    <t>https://www.amazon.com/stores/XIEERDUOFASHION/page/FCB7E2CA-00F5-49C8-9A47-C520DFF57546?ref_=ast_bln&amp;store_ref=bl_ast_dp_brandLogo_sto</t>
  </si>
  <si>
    <t>XIEERDUO Lounge Sets for Women 2024 Sweatsuit 2 Piece Outfits Sweatshirt Wide Leg Sweatpant Tracksuit Matching Set</t>
  </si>
  <si>
    <t>https://www.amazon.com/dp/B0D3BY33RW?psc=1</t>
  </si>
  <si>
    <t>https://m.media-amazon.com/images/I/31KYxT+7geL._AC_SR600,600_.jpg</t>
  </si>
  <si>
    <t>B0DD7DKNTK</t>
  </si>
  <si>
    <t>21</t>
  </si>
  <si>
    <t>2024-07-15</t>
  </si>
  <si>
    <t xml:space="preserve">公司名称：Zhong SenSen
办公地址：
106 Fengze East Road, Nansha District
Guangzhou
Guangdong
511458
CN
</t>
  </si>
  <si>
    <t>https://www.amazon.com/gp/help/seller/at-a-glance.html/ref=dp_merchant_link?seller=AKVDYWFA30MQ8</t>
  </si>
  <si>
    <t>1.59 Pounds</t>
  </si>
  <si>
    <t>721.21 g</t>
  </si>
  <si>
    <t>12.48 x 11.93 x 1.89 inches</t>
  </si>
  <si>
    <t>31.70 x 30.30 x 4.80 cm</t>
  </si>
  <si>
    <t>B0CYZKDLZ6</t>
  </si>
  <si>
    <t>Size: Medium | Color: Navy</t>
  </si>
  <si>
    <t>PRETTYGARDEN Women's 2 Piece Loungewear Long Sleeve Crop Top Wide Leg Palazzo Pants Set Tracksuits Casual Outfit</t>
  </si>
  <si>
    <t>https://www.amazon.com/dp/B0CYZKDLZ6?psc=1</t>
  </si>
  <si>
    <t>https://images-na.ssl-images-amazon.com/images/I/61b9qutybgL._AC_US600_.jpg</t>
  </si>
  <si>
    <t>B0CYZS21GS</t>
  </si>
  <si>
    <t>39</t>
  </si>
  <si>
    <t>2024-03-24</t>
  </si>
  <si>
    <t>B0CCS4VMLM</t>
  </si>
  <si>
    <t>Fabric type: 50% Rayon, 45% Polyester, 5% Spandex | Care instructions: Machine Wash | Origin: Imported | Country of Origin: China</t>
  </si>
  <si>
    <t>Prinbara</t>
  </si>
  <si>
    <t>https://www.amazon.com/stores/Prinbara/page/4990E8E4-CCB8-4483-9069-64EB1231D791?ref_=ast_bln&amp;store_ref=bl_ast_dp_brandLogo_sto</t>
  </si>
  <si>
    <t>Prinbara Women 2 Piece Outfits Lounge Sets 2024 Winter Oversized Sweatshirt Wide Leg Pant Casual Matching Sweat Set Tracksuit</t>
  </si>
  <si>
    <t>https://www.amazon.com/dp/B0CCS4VMLM?psc=1</t>
  </si>
  <si>
    <t>https://m.media-amazon.com/images/I/31pwBDIiufL._AC_SR600,600_.jpg</t>
  </si>
  <si>
    <t>B0CZ7FKB3F</t>
  </si>
  <si>
    <t>29</t>
  </si>
  <si>
    <t>30%</t>
  </si>
  <si>
    <t>2024-03-27</t>
  </si>
  <si>
    <t>Prinbara Fashion</t>
  </si>
  <si>
    <t xml:space="preserve">公司名称：Shenzhen Longgang Feihong Electronic Commerce Firm
办公地址：
坂田街道岗头社区岗头村上小坑山地
江南时代大厦2号楼804
深圳市
龙岗区
广东
518100
CN
</t>
  </si>
  <si>
    <t>https://www.amazon.com/gp/help/seller/at-a-glance.html/ref=dp_merchant_link?seller=A3HAS8I9VV52PH</t>
  </si>
  <si>
    <t>2.27 Pounds</t>
  </si>
  <si>
    <t>1.03 kg</t>
  </si>
  <si>
    <t>15.91 x 12.44 x 2.76 inches</t>
  </si>
  <si>
    <t>40.41 x 31.60 x 7.01 cm</t>
  </si>
  <si>
    <t>B0B3MKXWQ9</t>
  </si>
  <si>
    <t>Size: Large | Color: Leopard Black</t>
  </si>
  <si>
    <t>Fabric type: 65%Polyester,30%Viscose,5%Elastane | Care instructions: Machine Wash | Origin: Imported | Country of Origin: China</t>
  </si>
  <si>
    <t>PRETTYGARDEN Women's Color Block 2 Piece Tracksuit Crewneck Long Sleeve Tops Long Sweatpants Outfits Lounge Sets</t>
  </si>
  <si>
    <t>https://www.amazon.com/dp/B0B3MKXWQ9?psc=1</t>
  </si>
  <si>
    <t>https://m.media-amazon.com/images/I/31fbPFGZPdL._AC_SR600,600_.jpg</t>
  </si>
  <si>
    <t>B09LYBRVM7</t>
  </si>
  <si>
    <t>22</t>
  </si>
  <si>
    <t>2021-11-15</t>
  </si>
  <si>
    <t>B0CF49VV45</t>
  </si>
  <si>
    <t>Fabric type: 50% Viscose, 28% Polyester, 22% Nylon | Care instructions: Hand Wash Only | Origin: Imported | Country of Origin: China</t>
  </si>
  <si>
    <t>PRETTYGARDEN Women's 2 Piece Sweater Set Pullover Zip Up Sweatshirt Jogger Sweatpants Tracksuit Casual Outfit</t>
  </si>
  <si>
    <t>https://www.amazon.com/dp/B0CF49VV45?psc=1</t>
  </si>
  <si>
    <t>https://images-na.ssl-images-amazon.com/images/I/61DE5Mf+S6L._AC_US600_.jpg</t>
  </si>
  <si>
    <t>B0CF44P52W</t>
  </si>
  <si>
    <t>19</t>
  </si>
  <si>
    <t>2023-08-08</t>
  </si>
  <si>
    <t>B0BB742JCV</t>
  </si>
  <si>
    <t>Fabric type: 95% Polyester, 5% Spandex | Care instructions: Hand Wash Only | Origin: Imported</t>
  </si>
  <si>
    <t>kaimimei</t>
  </si>
  <si>
    <t>https://www.amazon.com/stores/kaimimei/page/7250F737-A1DE-4AC2-8121-2DB26E8A321A?ref_=ast_bln&amp;store_ref=bl_ast_dp_brandLogo_sto</t>
  </si>
  <si>
    <t>kaimimei Casual 2 Piece Outfit for Women - Linen Long Sleeve Button Down Shirt + Flare Pleated Wide Leg Pants Sets Streetwear</t>
  </si>
  <si>
    <t>https://www.amazon.com/dp/B0BB742JCV?psc=1</t>
  </si>
  <si>
    <t>https://m.media-amazon.com/images/I/318mvDeckbL._AC_SR600,600_.jpg</t>
  </si>
  <si>
    <t>B0BB77SPL7</t>
  </si>
  <si>
    <t>25</t>
  </si>
  <si>
    <t>2022-08-18</t>
  </si>
  <si>
    <t>Jieruntong</t>
  </si>
  <si>
    <t xml:space="preserve">公司名称：Xiamen Jieruntongmaoyi Youxiangongsi
办公地址：
金民里99-114号
厦门
湖里区
福建
361000
CN
</t>
  </si>
  <si>
    <t>https://www.amazon.com/gp/help/seller/at-a-glance.html/ref=dp_merchant_link?seller=A27RIIISOZVONB</t>
  </si>
  <si>
    <t>1.72 Pounds</t>
  </si>
  <si>
    <t>780.18 g</t>
  </si>
  <si>
    <t>13.27 x 10.83 x 2.99 inches</t>
  </si>
  <si>
    <t>33.71 x 27.51 x 7.59 cm</t>
  </si>
  <si>
    <t>B0D1CD2M2H</t>
  </si>
  <si>
    <t>Size: Medium | Color: Khaki</t>
  </si>
  <si>
    <t>Fabric type: 100% Polyester | Care instructions: Machine Wash | Origin: Imported | Country of Origin: China</t>
  </si>
  <si>
    <t>PRETTYGARDEN Women's 2 Piece Pullover Sweater Set Oversized V Neck Top Wide Leg Pants Fall Winter Fuzzy Lounge Outfit</t>
  </si>
  <si>
    <t>https://www.amazon.com/dp/B0D1CD2M2H?psc=1</t>
  </si>
  <si>
    <t>https://m.media-amazon.com/images/I/31o1PYty9kL._AC_SR600,600_.jpg</t>
  </si>
  <si>
    <t>B0D1CJDBYX</t>
  </si>
  <si>
    <t>30</t>
  </si>
  <si>
    <t>15%</t>
  </si>
  <si>
    <t>2024-04-09</t>
  </si>
  <si>
    <t>B0D6F82X14</t>
  </si>
  <si>
    <t>Size: Medium Petite | Color: Black</t>
  </si>
  <si>
    <t>Fabric type: 51%Polyester43%rayon6%Spandex | Care instructions: Machine Wash | Origin: Imported</t>
  </si>
  <si>
    <t>PINSPARK</t>
  </si>
  <si>
    <t>https://www.amazon.com/stores/Pinspark/page/73638A0C-799E-4A9E-BD52-A76030463125?ref_=ast_bln&amp;store_ref=bl_ast_dp_brandLogo_sto</t>
  </si>
  <si>
    <t>PINSPARK 2 Piece Sets for Women 2024 Fall Outfits Sweatsuit Oversized Sweatshirt Wide Leg Sweatpants Matching Set Tracksuit</t>
  </si>
  <si>
    <t>https://www.amazon.com/dp/B0D6F82X14?psc=1</t>
  </si>
  <si>
    <t>https://m.media-amazon.com/images/I/31cpj2xXpyL._AC_SR600,600_.jpg</t>
  </si>
  <si>
    <t>B0D6G882Y8</t>
  </si>
  <si>
    <t>27</t>
  </si>
  <si>
    <t>2024-06-06</t>
  </si>
  <si>
    <t xml:space="preserve">公司名称：dongguanshiqiufengshangmaoyouxiangongsi
办公地址：
蚬涌苏屋路三街1号105室
东莞市
万江街道
广东省
523000
CN
</t>
  </si>
  <si>
    <t>https://www.amazon.com/gp/help/seller/at-a-glance.html/ref=dp_merchant_link?seller=A154O6JL5L5T2Z</t>
  </si>
  <si>
    <t>1.68 Pounds</t>
  </si>
  <si>
    <t>762.03 g</t>
  </si>
  <si>
    <t>14.33 x 12.2 x 1.46 inches</t>
  </si>
  <si>
    <t>36.40 x 30.99 x 3.71 cm</t>
  </si>
  <si>
    <t>B0CL9LWNRH</t>
  </si>
  <si>
    <t>Size: Small | Color: Nutmeg</t>
  </si>
  <si>
    <t>Fabric type: 55% Acrylic, 45% Cotton | Care instructions: Hand wash/Dry-clean | Origin: Imported | Country of Origin: China</t>
  </si>
  <si>
    <t>LILLUSORY</t>
  </si>
  <si>
    <t>https://www.amazon.com/stores/Lillusory/page/81CBC909-44D5-427C-8E22-7D1E4971F917?ref_=ast_bln&amp;store_ref=bl_ast_dp_brandLogo_sto</t>
  </si>
  <si>
    <t>LILLUSORY Womens 2 Piece Outfits Knit Lounge Sets V Neck Sweater Top Wide Leg Pants Sweatsuit Tracksuits Fall Clothes</t>
  </si>
  <si>
    <t>https://www.amazon.com/dp/B0CL9LWNRH?psc=1</t>
  </si>
  <si>
    <t>https://m.media-amazon.com/images/I/41Mt-z9-CwL._AC_SR600,600_.jpg</t>
  </si>
  <si>
    <t>B0CMJ98Z9T</t>
  </si>
  <si>
    <t>26</t>
  </si>
  <si>
    <t>2023-11-02</t>
  </si>
  <si>
    <t xml:space="preserve">公司名称：Guangzhou Ailou Network Technology Co., Ltd
电话号码：+8619120405237
办公地址：
广州市白云区嘉禾街道鹤龙二路259号
14栋302室
广州市
白云区
510440
CN
</t>
  </si>
  <si>
    <t>https://www.amazon.com/gp/help/seller/at-a-glance.html/ref=dp_merchant_link?seller=ADQ75HXOS0E4Z</t>
  </si>
  <si>
    <t>2.43 Pounds</t>
  </si>
  <si>
    <t>1.10 kg</t>
  </si>
  <si>
    <t>14.68 x 12.09 x 3.03 inches</t>
  </si>
  <si>
    <t>37.29 x 30.71 x 7.70 cm</t>
  </si>
  <si>
    <t>B0D8Q1XHB9</t>
  </si>
  <si>
    <t>Size: Medium | Color: Orange</t>
  </si>
  <si>
    <t>Fabric type: 51%Polyester/43%Rayon/6%Spandex | Care instructions: Machine Wash | Origin: Imported | Country of Origin: China</t>
  </si>
  <si>
    <t>PINSPARK 2 Piece Sets for Women 2024 Fall Travel Outfits Long Sleeve Tracksuit Joggers Sets Half Zip Sweatsuit Matching Set</t>
  </si>
  <si>
    <t>https://www.amazon.com/dp/B0D8Q1XHB9?psc=1</t>
  </si>
  <si>
    <t>https://m.media-amazon.com/images/I/31CmhAFGd8L._AC_SR600,600_.jpg</t>
  </si>
  <si>
    <t>B0DF2Y9RTT</t>
  </si>
  <si>
    <t>23</t>
  </si>
  <si>
    <t>2024-08-22</t>
  </si>
  <si>
    <t>1.65 Pounds</t>
  </si>
  <si>
    <t>748.43 g</t>
  </si>
  <si>
    <t>14.33 x 11.97 x 2.09 inches</t>
  </si>
  <si>
    <t>36.40 x 30.40 x 5.31 cm</t>
  </si>
  <si>
    <t>B0D14GBZGB</t>
  </si>
  <si>
    <t>Size: Medium | Color: Dark Grey</t>
  </si>
  <si>
    <t>Fabric type: 67% Viscose, 24.5% Acrylic, 8.5% Elastane | Care instructions: Machine Wash | Origin: Imported | Country of Origin: China</t>
  </si>
  <si>
    <t>PRETTYGARDEN Women's 2 Piece Lounge Sets Asymmetrical Long Sleeve T Shirt Wide Leg Pants Casual Outfits Tracksuit</t>
  </si>
  <si>
    <t>https://www.amazon.com/dp/B0D14GBZGB?psc=1</t>
  </si>
  <si>
    <t>https://m.media-amazon.com/images/I/31zClYsW8IL._AC_SR600,600_.jpg</t>
  </si>
  <si>
    <t>B0D13WFGYN</t>
  </si>
  <si>
    <t>32</t>
  </si>
  <si>
    <t>2024-04-07</t>
  </si>
  <si>
    <t>B0D2ZNKJJ7</t>
  </si>
  <si>
    <t>Size: Large | Color: A1 Black</t>
  </si>
  <si>
    <t>Fabric type: 50%Polycotton+45%Viscose+5%Elastane | Care instructions: Hand Wash Only</t>
  </si>
  <si>
    <t>Aleumdr</t>
  </si>
  <si>
    <t>https://www.amazon.com/stores/Aleumdr/page/79470688-80B8-4863-82F6-18A200C81FC8?ref_=ast_bln&amp;store_ref=bl_ast_dp_brandLogo_sto</t>
  </si>
  <si>
    <t>Aleumdr Two Piece Outfits Half Zip Sweatshirt Sweatsuit Lounge Sets for Women Matching Set Wide Leg Sweatpant Tracksuit</t>
  </si>
  <si>
    <t>https://www.amazon.com/dp/B0D2ZNKJJ7?psc=1</t>
  </si>
  <si>
    <t>https://images-na.ssl-images-amazon.com/images/I/51GKIgM3XaL._AC_US600_.jpg</t>
  </si>
  <si>
    <t>B0CJ2WF8V8</t>
  </si>
  <si>
    <t>44</t>
  </si>
  <si>
    <t>$8.00</t>
  </si>
  <si>
    <t>2023-09-13</t>
  </si>
  <si>
    <t xml:space="preserve">公司名称：Xing Cheng Shi Jin Lin Trade Co., Ltd.
电话号码：+8613636926070
办公地址：
宁远办事处桥南
葫芦岛市
兴城市
辽宁省
125100
CN
</t>
  </si>
  <si>
    <t>https://www.amazon.com/gp/help/seller/at-a-glance.html/ref=dp_merchant_link?seller=A21VT5TXUQ068P</t>
  </si>
  <si>
    <t>14.06 x 13.3 x 3.11 inches</t>
  </si>
  <si>
    <t>35.71 x 33.78 x 7.90 cm</t>
  </si>
  <si>
    <t>B0CHFN4JB4</t>
  </si>
  <si>
    <t>Size: Small | Color: Pea Green</t>
  </si>
  <si>
    <t>Fabric type: 50% rayon + 45% polyester + 5% spandex | Care instructions: Machine Wash | Origin: Imported | Country of Origin: China</t>
  </si>
  <si>
    <t>ANRABESS Womens 2 Piece Sweatsuits Half Zip Sweatshirt Sweatpant Two Piece Outfits Fall Tracksuit Sweat Lounge Matching Sets</t>
  </si>
  <si>
    <t>https://www.amazon.com/dp/B0CHFN4JB4?psc=1</t>
  </si>
  <si>
    <t>https://m.media-amazon.com/images/I/31n2Kk0yBdL._AC_SR600,600_.jpg</t>
  </si>
  <si>
    <t>B0CHFLVYLJ</t>
  </si>
  <si>
    <t>24</t>
  </si>
  <si>
    <t>2023-09-05</t>
  </si>
  <si>
    <t>13.3 x 10.98 x 3.66 inches</t>
  </si>
  <si>
    <t>33.78 x 27.89 x 9.30 cm</t>
  </si>
  <si>
    <t>B0DFM3D32X</t>
  </si>
  <si>
    <t>Size: Medium | Color: Brown</t>
  </si>
  <si>
    <t>Fabric type: 50%Viscose, 22%nylon, 28% Polyester | Care instructions: Hand Wash Only | Origin: Imported</t>
  </si>
  <si>
    <t>SUUKSESS Women 2 piece Fall outfits Matching Lounge Set Waffle Knit Sweater sets</t>
  </si>
  <si>
    <t>https://www.amazon.com/dp/B0DFM3D32X?psc=1</t>
  </si>
  <si>
    <t>https://m.media-amazon.com/images/I/31DBN45XVYL._AC_SR600,600_.jpg</t>
  </si>
  <si>
    <t>B0DL4JVJ84</t>
  </si>
  <si>
    <t>33</t>
  </si>
  <si>
    <t>2024-08-28</t>
  </si>
  <si>
    <t>2.29 Pounds</t>
  </si>
  <si>
    <t>1.04 kg</t>
  </si>
  <si>
    <t>16.22 x 13.39 x 4.57 inches</t>
  </si>
  <si>
    <t>41.20 x 34.01 x 11.61 cm</t>
  </si>
  <si>
    <t>B0B6JB5H4D</t>
  </si>
  <si>
    <t>Size: XX-Large | Color: Black</t>
  </si>
  <si>
    <t>Fabric type: 87% Polyester, 13% Spandex,Lightweight,Soft,stretchy And Lightweight,slim Fit. | Care instructions: Machine Wash | Origin: Imported | Country of Origin: China</t>
  </si>
  <si>
    <t>PINSV</t>
  </si>
  <si>
    <t>https://www.amazon.com/stores/PINSV/page/82228BCF-2BCE-43CE-9E04-3DDCAF5F5AA3?ref_=ast_bln&amp;store_ref=bl_ast_dp_brandLogo_sto</t>
  </si>
  <si>
    <t>PINSV Women Two Piece Outfits Workout Sets Bodycon Tracksuit Long Sleeve Zip Up Hoodie Jacket Jogger Matching Sweat Pants Set</t>
  </si>
  <si>
    <t>https://www.amazon.com/dp/B0B6JB5H4D?psc=1</t>
  </si>
  <si>
    <t>https://m.media-amazon.com/images/I/31J-lYaPRhL._AC_SR600,600_.jpg</t>
  </si>
  <si>
    <t>B0CKZ815S1</t>
  </si>
  <si>
    <t>31</t>
  </si>
  <si>
    <t>2023-09-12</t>
  </si>
  <si>
    <t>PINSV Flagship Store</t>
  </si>
  <si>
    <t xml:space="preserve">公司名称：quanzhou zhongqi wangluo keji youxian gongsi
办公地址：
丰海路1569号匹克总部大厦1102单元
泉州市
丰泽区东海街道滨海社区
福建
362000
CN
</t>
  </si>
  <si>
    <t>https://www.amazon.com/gp/help/seller/at-a-glance.html/ref=dp_merchant_link?seller=A24Y5PP0V9OJ80</t>
  </si>
  <si>
    <t>1.32 Pounds</t>
  </si>
  <si>
    <t>598.74 g</t>
  </si>
  <si>
    <t>14.72 x 11.77 x 2.48 inches</t>
  </si>
  <si>
    <t>37.39 x 29.90 x 6.30 cm</t>
  </si>
  <si>
    <t>B0DCFYZ8MH</t>
  </si>
  <si>
    <t>Size: X-Large | Color: B Teal</t>
  </si>
  <si>
    <t>Fabric type: 50%Polyester, 46%Rayon, 4%Spandex. This lounge set is velvety soft and lightweight with stretch,designed to feel silky against your skin. | Care instructions: Machine Wash</t>
  </si>
  <si>
    <t>WIHOLL</t>
  </si>
  <si>
    <t>https://www.amazon.com/stores/WIHOLL/page/E91F5574-606A-4B44-8C58-AE466877417A?ref_=ast_bln&amp;store_ref=bl_ast_dp_brandLogo_sto</t>
  </si>
  <si>
    <t>WIHOLL Women's 2 Piece Lounge Sets Sweatshirt Casual Travel Outfits Fashion Wide Leg Tracksuit Cozy Sweatsuits</t>
  </si>
  <si>
    <t>https://www.amazon.com/dp/B0DCFYZ8MH?psc=1</t>
  </si>
  <si>
    <t>https://m.media-amazon.com/images/I/311nZZxTXGL._AC_SR600,600_.jpg</t>
  </si>
  <si>
    <t>B0DCFXVQD2</t>
  </si>
  <si>
    <t>36</t>
  </si>
  <si>
    <t>2024-09-03</t>
  </si>
  <si>
    <t>WIHOLL FASHION</t>
  </si>
  <si>
    <t xml:space="preserve">公司名称：Guanzhou Yaqing Clothes Co.,Ltd
办公地址：
南村镇员岗中路10号七号小镇B栋204-206
广州市
番禺区
广东省
511446
CN
</t>
  </si>
  <si>
    <t>https://www.amazon.com/gp/help/seller/at-a-glance.html/ref=dp_merchant_link?seller=ANOUR7ZCMRO5</t>
  </si>
  <si>
    <t>1.6 ounces</t>
  </si>
  <si>
    <t>45.36 g</t>
  </si>
  <si>
    <t>0.1 x 0.1 x 0.1 inches</t>
  </si>
  <si>
    <t>0.25 x 0.25 x 0.25 cm</t>
  </si>
  <si>
    <t>B0D5HKDYY6</t>
  </si>
  <si>
    <t>Size: Medium | Color: Navy Blue</t>
  </si>
  <si>
    <t>Fabric type: 70% polyester + 30% rayon | Care instructions: Machine Wash</t>
  </si>
  <si>
    <t>ANRABESS Women 2 Piece Outfits V Neck Sweatshirts Wide Leg Jogger Sweatpants Lounge Sets 2024 Fall Sweatsuit Travel Clothes</t>
  </si>
  <si>
    <t>https://www.amazon.com/dp/B0D5HKDYY6?psc=1</t>
  </si>
  <si>
    <t>https://m.media-amazon.com/images/I/31UyDWxjYrL._AC_SR600,600_.jpg</t>
  </si>
  <si>
    <t>B0D5HJXWPD</t>
  </si>
  <si>
    <t>38</t>
  </si>
  <si>
    <t>2024-05-28</t>
  </si>
  <si>
    <t>B0CRKNFNKS</t>
  </si>
  <si>
    <t>Fabric type: 67% Viscose, 28% Polyester, 5% Elastane | Care instructions: Machine Wash | Origin: Imported | Country of Origin: China</t>
  </si>
  <si>
    <t>PRETTYGARDEN Women's 2 Piece Outfits Casual Short Sleeve Pullover Tops and Wide Leg Pants Lounge Sets Tracksuits</t>
  </si>
  <si>
    <t>https://www.amazon.com/dp/B0CRKNFNKS?psc=1</t>
  </si>
  <si>
    <t>https://m.media-amazon.com/images/I/21vtAaE93CL._AC_SR600,600_.jpg</t>
  </si>
  <si>
    <t>B0CRKHQXZY</t>
  </si>
  <si>
    <t>35</t>
  </si>
  <si>
    <t>2024-01-04</t>
  </si>
  <si>
    <t>B0D78P8Z3V</t>
  </si>
  <si>
    <t>Fabric type: 50% Polyester, 50% Cotton | Care instructions: Machine Wash | Origin: Imported</t>
  </si>
  <si>
    <t>ANRABESS Women 2 Piece Outfits Sweatsuit Zip Up Crop Hoodies SweatPants Lounge Matching Sweat Set 2024 Winter Trendy Clothes</t>
  </si>
  <si>
    <t>https://www.amazon.com/dp/B0D78P8Z3V?psc=1</t>
  </si>
  <si>
    <t>https://m.media-amazon.com/images/I/31ztGY0bBxL._AC_SR600,600_.jpg</t>
  </si>
  <si>
    <t>B0D78W5GZV</t>
  </si>
  <si>
    <t>28</t>
  </si>
  <si>
    <t>2024-06-17</t>
  </si>
  <si>
    <t>2.16 Pounds</t>
  </si>
  <si>
    <t>979.76 g</t>
  </si>
  <si>
    <t>14.37 x 12.6 x 2.44 inches</t>
  </si>
  <si>
    <t>36.50 x 32.00 x 6.20 cm</t>
  </si>
  <si>
    <t>B0DG1QC2BH</t>
  </si>
  <si>
    <t>Fabric type: 50%polyester,50%cotton | Care instructions: Machine Wash</t>
  </si>
  <si>
    <t>SANTINY</t>
  </si>
  <si>
    <t>https://www.amazon.com/stores/SANTINY/page/C8E491B5-0FA2-4D0C-979E-F3B657EE0FA5?ref_=ast_bln&amp;store_ref=bl_ast_dp_brandLogo_sto</t>
  </si>
  <si>
    <t>SANTINY Two Piece Sets for Women Fleece Hoodies Sweatsuits Oversized Sweatshirt 2 Piece Lounge Sets Wide Leg Sweatpants</t>
  </si>
  <si>
    <t>https://www.amazon.com/dp/B0DG1QC2BH?psc=1</t>
  </si>
  <si>
    <t>https://m.media-amazon.com/images/I/31P0jeAeQML._AC_SR600,600_.jpg</t>
  </si>
  <si>
    <t>B0DG1R11YJ</t>
  </si>
  <si>
    <t>47</t>
  </si>
  <si>
    <t>Santiny</t>
  </si>
  <si>
    <t xml:space="preserve">公司名称：Jin Hua Shi Li Pu Import and Export Co., Ltd.
办公地址：
东上小区10幢17号1-2楼
金华
婺城区
浙江
321000
CN
</t>
  </si>
  <si>
    <t>https://www.amazon.com/gp/help/seller/at-a-glance.html/ref=dp_merchant_link?seller=A3E1SQM5WUB3RR</t>
  </si>
  <si>
    <t>B0D6G8MPKD</t>
  </si>
  <si>
    <t>Size: XX-Large | Color: 9023 Black</t>
  </si>
  <si>
    <t>Fabric type: 93.5% Polyester/6.5% Elastane | Care instructions: Machine Wash | Origin: Imported | Country of Origin: China</t>
  </si>
  <si>
    <t>Nimsruc Two Piece Outfits for Women Casual Bodycon Sweatsuits Jogging Suits Set</t>
  </si>
  <si>
    <t>https://www.amazon.com/dp/B0D6G8MPKD?psc=1</t>
  </si>
  <si>
    <t>https://images-na.ssl-images-amazon.com/images/I/41IY0Q2GLuL._AC_US600_.jpg</t>
  </si>
  <si>
    <t>B0D6G5NLRZ</t>
  </si>
  <si>
    <t>0.88 pounds</t>
  </si>
  <si>
    <t>399.16 g</t>
  </si>
  <si>
    <t>13.15 x 10.67 x 1.57 inches</t>
  </si>
  <si>
    <t>33.40 x 27.10 x 3.99 cm</t>
  </si>
  <si>
    <t>B0D669YP7Z</t>
  </si>
  <si>
    <t>Size: Small | Color: Black</t>
  </si>
  <si>
    <t>Fabric type: 50%Polyester,46%Rayon,4%Spandex | Care instructions: Machine Wash | Origin: Imported</t>
  </si>
  <si>
    <t>WIHOLL Two Piece Sets for Women Fall Outfits Lounge Sets Mock Neck Tops Wide Leg Pants Vacation Travel Airport Outfits</t>
  </si>
  <si>
    <t>https://www.amazon.com/dp/B0D669YP7Z?psc=1</t>
  </si>
  <si>
    <t>https://m.media-amazon.com/images/I/31kSqJm3nRL._AC_SR600,600_.jpg</t>
  </si>
  <si>
    <t>B0D669HNLK</t>
  </si>
  <si>
    <t>45</t>
  </si>
  <si>
    <t>2024-06-05</t>
  </si>
  <si>
    <t>13.3 x 11.57 x 1.46 inches</t>
  </si>
  <si>
    <t>33.78 x 29.39 x 3.71 cm</t>
  </si>
  <si>
    <t>B0D1MTJYFR</t>
  </si>
  <si>
    <t>Size: Medium | Color: 6540 Pink</t>
  </si>
  <si>
    <t>Fabric type: 95% Polyester, 5% Spandex | Care instructions: Machine Wash | Origin: Imported | Country of Origin: China</t>
  </si>
  <si>
    <t>Nimsruc Two Piece Outfits For Women Sweatsuits Sets Casual Jogging Suit Matching Clothing</t>
  </si>
  <si>
    <t>https://www.amazon.com/dp/B0D1MTJYFR?psc=1</t>
  </si>
  <si>
    <t>https://m.media-amazon.com/images/I/317enVKhnLL._AC_SR600,600_.jpg</t>
  </si>
  <si>
    <t>B0D7P521YL</t>
  </si>
  <si>
    <t>43</t>
  </si>
  <si>
    <t>2022-05-30</t>
  </si>
  <si>
    <t>14.57 x 11.02 x 0.39 inches</t>
  </si>
  <si>
    <t>37.01 x 27.99 x 0.99 cm</t>
  </si>
  <si>
    <t>B0DCN54RP8</t>
  </si>
  <si>
    <t>Size: XX-Large | Color: A Black</t>
  </si>
  <si>
    <t>Fabric type: 50%Polyester,46%Rayon,4%Spandex. The lounge set is made of light-as-air fabric which is soft and ultra drapey, designed to feel silky against your skin. | Care instructions: Machine Wash | Origin: Imported</t>
  </si>
  <si>
    <t>OFEEFAN</t>
  </si>
  <si>
    <t>https://www.amazon.com/stores/OFEEFAN/page/44FF0B91-99D1-40BD-ABE7-0AE07D0E5B48?ref_=ast_bln&amp;store_ref=bl_ast_dp_brandLogo_sto</t>
  </si>
  <si>
    <t>OFEEFAN Women's 2 Piece Lounge Set Travel Airport Outfits Side Slit Tracksuit Wide Leg Loungewear Baggy Comfy Sweatsuit S-3XL</t>
  </si>
  <si>
    <t>https://www.amazon.com/dp/B0DCN54RP8?psc=1</t>
  </si>
  <si>
    <t>https://m.media-amazon.com/images/I/31dJkdnVUvL._AC_SR600,600_.jpg</t>
  </si>
  <si>
    <t>B0DGY44QFF</t>
  </si>
  <si>
    <t>42</t>
  </si>
  <si>
    <t>2024-09-12</t>
  </si>
  <si>
    <t xml:space="preserve">公司名称：Xia Men Ji Kou Ti Yu Yong Pin You Xian Gong Si
办公地址：
中国（福建）自由贸易试验区厦门片区（保税港区）
海景路268号1号楼203单元之一
厦门市
海沧区
福建
361000
CN
</t>
  </si>
  <si>
    <t>https://www.amazon.com/gp/help/seller/at-a-glance.html/ref=dp_merchant_link?seller=A3452MZW8LXF6S</t>
  </si>
  <si>
    <t>1.48 Pounds</t>
  </si>
  <si>
    <t>671.32 g</t>
  </si>
  <si>
    <t>13.62 x 10.35 x 1.57 inches</t>
  </si>
  <si>
    <t>34.59 x 26.29 x 3.99 cm</t>
  </si>
  <si>
    <t>B08NPKK24X</t>
  </si>
  <si>
    <t>Fabric type: 65% Polyester, 30% Viscose, 5% Spandex | Care instructions: Machine Wash | Origin: Imported | Country of Origin: China</t>
  </si>
  <si>
    <t>PRETTYGARDEN Women's Two Piece Outfit Short Sleeve Pullover with Drawstring Long Pants Tracksuit Jogger Set</t>
  </si>
  <si>
    <t>https://www.amazon.com/dp/B08NPKK24X?psc=1</t>
  </si>
  <si>
    <t>https://m.media-amazon.com/images/I/31-OTMWFueL._AC_SR600,600_.jpg</t>
  </si>
  <si>
    <t>B08NX52TQS</t>
  </si>
  <si>
    <t>54</t>
  </si>
  <si>
    <t>2020-11-30</t>
  </si>
  <si>
    <t>B0D3WLMSYR</t>
  </si>
  <si>
    <t>Fabric type: 70%polyester + 30%rayon | Care instructions: Machine Wash | Origin: Imported | Country of Origin: China</t>
  </si>
  <si>
    <t>ANRABESS Women 2 Piece Outfits Sweatsuit Oversized Sweatshirt Matching Cargo Jogger Sweatpants 2024 Tracksuit Lounge Sets</t>
  </si>
  <si>
    <t>https://www.amazon.com/dp/B0D3WLMSYR?psc=1</t>
  </si>
  <si>
    <t>https://m.media-amazon.com/images/I/31lC-NLfF3L._AC_SR600,600_.jpg</t>
  </si>
  <si>
    <t>B0D3XCK633</t>
  </si>
  <si>
    <t>37</t>
  </si>
  <si>
    <t>2024-05-10</t>
  </si>
  <si>
    <t>B07XJ24QSM</t>
  </si>
  <si>
    <t>Size: Medium | Color: C1# Pink</t>
  </si>
  <si>
    <t>Fabric type: Polyester,Spandex | Care instructions: Hand Wash Only | Origin: Imported</t>
  </si>
  <si>
    <t>EOSIEDUR</t>
  </si>
  <si>
    <t>https://www.amazon.com/EOSIEDUR/b/ref=bl_sl_s_ap_web_21154592011?ie=UTF8&amp;node=21154592011&amp;field-lbr_brands_browse-bin=EOSIEDUR</t>
  </si>
  <si>
    <t>EOSIEDUR Women's Pullover Hoodies Jumpsuit Zipper Jacket Windbreaker Elastic Waistband Pants One Piece Outfits Tracksuit Set</t>
  </si>
  <si>
    <t>https://www.amazon.com/dp/B07XJ24QSM?psc=1</t>
  </si>
  <si>
    <t>https://images-na.ssl-images-amazon.com/images/I/71Go+uRXUcL._AC_US600_.jpg</t>
  </si>
  <si>
    <t>B0BG5LBJHK</t>
  </si>
  <si>
    <t>46</t>
  </si>
  <si>
    <t>2019-09-05</t>
  </si>
  <si>
    <t>emoliy</t>
  </si>
  <si>
    <t xml:space="preserve">公司名称：shenzhen zhong mao hua fa Ltd
办公地址：
民治街道民泰社区民治南路59号
民乐山庄商住楼C栋315
深圳市
龙华区
广东省
518000
CN
</t>
  </si>
  <si>
    <t>https://www.amazon.com/gp/help/seller/at-a-glance.html/ref=dp_merchant_link?seller=A1NQPPQ6BJ336V</t>
  </si>
  <si>
    <t>0.33 pounds</t>
  </si>
  <si>
    <t>149.69 g</t>
  </si>
  <si>
    <t>13 x 8.8 x 1.3 inches</t>
  </si>
  <si>
    <t>33.02 x 22.35 x 3.30 cm</t>
  </si>
  <si>
    <t>B0D9VMHLJQ</t>
  </si>
  <si>
    <t>Fabric type: Fabric: Cotton + Polyester, this travel sets for women is soft and warm to wear | Care instructions: Machine Wash | Origin: Imported</t>
  </si>
  <si>
    <t>SeeLuNa</t>
  </si>
  <si>
    <t>https://www.amazon.com/stores/SeeLuNa/page/1AFC5BCE-0F8A-4138-99B3-E9C75EBB669D?ref_=ast_bln&amp;store_ref=bl_ast_dp_brandLogo_sto</t>
  </si>
  <si>
    <t>Lounge Sets for Women 2 Piece Outfits Long Sleeve V Neck Pullover Sweatshirts Wide Leg Pants Travel Tracksuit Set</t>
  </si>
  <si>
    <t>https://www.amazon.com/dp/B0D9VMHLJQ?psc=1</t>
  </si>
  <si>
    <t>https://images-na.ssl-images-amazon.com/images/I/61DNf-uIFjL._AC_US600_.jpg</t>
  </si>
  <si>
    <t>B0D9VMFT15</t>
  </si>
  <si>
    <t>34</t>
  </si>
  <si>
    <t>2024-07-21</t>
  </si>
  <si>
    <t>Qiuxian</t>
  </si>
  <si>
    <t xml:space="preserve">公司名称：Anhui Qiuxian Trading Co., Ltd.
办公地址：
城关镇人民中路西
太和县餐饮服务公司商住楼301室
阜阳
太和县
安徽
236699
CN
</t>
  </si>
  <si>
    <t>https://www.amazon.com/gp/help/seller/at-a-glance.html/ref=dp_merchant_link?seller=A6O082CHH670Y</t>
  </si>
  <si>
    <t>0.3 x 0.3 x 0.3 inches</t>
  </si>
  <si>
    <t>0.76 x 0.76 x 0.76 cm</t>
  </si>
  <si>
    <t>B0CDKSQXG9</t>
  </si>
  <si>
    <t>Size: Large | Color: Dark Blue</t>
  </si>
  <si>
    <t>Fabric type: 65%Polyester30%Viscose5%Spandex | Care instructions: Machine Wash | Origin: Imported | Country of Origin: China</t>
  </si>
  <si>
    <t>MASCOMODA</t>
  </si>
  <si>
    <t>https://www.amazon.com/stores/mascomoda/page/B01262B6-B2C8-4563-B3EC-AF6864758462?ref_=ast_bln&amp;store_ref=bl_ast_dp_brandLogo_sto</t>
  </si>
  <si>
    <t>MASCOMODA 2024 Lounge Sets for Women Fall 2 Piece Outfits Tracksuit Jogger Set Long Sleeve Tops and Long Pants with Pockets</t>
  </si>
  <si>
    <t>https://www.amazon.com/dp/B0CDKSQXG9?psc=1</t>
  </si>
  <si>
    <t>https://m.media-amazon.com/images/I/31cPhYLZ7vL._AC_SR600,600_.jpg</t>
  </si>
  <si>
    <t>B0CDKSLZGQ</t>
  </si>
  <si>
    <t>41</t>
  </si>
  <si>
    <t>2023-08-02</t>
  </si>
  <si>
    <t xml:space="preserve">公司名称：Qingdao Jinyao Electronic Commerce Co., Ltd.
办公地址：
蓝村镇
城后村85号
青岛市
即墨市
山东
266200
CN
</t>
  </si>
  <si>
    <t>https://www.amazon.com/gp/help/seller/at-a-glance.html/ref=dp_merchant_link?seller=A2S4LMK88KEJRK</t>
  </si>
  <si>
    <t>1.34 Pounds</t>
  </si>
  <si>
    <t>607.81 g</t>
  </si>
  <si>
    <t>12.28 x 10.24 x 2.05 inches</t>
  </si>
  <si>
    <t>31.19 x 26.01 x 5.21 cm</t>
  </si>
  <si>
    <t>B0D5R2Q1P4</t>
  </si>
  <si>
    <t>Women's 2 Piece Outfits Zip Up Sweatshirt Contrast Striped Wide Leg Sweatpants Suits Jogger Travel Matching Set</t>
  </si>
  <si>
    <t>https://www.amazon.com/dp/B0D5R2Q1P4?psc=1</t>
  </si>
  <si>
    <t>https://images-na.ssl-images-amazon.com/images/I/51di5ZROhxL._AC_US600_.jpg</t>
  </si>
  <si>
    <t>B0D5R3W2HK</t>
  </si>
  <si>
    <t>51</t>
  </si>
  <si>
    <t>2024-05-30</t>
  </si>
  <si>
    <t>1.8 Pounds</t>
  </si>
  <si>
    <t>816.47 g</t>
  </si>
  <si>
    <t>14 x 11.5 x 2 inches</t>
  </si>
  <si>
    <t>35.56 x 29.21 x 5.08 cm</t>
  </si>
  <si>
    <t>B0BGFVH4Z5</t>
  </si>
  <si>
    <t>ANRABESS Women's Two Piece Outfits Sweater Sets Long Sleeve Zip Up Knit Pullover Jogger Pants Tracksuit 2024 Fall Lounge Sets</t>
  </si>
  <si>
    <t>https://www.amazon.com/dp/B0BGFVH4Z5?psc=1</t>
  </si>
  <si>
    <t>https://m.media-amazon.com/images/I/31Bsn7qu6jL._AC_SR600,600_.jpg</t>
  </si>
  <si>
    <t>49</t>
  </si>
  <si>
    <t>2022-09-24</t>
  </si>
  <si>
    <t>ANRABESS-8</t>
  </si>
  <si>
    <t xml:space="preserve">公司名称：Yiwu hangmiao import and Export Co., Ltd
办公地址：
金华市义乌市北苑街道西城路469街秀禾问茶3号 1939
金华市义乌市
金华市义乌市
浙江省
322099
CN
</t>
  </si>
  <si>
    <t>https://www.amazon.com/gp/help/seller/at-a-glance.html/ref=dp_merchant_link?seller=A33ADOTJ71RZ2D</t>
  </si>
  <si>
    <t>2.03 Pounds</t>
  </si>
  <si>
    <t>920.79 g</t>
  </si>
  <si>
    <t>16.65 x 12.52 x 2.36 inches</t>
  </si>
  <si>
    <t>42.29 x 31.80 x 5.99 cm</t>
  </si>
  <si>
    <t>B0D8VL677Q</t>
  </si>
  <si>
    <t>Aomice</t>
  </si>
  <si>
    <t>https://www.amazon.com/stores/Aomice/page/086021D0-7C1B-4316-9436-EDC15BD7940D?ref_=ast_bln&amp;store_ref=bl_ast_dp_brandLogo_sto</t>
  </si>
  <si>
    <t>Aomice Women Two Piece Outfits Sweatsuits Sets Bodycon Tracksuit Long Sleeve Jogger Hoodie Sweat pants Set</t>
  </si>
  <si>
    <t>https://www.amazon.com/dp/B0D8VL677Q?psc=1</t>
  </si>
  <si>
    <t>https://images-na.ssl-images-amazon.com/images/I/41odGvPAhQL._AC_US600_.jpg</t>
  </si>
  <si>
    <t xml:space="preserve">公司名称：quanzhoufengzequzhixingwangluokejiyouxiangongsi
办公地址：
泉秀街道宝洲街721号
万达写字楼A幢2805室A05
泉州市
丰泽区
福建省
362000
CN
</t>
  </si>
  <si>
    <t>https://www.amazon.com/gp/help/seller/at-a-glance.html/ref=dp_merchant_link?seller=A25SC79F2I4QED</t>
  </si>
  <si>
    <t>0.99 pounds</t>
  </si>
  <si>
    <t>449.06 g</t>
  </si>
  <si>
    <t>B0CN6KNZ9M</t>
  </si>
  <si>
    <t>PINSV Women 2 Piece Outfits Short Sleeve Top and Flare Pants Lounge Sets Tracksuit</t>
  </si>
  <si>
    <t>https://www.amazon.com/dp/B0CN6KNZ9M?psc=1</t>
  </si>
  <si>
    <t>https://m.media-amazon.com/images/I/31ruRuwzxaL._AC_SR600,600_.jpg</t>
  </si>
  <si>
    <t>Clothing, Shoes &amp; Jewelry:Women:Clothing:Active:Sets:Active Sweatsuits</t>
  </si>
  <si>
    <t>Women's Sweatsuits</t>
  </si>
  <si>
    <t>170</t>
  </si>
  <si>
    <t>2023-11-12</t>
  </si>
  <si>
    <t>13.58 x 10.63 x 1.73 inches</t>
  </si>
  <si>
    <t>34.49 x 27.00 x 4.39 cm</t>
  </si>
  <si>
    <t>B0CGWRZ8TK</t>
  </si>
  <si>
    <t>BTFBM Women 2 Piece Outfits Long Sleeve Crop Top Pullover Drawstring Pant Jogger Set Casual Sweatsuits Tracksuit Pockets</t>
  </si>
  <si>
    <t>https://www.amazon.com/dp/B0CGWRZ8TK?psc=1</t>
  </si>
  <si>
    <t>https://m.media-amazon.com/images/I/31YSM2jzecL._AC_SR600,600_.jpg</t>
  </si>
  <si>
    <t>121</t>
  </si>
  <si>
    <t>2023-08-15</t>
  </si>
  <si>
    <t>BTFBM-US</t>
  </si>
  <si>
    <t xml:space="preserve">公司名称：Shenzhen Sky Wing Garment Co Ltd
电话号码：+86 17158810935
办公地址：
西乡街道蜀风路42号
深圳市
宝安区
广东省
518000
CN
</t>
  </si>
  <si>
    <t>https://www.amazon.com/gp/help/seller/at-a-glance.html/ref=dp_merchant_link?seller=A3PHKV74SGJ688</t>
  </si>
  <si>
    <t>B0CRHKCHG6</t>
  </si>
  <si>
    <t>AnotherChill</t>
  </si>
  <si>
    <t>https://www.amazon.com/stores/AnotherChill/page/E78F145C-4FC2-4296-B76A-89957B45A726?ref_=ast_bln&amp;store_ref=bl_ast_dp_brandLogo_sto</t>
  </si>
  <si>
    <t>AnotherChill Women's 2 Piece Lounge Sets Straight Leg Pants Set Short Sleeve Crop T-shirt Casual Outfits Comfy Loungewear</t>
  </si>
  <si>
    <t>https://www.amazon.com/dp/B0CRHKCHG6?psc=1</t>
  </si>
  <si>
    <t>https://images-na.ssl-images-amazon.com/images/I/51UiPN+XT6L._AC_US600_.jpg</t>
  </si>
  <si>
    <t>2024-01-03</t>
  </si>
  <si>
    <t xml:space="preserve">公司名称：hangzhoujunhaomaoyiyouxiangongsi
办公地址：
CN
杭州市钱塘区白杨街道10号大街（东）168号4幢2036
杭州市
浙江
310018
CN
</t>
  </si>
  <si>
    <t>https://www.amazon.com/gp/help/seller/at-a-glance.html/ref=dp_merchant_link?seller=A28JI03MWIS017</t>
  </si>
  <si>
    <t>9.91 ounces</t>
  </si>
  <si>
    <t>280.94 g</t>
  </si>
  <si>
    <t>10.35 x 7.72 x 1.81 inches</t>
  </si>
  <si>
    <t>26.29 x 19.61 x 4.60 cm</t>
  </si>
  <si>
    <t>B0CBBJ2V9L</t>
  </si>
  <si>
    <t>AUTOMET Womens 2 Piece Outfits Sweatsuit Oversized Sweatshirt Lounge Sets Baggy Sweatpants Fall Fashion with Pockets</t>
  </si>
  <si>
    <t>https://www.amazon.com/dp/B0CBBJ2V9L?psc=1</t>
  </si>
  <si>
    <t>https://images-na.ssl-images-amazon.com/images/I/61OkSF8XhEL._AC_US600_.jpg</t>
  </si>
  <si>
    <t>61</t>
  </si>
  <si>
    <t>13.62 x 11.3 x 4.88 inches</t>
  </si>
  <si>
    <t>34.59 x 28.70 x 12.40 cm</t>
  </si>
  <si>
    <t>B0D7P3M9PH</t>
  </si>
  <si>
    <t>KIRUNDO</t>
  </si>
  <si>
    <t>https://www.amazon.com/stores/KIRUNDO/page/FF9388C4-7759-469C-8268-127F21B498D1?ref_=ast_bln&amp;store_ref=bl_ast_dp_brandLogo_sto</t>
  </si>
  <si>
    <t>KIRUNDO Women's Fall 2 Piece Outfits Ribbed Knit Lounge Sets Long Sleeve Pullover Drawstring Jogger Pants Tracksuit Set</t>
  </si>
  <si>
    <t>https://www.amazon.com/dp/B0D7P3M9PH?psc=1</t>
  </si>
  <si>
    <t>https://images-na.ssl-images-amazon.com/images/I/71xrR6lxzlL._AC_US600_.jpg</t>
  </si>
  <si>
    <t>53</t>
  </si>
  <si>
    <t>2024-06-20</t>
  </si>
  <si>
    <t xml:space="preserve">公司名称：Yiwu Lizhi Trading Co., Ltd
办公地址：
凌云3区99幢1单元303室
义乌市
北苑街道
浙江省
322000
CN
</t>
  </si>
  <si>
    <t>https://www.amazon.com/gp/help/seller/at-a-glance.html/ref=dp_merchant_link?seller=A2XQ1SBCAIOTCN</t>
  </si>
  <si>
    <t>12.99 x 11.3 x 1.5 inches</t>
  </si>
  <si>
    <t>32.99 x 28.70 x 3.81 cm</t>
  </si>
  <si>
    <t>B0D22L5DXN</t>
  </si>
  <si>
    <t>PRETTYGARDEN Women's 2 Piece Outfits Fall Casual Long Sleeve Pullover Tops and Wide Leg Pants Knitted Lounge Sets</t>
  </si>
  <si>
    <t>https://www.amazon.com/dp/B0D22L5DXN?psc=1</t>
  </si>
  <si>
    <t>https://m.media-amazon.com/images/I/31wxan-op2L._AC_SR600,600_.jpg</t>
  </si>
  <si>
    <t>2024-04-17</t>
  </si>
  <si>
    <t>B0CZ6MW2PN</t>
  </si>
  <si>
    <t>BTFBM Casual 2 Piece Sets For Women Fall Outfits Ribbed Knit Long Sleeve Crop Top Wide Leg Pants Matching Lounge Set</t>
  </si>
  <si>
    <t>https://www.amazon.com/dp/B0CZ6MW2PN?psc=1</t>
  </si>
  <si>
    <t>https://m.media-amazon.com/images/I/21sBNhcOPWL._AC_SR600,600_.jpg</t>
  </si>
  <si>
    <t>56</t>
  </si>
  <si>
    <t>2024-03-26</t>
  </si>
  <si>
    <t>NA</t>
  </si>
  <si>
    <t>B0D4PT8CF2</t>
  </si>
  <si>
    <t>ANRABESS Womens Two Piece Outfits Sweater Sets Waffle Knit Pullover Wide Leg Pants Tracksuit Sweatsuits Matching Lounge Set</t>
  </si>
  <si>
    <t>https://www.amazon.com/dp/B0D4PT8CF2?psc=1</t>
  </si>
  <si>
    <t>https://m.media-amazon.com/images/I/41PeUb2qCBL._AC_SR600,600_.jpg</t>
  </si>
  <si>
    <t>69</t>
  </si>
  <si>
    <t>2024-05-20</t>
  </si>
  <si>
    <t>2.14 Pounds</t>
  </si>
  <si>
    <t>970.69 g</t>
  </si>
  <si>
    <t>15.79 x 12.71 x 2.44 inches</t>
  </si>
  <si>
    <t>40.11 x 32.28 x 6.20 cm</t>
  </si>
  <si>
    <t>B0D2HF6L3G</t>
  </si>
  <si>
    <t>Yioaga</t>
  </si>
  <si>
    <t>https://www.amazon.com/Yioaga/b/ref=bl_sl_s_ap_web_115834660011?ie=UTF8&amp;node=115834660011&amp;field-lbr_brands_browse-bin=Yioaga</t>
  </si>
  <si>
    <t>Yioaga Women Tracksuits 2 Piece Set Carmel Travel Set Patrick Pullover Sweatshirt Catherine Sweatpants Casual Lounge Set</t>
  </si>
  <si>
    <t>https://www.amazon.com/dp/B0D2HF6L3G?psc=1</t>
  </si>
  <si>
    <t>https://m.media-amazon.com/images/I/31zN8aC0HgL._AC_SR600,600_.jpg</t>
  </si>
  <si>
    <t>64</t>
  </si>
  <si>
    <t>2024-04-22</t>
  </si>
  <si>
    <t>Yioaga Direct corp.</t>
  </si>
  <si>
    <t xml:space="preserve">公司名称：Hefei Chengshu Import and Export Co., Ltd
办公地址：
烈山路2002号毓秀雅苑17幢803
合肥
新站
安徽
230012
CN
</t>
  </si>
  <si>
    <t>https://www.amazon.com/gp/help/seller/at-a-glance.html/ref=dp_merchant_link?seller=A1JHDEC5E8DHGE</t>
  </si>
  <si>
    <t>1.54 Pounds</t>
  </si>
  <si>
    <t>698.53 g</t>
  </si>
  <si>
    <t>B0D2CTT3X1</t>
  </si>
  <si>
    <t>PRETTYGARDEN Women's 2 Piece Lounge Sets 2024 Fall Knitted Hoodie Pullover Tops Cargo Pants Matching Outfits Tracksuits</t>
  </si>
  <si>
    <t>https://www.amazon.com/dp/B0D2CTT3X1?psc=1</t>
  </si>
  <si>
    <t>https://m.media-amazon.com/images/I/31WoJkVnZ2L._AC_SR600,600_.jpg</t>
  </si>
  <si>
    <t>2024-04-21</t>
  </si>
  <si>
    <t>B07VC63689</t>
  </si>
  <si>
    <t>Yasumond</t>
  </si>
  <si>
    <t>https://www.amazon.com/stores/Yasumond/page/3D60F832-7186-461F-9A65-AD88D6BCB2B7?ref_=ast_bln&amp;store_ref=bl_ast_dp_brandLogo_sto</t>
  </si>
  <si>
    <t>Yasumond Velour Tracksuit Womens 2 Pieces Joggers Outfits Jogging Sweatsuits Set Soft Sports Sweat Suits Pants</t>
  </si>
  <si>
    <t>https://www.amazon.com/dp/B07VC63689?psc=1</t>
  </si>
  <si>
    <t>https://images-na.ssl-images-amazon.com/images/I/51-zJ06pZOL._AC_US600_.jpg</t>
  </si>
  <si>
    <t>58</t>
  </si>
  <si>
    <t>2019-03-31</t>
  </si>
  <si>
    <t>POWERINT</t>
  </si>
  <si>
    <t xml:space="preserve">公司名称：Xiamen Power Internet Technology Co., Ltd.
办公地址：
滨海西大道6788-6号银城智谷A6栋5楼
厦门市
同安区
福建省
361116
CN
</t>
  </si>
  <si>
    <t>https://www.amazon.com/gp/help/seller/at-a-glance.html/ref=dp_merchant_link?seller=A2G1QHS96IQWKH</t>
  </si>
  <si>
    <t>keely jones costume ted lasso</t>
  </si>
  <si>
    <t>1.61 Pounds</t>
  </si>
  <si>
    <t>730.28 g</t>
  </si>
  <si>
    <t>14.06 x 10.35 x 3.35 inches</t>
  </si>
  <si>
    <t>35.71 x 26.29 x 8.51 cm</t>
  </si>
  <si>
    <t>B0D73P1KX2</t>
  </si>
  <si>
    <t>LILLUSORY Womens 2 Piece Lounge Sweater Sets Matching Clothing Crochet Striped V Neck Sweaters and Pants</t>
  </si>
  <si>
    <t>https://www.amazon.com/dp/B0D73P1KX2?psc=1</t>
  </si>
  <si>
    <t>https://m.media-amazon.com/images/I/41Uy90S4U9L._AC_SR600,600_.jpg</t>
  </si>
  <si>
    <t>156</t>
  </si>
  <si>
    <t>1.79 Pounds</t>
  </si>
  <si>
    <t>811.93 g</t>
  </si>
  <si>
    <t>16.18 x 12.36 x 2.87 inches</t>
  </si>
  <si>
    <t>41.10 x 31.39 x 7.29 cm</t>
  </si>
  <si>
    <t>B0DCVGVP5Y</t>
  </si>
  <si>
    <t>SUUKSESS Women Modal Fall 2 piece outfits Oversized Sweatshirt Wide Leg Pants</t>
  </si>
  <si>
    <t>https://www.amazon.com/dp/B0DCVGVP5Y?psc=1</t>
  </si>
  <si>
    <t>https://images-na.ssl-images-amazon.com/images/I/51jZUwH1cyL._AC_US600_.jpg</t>
  </si>
  <si>
    <t>93</t>
  </si>
  <si>
    <t>2024-08-11</t>
  </si>
  <si>
    <t>13.62 x 13.3 x 2.95 inches</t>
  </si>
  <si>
    <t>34.59 x 33.78 x 7.49 cm</t>
  </si>
  <si>
    <t>B0D3QJ25Z7</t>
  </si>
  <si>
    <t>ANRABESS Womens 2 Piece Outfits Lounge Sets Cropped Sweatshirt &amp; Joggers Fashion Sweatsuit Sweat Set 2024 Fall Travel</t>
  </si>
  <si>
    <t>https://www.amazon.com/dp/B0D3QJ25Z7?psc=1</t>
  </si>
  <si>
    <t>https://images-na.ssl-images-amazon.com/images/I/61-V8agpxqL._AC_US600_.jpg</t>
  </si>
  <si>
    <t>77</t>
  </si>
  <si>
    <t>2024-05-08</t>
  </si>
  <si>
    <t>15.79 x 11.85 x 2.68 inches</t>
  </si>
  <si>
    <t>40.11 x 30.10 x 6.81 cm</t>
  </si>
  <si>
    <t>B0CDP4KNLN</t>
  </si>
  <si>
    <t>PRETTYGARDEN Womens 2024 Fall Two Piece Outfits Ribbed Knit Long Sleeve Pullover Sweater and Bodycon Midi Skirt Sets</t>
  </si>
  <si>
    <t>https://www.amazon.com/dp/B0CDP4KNLN?psc=1</t>
  </si>
  <si>
    <t>https://m.media-amazon.com/images/I/31d2fJ4D1JL._AC_SR600,600_.jpg</t>
  </si>
  <si>
    <t>62</t>
  </si>
  <si>
    <t>2023-08-03</t>
  </si>
  <si>
    <t>B0CBMGFZRH</t>
  </si>
  <si>
    <t>ANRABESS Women's 2 Piece Outfit Sweater Lounge Sets Long Sleeve Knit Pullover Wide Leg Pant Tracksuit Loungewear 2024 Fashion</t>
  </si>
  <si>
    <t>https://www.amazon.com/dp/B0CBMGFZRH?psc=1</t>
  </si>
  <si>
    <t>https://m.media-amazon.com/images/I/41VvoBWnk6L._AC_SR600,600_.jpg</t>
  </si>
  <si>
    <t>2023-04-19</t>
  </si>
  <si>
    <t>2.34 Pounds</t>
  </si>
  <si>
    <t>1.06 kg</t>
  </si>
  <si>
    <t>16.81 x 11.77 x 3.23 inches</t>
  </si>
  <si>
    <t>42.70 x 29.90 x 8.20 cm</t>
  </si>
  <si>
    <t>B0D2NP6P8C</t>
  </si>
  <si>
    <t>UOUA</t>
  </si>
  <si>
    <t>https://www.amazon.com/stores/UOUAFASHION/page/9EC63F78-31EB-421B-A486-313728B9A5C2?ref_=ast_bln&amp;store_ref=bl_ast_dp_brandLogo_sto</t>
  </si>
  <si>
    <t>UOUA Women's Color Block 2 Piece 80s 90s Outfits Long Sleeve Windbreaker Jacket Tracksuit Set</t>
  </si>
  <si>
    <t>https://www.amazon.com/dp/B0D2NP6P8C?psc=1</t>
  </si>
  <si>
    <t>https://m.media-amazon.com/images/I/31F+jq3kGGL._AC_SR600,600_.jpg</t>
  </si>
  <si>
    <t>2024-04-24</t>
  </si>
  <si>
    <t>Maymallhill</t>
  </si>
  <si>
    <t xml:space="preserve">公司名称：Xiamen Maimoshanqiu Gongyinglian Youxiangongsi
办公地址：
湖里区枋湖北里
25号302室
厦门市
福建
361000
CN
</t>
  </si>
  <si>
    <t>https://www.amazon.com/gp/help/seller/at-a-glance.html/ref=dp_merchant_link?seller=A2CMKR8PBX8UTO</t>
  </si>
  <si>
    <t>1.39 Pounds</t>
  </si>
  <si>
    <t>630.49 g</t>
  </si>
  <si>
    <t>11.3 x 9.57 x 2.52 inches</t>
  </si>
  <si>
    <t>28.70 x 24.31 x 6.40 cm</t>
  </si>
  <si>
    <t>B0D3TSQ3PG</t>
  </si>
  <si>
    <t>Saloogoe</t>
  </si>
  <si>
    <t>https://www.amazon.com/stores/Saloogoe/page/50F6AD1F-09ED-4EF0-B9AF-C7CD12F20D54?ref_=ast_bln&amp;store_ref=bl_ast_dp_brandLogo_sto</t>
  </si>
  <si>
    <t>Saloogoe Lounge Sets for Women 2 Piece Sweatsuits Travel Outfits Fall Crewneck Sweatshirts Wide Leg Sweatpants Matching Sets</t>
  </si>
  <si>
    <t>https://www.amazon.com/dp/B0D3TSQ3PG?psc=1</t>
  </si>
  <si>
    <t>https://images-na.ssl-images-amazon.com/images/I/61PDiPSTcQL._AC_US600_.jpg</t>
  </si>
  <si>
    <t>63</t>
  </si>
  <si>
    <t>2024-05-09</t>
  </si>
  <si>
    <t xml:space="preserve">公司名称：Xiamen Langyi Garment Trading Co., Ltd
办公地址：
Huasheng Road, Huli District
Room 209, No.7
xiamen
Fujian
361000
CN
</t>
  </si>
  <si>
    <t>https://www.amazon.com/gp/help/seller/at-a-glance.html/ref=dp_merchant_link?seller=A1HOHCHFP9W3W5</t>
  </si>
  <si>
    <t>1.5 Pounds</t>
  </si>
  <si>
    <t>680.39 g</t>
  </si>
  <si>
    <t>13.74 x 11.97 x 1.54 inches</t>
  </si>
  <si>
    <t>34.90 x 30.40 x 3.91 cm</t>
  </si>
  <si>
    <t>B0D2NS5ZYM</t>
  </si>
  <si>
    <t>BTFBM Women's Two Piece Tracksuit Fall 2024 Long Sleeve Zip Up Sweatshirt Long Pants Outfits Jogger Sweatsuit Sets</t>
  </si>
  <si>
    <t>https://www.amazon.com/dp/B0D2NS5ZYM?psc=1</t>
  </si>
  <si>
    <t>https://m.media-amazon.com/images/I/31AD7ABjoNL._AC_SR600,600_.jpg</t>
  </si>
  <si>
    <t>65</t>
  </si>
  <si>
    <t>2.2 Pounds</t>
  </si>
  <si>
    <t>997.90 g</t>
  </si>
  <si>
    <t>14.57 x 13.3 x 2.99 inches</t>
  </si>
  <si>
    <t>37.01 x 33.78 x 7.59 cm</t>
  </si>
  <si>
    <t>B0DCJ7Y95J</t>
  </si>
  <si>
    <t>wxglndab</t>
  </si>
  <si>
    <t>https://www.amazon.com/stores/wxglndab/page/5F7BD875-A43E-459C-8EEF-963757829AAB?ref_=ast_bln</t>
  </si>
  <si>
    <t>wxglndab Jogger Sets for Women 2 Piece Fall Outfits Long Sleeve Casual Track Suits Fashion Loose Hooded Sweatsuit Lounge Sets</t>
  </si>
  <si>
    <t>https://www.amazon.com/dp/B0DCJ7Y95J?psc=1</t>
  </si>
  <si>
    <t>https://m.media-amazon.com/images/I/419xxJsvR6L._AC_SR600,600_.jpg</t>
  </si>
  <si>
    <t>151</t>
  </si>
  <si>
    <t>FBM</t>
  </si>
  <si>
    <t>zneLifg</t>
  </si>
  <si>
    <t xml:space="preserve">公司名称：Guang zhouShi yi teng jiaFu zhuang You xian gongSi
办公地址：
天河区科韵路
20号四层A038
广州市
广东省
510665
CN
</t>
  </si>
  <si>
    <t>https://www.amazon.com/gp/help/seller/at-a-glance.html/ref=dp_merchant_link?seller=AN0R5HDOHPC36</t>
  </si>
  <si>
    <t>1.76 ounces</t>
  </si>
  <si>
    <t>49.90 g</t>
  </si>
  <si>
    <t>B0D6RH3CZ6</t>
  </si>
  <si>
    <t>PRETTYGARDEN Women's 2 Piece Outfits Knit Matching Lounge Sets Long Sleeve V Neck Cardigan Sweaters Wide Leg Pants Tracksuits</t>
  </si>
  <si>
    <t>https://www.amazon.com/dp/B0D6RH3CZ6?psc=1</t>
  </si>
  <si>
    <t>https://m.media-amazon.com/images/I/31LJeCa7bxL._AC_SR600,600_.jpg</t>
  </si>
  <si>
    <t>83</t>
  </si>
  <si>
    <t>2024-06-10</t>
  </si>
  <si>
    <t>B081C38Q7Y</t>
  </si>
  <si>
    <t>HOTOUCH</t>
  </si>
  <si>
    <t>https://www.amazon.com/stores/Hotouch/page/FD69172B-6665-4980-BCF7-1DD7F6594521?ref_=ast_bln&amp;store_ref=bl_ast_dp_brandLogo_sto</t>
  </si>
  <si>
    <t>HOTOUCH Womens Casual Velour Tracksuit Set Full Zipper Hoodie Workout Pants Velvet Sweatsuit Jogging Suits XS-XXL</t>
  </si>
  <si>
    <t>https://www.amazon.com/dp/B081C38Q7Y?psc=1</t>
  </si>
  <si>
    <t>https://m.media-amazon.com/images/I/31UQQokwGpL._AC_SR600,600_.jpg</t>
  </si>
  <si>
    <t>2023-07-08</t>
  </si>
  <si>
    <t xml:space="preserve">公司名称：shenzhenshi xinuo dianzishangwu youxiangongsi
电话号码：+8613760196542
办公地址：
6018号富基置地大厦1栋3025D
龙岗区龙岗街道
南联社区龙岗大道
深圳市
518000
CN
</t>
  </si>
  <si>
    <t>https://www.amazon.com/gp/help/seller/at-a-glance.html/ref=dp_merchant_link?seller=AAQ6OPQ0HZ4YE</t>
  </si>
  <si>
    <t>light pink velour tracksuit womens</t>
  </si>
  <si>
    <t>1.1 Pounds</t>
  </si>
  <si>
    <t>498.95 g</t>
  </si>
  <si>
    <t>15.94 x 12.71 x 3.31 inches</t>
  </si>
  <si>
    <t>40.49 x 32.28 x 8.41 cm</t>
  </si>
  <si>
    <t>B0CG8BP7JZ</t>
  </si>
  <si>
    <t>PRETTYGARDEN Women's 2 Piece Outfits 2024 Winter Long Sleeve Pullover Tops And Long Pants Lounge Sets Tracksuit</t>
  </si>
  <si>
    <t>https://www.amazon.com/dp/B0CG8BP7JZ?psc=1</t>
  </si>
  <si>
    <t>https://images-na.ssl-images-amazon.com/images/I/61uIoDlsTpL._AC_US600_.jpg</t>
  </si>
  <si>
    <t>72</t>
  </si>
  <si>
    <t>2023-08-21</t>
  </si>
  <si>
    <t>B0D93M8QJ7</t>
  </si>
  <si>
    <t>COPYLEAF</t>
  </si>
  <si>
    <t>https://www.amazon.com/stores/COPYLEAF/page/900E3D38-F862-4C24-B5BB-CFF4D4DDD96B?ref_=ast_bln</t>
  </si>
  <si>
    <t>COPYLEAF Two Piece Lounge Sets for Women Fold Over Flare Pants Short Sleeve Crop Top Y2k Outfits Matching Set Tracksuit</t>
  </si>
  <si>
    <t>https://www.amazon.com/dp/B0D93M8QJ7?psc=1</t>
  </si>
  <si>
    <t>https://images-na.ssl-images-amazon.com/images/I/31bKN73i6yL._AC_US600_.jpg</t>
  </si>
  <si>
    <t>90</t>
  </si>
  <si>
    <t>2024-07-23</t>
  </si>
  <si>
    <t xml:space="preserve">公司名称：Huzhou Kaiyi Textile Co., Ltd.
办公地址：
振兴路66号
4幢201室
湖州市
德清县雷甸镇
浙江省
313219
CN
</t>
  </si>
  <si>
    <t>https://www.amazon.com/gp/help/seller/at-a-glance.html/ref=dp_merchant_link?seller=A2ZQJ5KF4EEBHB</t>
  </si>
  <si>
    <t>14.89 ounces</t>
  </si>
  <si>
    <t>422.12 g</t>
  </si>
  <si>
    <t>11.18 x 10.43 x 0.75 inches</t>
  </si>
  <si>
    <t>28.40 x 26.49 x 1.91 cm</t>
  </si>
  <si>
    <t>B0D7MNYVZG</t>
  </si>
  <si>
    <t>Aokosor</t>
  </si>
  <si>
    <t>https://www.amazon.com/stores/Aokosor/page/DE6EAD3E-63B1-4EEF-8A61-8653784C3C15?ref_=ast_bln&amp;store_ref=bl_ast_dp_brandLogo_sto</t>
  </si>
  <si>
    <t>Aokosor Womens 2 Piece Outfits Lounge Half Zip Hoodie Sweatsuit Sets Oversized Sweatshirt Baggy Fall Fashion Sweatpants</t>
  </si>
  <si>
    <t>https://www.amazon.com/dp/B0D7MNYVZG?psc=1</t>
  </si>
  <si>
    <t>https://m.media-amazon.com/images/I/31yKI9gWSzL._AC_SR600,600_.jpg</t>
  </si>
  <si>
    <t>2024-08-16</t>
  </si>
  <si>
    <t xml:space="preserve">公司名称：Xiamen Langxiao Ke Ji You Xian Gong Si
办公地址：
诚毅大街358号软件园三期A01（10楼1001-2单元）
厦门市
集美区
福建省
361000
CN
</t>
  </si>
  <si>
    <t>https://www.amazon.com/gp/help/seller/at-a-glance.html/ref=dp_merchant_link?seller=A247823AUWNPSP</t>
  </si>
  <si>
    <t>B0D2ZDY584</t>
  </si>
  <si>
    <t>ETCYY NEW Lounge Sets for Women Sweatsuits Sets Two Piece Outfit Long Sleeve Pant Workout Athletic Tracksuits</t>
  </si>
  <si>
    <t>https://www.amazon.com/dp/B0D2ZDY584?psc=1</t>
  </si>
  <si>
    <t>https://m.media-amazon.com/images/I/31AL0RlXtIL._AC_SR600,600_.jpg</t>
  </si>
  <si>
    <t>75</t>
  </si>
  <si>
    <t>2020-09-27</t>
  </si>
  <si>
    <t>1.42 Pounds</t>
  </si>
  <si>
    <t>644.10 g</t>
  </si>
  <si>
    <t>12.64 x 10.2 x 2.64 inches</t>
  </si>
  <si>
    <t>32.11 x 25.91 x 6.71 cm</t>
  </si>
  <si>
    <t>B0CGRS8S5J</t>
  </si>
  <si>
    <t>ANRABESS Womens 2 Piece Outfits Sweatsuit Set 2024 Fall Drawstring Sweatshirt Wide Leg Sweatpant Lounge Set Tracksuit</t>
  </si>
  <si>
    <t>https://www.amazon.com/dp/B0CGRS8S5J?psc=1</t>
  </si>
  <si>
    <t>https://m.media-amazon.com/images/I/31FJkE3W-VL._AC_SR600,600_.jpg</t>
  </si>
  <si>
    <t>2023-08-27</t>
  </si>
  <si>
    <t>B09BJVFXHG</t>
  </si>
  <si>
    <t>CLOCOR</t>
  </si>
  <si>
    <t>https://www.amazon.com/stores/CLOCOR/page/4B2AC8F6-51F5-4ED2-8E83-382C94B22C28?ref_=ast_bln&amp;store_ref=bl_ast_dp_brandLogo_sto</t>
  </si>
  <si>
    <t>CLOCOR Track Suits for Women Set - Casual 2 Piece Outfits Sweatsuit Pocket Hoodies Long Sleeve with Patchwork Pants Set</t>
  </si>
  <si>
    <t>https://www.amazon.com/dp/B09BJVFXHG?psc=1</t>
  </si>
  <si>
    <t>https://m.media-amazon.com/images/I/31oV1r9EQzL._AC_SR600,600_.jpg</t>
  </si>
  <si>
    <t>110</t>
  </si>
  <si>
    <t>2021-07-29</t>
  </si>
  <si>
    <t>CLOCOR Fashion Store</t>
  </si>
  <si>
    <t xml:space="preserve">公司名称：Fujian Quanzhou Hv Import And Export Co., Ltd.
电话号码：+8616262376584
办公地址：
中骏商城2幢1801室
泉州市
鲤城区金龙街道古店社区
福建省
362000
CN
</t>
  </si>
  <si>
    <t>https://www.amazon.com/gp/help/seller/at-a-glance.html/ref=dp_merchant_link?seller=A2SH64MZJQ2DFN</t>
  </si>
  <si>
    <t>11.2 ounces</t>
  </si>
  <si>
    <t>317.51 g</t>
  </si>
  <si>
    <t>11.97 x 10.31 x 1.77 inches</t>
  </si>
  <si>
    <t>30.40 x 26.19 x 4.50 cm</t>
  </si>
  <si>
    <t>B0D12P7KZX</t>
  </si>
  <si>
    <t>ANRABESS Womens 2 Piece Outfits Lounge Hoodie Oversized Sweatshirt Jogger Sweatpants Y2K Tracksuit Sweatsuit Set Fall Clothes</t>
  </si>
  <si>
    <t>https://www.amazon.com/dp/B0D12P7KZX?psc=1</t>
  </si>
  <si>
    <t>https://images-na.ssl-images-amazon.com/images/I/519XE7RwtlL._AC_US600_.jpg</t>
  </si>
  <si>
    <t>67</t>
  </si>
  <si>
    <t>2023-04-20</t>
  </si>
  <si>
    <t>15.55 x 11.97 x 3.54 inches</t>
  </si>
  <si>
    <t>39.50 x 30.40 x 8.99 cm</t>
  </si>
  <si>
    <t>B0D8L2WMY8</t>
  </si>
  <si>
    <t>Trendy Queen</t>
  </si>
  <si>
    <t>https://www.amazon.com/stores/TrendyQueen/page/C358EA1A-E134-4D8D-90F5-BB331A2FDC37?ref_=ast_bln&amp;store_ref=bl_ast_dp_brandLogo_sto</t>
  </si>
  <si>
    <t>Trendy Queen Sweatsuits Women 2 Piece Outfit Two Piece Lounge Sets Hoodies and Sweatpants Fall Fashion Clothes 2024 Tracksuit</t>
  </si>
  <si>
    <t>https://www.amazon.com/dp/B0D8L2WMY8?psc=1</t>
  </si>
  <si>
    <t>https://m.media-amazon.com/images/I/31QcIG+ou7L._AC_SR600,600_.jpg</t>
  </si>
  <si>
    <t>78</t>
  </si>
  <si>
    <t>2024-07-01</t>
  </si>
  <si>
    <t>TrendyQueen</t>
  </si>
  <si>
    <t xml:space="preserve">公司名称：guang zhou shi qi wen ke ji wang luo ke ji you xian gong si
办公地址：
鹤龙街联边彭上大元一横路
5号1栋402
广州市
白云区
广东
510000
CN
</t>
  </si>
  <si>
    <t>https://www.amazon.com/gp/help/seller/at-a-glance.html/ref=dp_merchant_link?seller=A2R1SX4L6FB0QR</t>
  </si>
  <si>
    <t>B0CD7MKRPY</t>
  </si>
  <si>
    <t>PINSV 2 Piece Outfits Velour Tracksuit For Women Zip Up Hoodie Velvet Jogging Sweatsuit Workout Sets</t>
  </si>
  <si>
    <t>https://www.amazon.com/dp/B0CD7MKRPY?psc=1</t>
  </si>
  <si>
    <t>https://m.media-amazon.com/images/I/31XZCxM8laL._AC_SR600,600_.jpg</t>
  </si>
  <si>
    <t>Women's Tracksuits
Women's Cycling Clothing
Women's Running Clothing</t>
  </si>
  <si>
    <t>51
216
1228</t>
  </si>
  <si>
    <t>2023-08-22</t>
  </si>
  <si>
    <t>1.08 Pounds</t>
  </si>
  <si>
    <t>489.88 g</t>
  </si>
  <si>
    <t>14.57 x 11.02 x 0.2 inches</t>
  </si>
  <si>
    <t>37.01 x 27.99 x 0.51 cm</t>
  </si>
  <si>
    <t>B0C3QP7MSJ</t>
  </si>
  <si>
    <t>ANRABESS Women 2 Piece Outfits Oversized Chunky Knit Sweater Top Wide Leg Pants 2024 Fall Lounge Set Trendy Cozy Clothes</t>
  </si>
  <si>
    <t>https://www.amazon.com/dp/B0C3QP7MSJ?psc=1</t>
  </si>
  <si>
    <t>https://images-na.ssl-images-amazon.com/images/I/61x0GuUyRcL._AC_US600_.jpg</t>
  </si>
  <si>
    <t>2023-04-26</t>
  </si>
  <si>
    <t>anrabess women 2 piece outfits sweatsuit oversized</t>
  </si>
  <si>
    <t>1.87 Pounds</t>
  </si>
  <si>
    <t>848.22 g</t>
  </si>
  <si>
    <t>15.98 x 12.2 x 3.23 inches</t>
  </si>
  <si>
    <t>40.59 x 30.99 x 8.20 cm</t>
  </si>
  <si>
    <t>B0C7QTTJRV</t>
  </si>
  <si>
    <t>Caracilia</t>
  </si>
  <si>
    <t>https://www.amazon.com/stores/CARACILIAFASHION/page/21A3E20B-2471-42E0-86AB-26C1A20FB2B0?ref_=ast_bln&amp;store_ref=bl_ast_dp_brandLogo_sto</t>
  </si>
  <si>
    <t>Caracilia Women's Two Piece Outfits Sweater Sets Long Sleeve Knit Tops Matching Cargo Jogger Pants 2024 Fall Lounge Sets</t>
  </si>
  <si>
    <t>https://www.amazon.com/dp/B0C7QTTJRV?psc=1</t>
  </si>
  <si>
    <t>https://m.media-amazon.com/images/I/31ztFgMfdiL._AC_SR600,600_.jpg</t>
  </si>
  <si>
    <t>2023-06-11</t>
  </si>
  <si>
    <t xml:space="preserve">公司名称：Yiwu Yiteng Import and Export Co., LTD
办公地址：
江东街道商苑社区
青岩刘A区20幢2单元三楼
金华市
义乌市
浙江
322000
CN
</t>
  </si>
  <si>
    <t>https://www.amazon.com/gp/help/seller/at-a-glance.html/ref=dp_merchant_link?seller=AT5K7MIX35CRI</t>
  </si>
  <si>
    <t>16.81 x 12.4 x 2.05 inches</t>
  </si>
  <si>
    <t>42.70 x 31.50 x 5.21 cm</t>
  </si>
  <si>
    <t>B08GPJ4DVQ</t>
  </si>
  <si>
    <t>Nimsruc Two Piece Outfits For Women Jogging Suits Casual</t>
  </si>
  <si>
    <t>https://www.amazon.com/dp/B08GPJ4DVQ?psc=1</t>
  </si>
  <si>
    <t>https://m.media-amazon.com/images/I/311vyal-ddL._AC_SR600,600_.jpg</t>
  </si>
  <si>
    <t>106</t>
  </si>
  <si>
    <t>2021-09-17</t>
  </si>
  <si>
    <t>womens 2 piece jogger sets</t>
  </si>
  <si>
    <t>13.27 x 10.87 x 3.15 inches</t>
  </si>
  <si>
    <t>33.71 x 27.61 x 8.00 cm</t>
  </si>
  <si>
    <t>B08QTX8GPW</t>
  </si>
  <si>
    <t>Fixmatti</t>
  </si>
  <si>
    <t>https://www.amazon.com/stores/Fixmatti/page/115C6C0B-1BE2-459C-B5F5-AD8F7D62CE2E?ref_=ast_bln&amp;store_ref=bl_ast_dp_brandLogo_sto</t>
  </si>
  <si>
    <t>Fixmatti Women's 2 Piece Outfits Long Sleeve Pullover Sweatshirt Jogger Pants Sweatsuit</t>
  </si>
  <si>
    <t>https://www.amazon.com/dp/B08QTX8GPW?psc=1</t>
  </si>
  <si>
    <t>https://images-na.ssl-images-amazon.com/images/I/612RQaSudGS._AC_US600_.jpg</t>
  </si>
  <si>
    <t>87</t>
  </si>
  <si>
    <t>2020-10-27</t>
  </si>
  <si>
    <t xml:space="preserve">公司名称：xiamenmeiyoulindianzishangwuyouxiangongsi
办公地址：
火炬高新区
软件园三期诚毅北大街50号407室A003
厦门市
福建
361000
CN
</t>
  </si>
  <si>
    <t>https://www.amazon.com/gp/help/seller/at-a-glance.html/ref=dp_merchant_link?seller=A2X6H4QYRGFLXA</t>
  </si>
  <si>
    <t>travel set for women clothing</t>
  </si>
  <si>
    <t>0.66 pounds</t>
  </si>
  <si>
    <t>299.37 g</t>
  </si>
  <si>
    <t>15.55 x 12.17 x 2.68 inches</t>
  </si>
  <si>
    <t>39.50 x 30.91 x 6.81 cm</t>
  </si>
  <si>
    <t>B09JJLS2N6</t>
  </si>
  <si>
    <t>AOHITE</t>
  </si>
  <si>
    <t>https://www.amazon.com/stores/AOHITE/page/EF1DFB8D-DF12-4CAE-B94F-62756CB68689?ref_=ast_bln&amp;store_ref=bl_ast_dp_brandLogo_sto</t>
  </si>
  <si>
    <t>AOHITE Womens 2 Piece Outfit Set Long Sleeve Knit Pullover Sweater Top and Wide Leg Pants Sweatsuit</t>
  </si>
  <si>
    <t>https://www.amazon.com/dp/B09JJLS2N6?psc=1</t>
  </si>
  <si>
    <t>https://m.media-amazon.com/images/I/31z88KVaXXL._AC_SR600,600_.jpg</t>
  </si>
  <si>
    <t>70</t>
  </si>
  <si>
    <t>2024-06-27</t>
  </si>
  <si>
    <t>Aohite Direct</t>
  </si>
  <si>
    <t xml:space="preserve">公司名称：xiamennuozhihandianzishangwuyouxiangongsi
办公地址：
火炬高新区
软件园三期诚毅北大街50号407室A008
厦门市
福建
361000
CN
</t>
  </si>
  <si>
    <t>https://www.amazon.com/gp/help/seller/at-a-glance.html/ref=dp_merchant_link?seller=A3A3OLX72STXBQ</t>
  </si>
  <si>
    <t>15 x 12.32 x 2.76 inches</t>
  </si>
  <si>
    <t>38.10 x 31.29 x 7.01 cm</t>
  </si>
  <si>
    <t>B0C3VJNTD5</t>
  </si>
  <si>
    <t>ANRABESS Women's Two Piece Outfits Long Sleeve Knit Top Fall Sweater Set Oversized Pants Tracksuit Lounge Sets</t>
  </si>
  <si>
    <t>https://www.amazon.com/dp/B0C3VJNTD5?psc=1</t>
  </si>
  <si>
    <t>https://m.media-amazon.com/images/I/31YvCHZzOJL._AC_SR600,600_.jpg</t>
  </si>
  <si>
    <t>71</t>
  </si>
  <si>
    <t>fall matching set</t>
  </si>
  <si>
    <t>1.81 Pounds</t>
  </si>
  <si>
    <t>821.00 g</t>
  </si>
  <si>
    <t>15.91 x 12.32 x 3.27 inches</t>
  </si>
  <si>
    <t>40.41 x 31.29 x 8.31 cm</t>
  </si>
  <si>
    <t>B07GNXZT6L</t>
  </si>
  <si>
    <t>Facitisu Tracksuit for Women Set 2 Piece Joggers Velour Jogging Sweat Outfits Hoodie and Sweatpants Set</t>
  </si>
  <si>
    <t>https://www.amazon.com/dp/B07GNXZT6L?psc=1</t>
  </si>
  <si>
    <t>https://m.media-amazon.com/images/I/310u-dkyuzL._AC_SR600,600_.jpg</t>
  </si>
  <si>
    <t>2023-11-28</t>
  </si>
  <si>
    <t>hot pink track suit for women</t>
  </si>
  <si>
    <t>15.55 x 11.3 x 3.03 inches</t>
  </si>
  <si>
    <t>39.50 x 28.70 x 7.70 cm</t>
  </si>
  <si>
    <t>B0CCR27GWJ</t>
  </si>
  <si>
    <t>PRETTYGARDEN Women's Winter 2 Piece Sweater Set Casual Pullover Top High Waisted Sweatpants Tracksuit Lounge Outfits</t>
  </si>
  <si>
    <t>https://www.amazon.com/dp/B0CCR27GWJ?psc=1</t>
  </si>
  <si>
    <t>https://m.media-amazon.com/images/I/31sRZ-uB77L._AC_SR600,600_.jpg</t>
  </si>
  <si>
    <t>88</t>
  </si>
  <si>
    <t>2023-07-24</t>
  </si>
  <si>
    <t>B0B4NJFXM1</t>
  </si>
  <si>
    <t>PRETTYGARDEN Women's 2 Piece Ribbed Tracksuit Outfits Off Shoulder Long Sleeve Pullover Lounge Pants with Pockets</t>
  </si>
  <si>
    <t>https://www.amazon.com/dp/B0B4NJFXM1?psc=1</t>
  </si>
  <si>
    <t>https://m.media-amazon.com/images/I/31B6qLgnXNL._AC_SR600,600_.jpg</t>
  </si>
  <si>
    <t>2022-06-20</t>
  </si>
  <si>
    <t>off the shoulder two piece outfits for women</t>
  </si>
  <si>
    <t>B0C27NRRLZ</t>
  </si>
  <si>
    <t>COREWO</t>
  </si>
  <si>
    <t>https://www.amazon.com/COREWO/b/ref=bl_sl_s_ap_web_73804549011?ie=UTF8&amp;node=73804549011&amp;field-lbr_brands_browse-bin=COREWO</t>
  </si>
  <si>
    <t>COREWO Womens 80s Tracksuit Retro Hip Hop Windbreaker Women Disco Tracksuit Sets Colorblock One Piece Outfits Set</t>
  </si>
  <si>
    <t>https://www.amazon.com/dp/B0C27NRRLZ?psc=1</t>
  </si>
  <si>
    <t>https://images-na.ssl-images-amazon.com/images/I/41pO-ABqzlL._AC_US600_.jpg</t>
  </si>
  <si>
    <t>shuent</t>
  </si>
  <si>
    <t xml:space="preserve">公司名称：shanghaishuenshangmaoyouxiangongsi
办公地址：
北星公路1999号1号楼160-6室
三星镇
崇明区
上海市
202152
CN
</t>
  </si>
  <si>
    <t>https://www.amazon.com/gp/help/seller/at-a-glance.html/ref=dp_merchant_link?seller=A26V1YU835VWQX</t>
  </si>
  <si>
    <t>14.07 ounces</t>
  </si>
  <si>
    <t>398.88 g</t>
  </si>
  <si>
    <t>15.31 x 12.52 x 2.17 inches</t>
  </si>
  <si>
    <t>38.89 x 31.80 x 5.51 cm</t>
  </si>
  <si>
    <t>B0D396DM89</t>
  </si>
  <si>
    <t>ANRABESS Womens 2 Piece Sweatsuits Long Sleeve Tight Shirt Tops Joggers Fleece Sweatpants Sets 2024 Fall Sweat Lounge Outfits</t>
  </si>
  <si>
    <t>https://www.amazon.com/dp/B0D396DM89?psc=1</t>
  </si>
  <si>
    <t>https://m.media-amazon.com/images/I/31lvGh5+9dL._AC_SR600,600_.jpg</t>
  </si>
  <si>
    <t>486</t>
  </si>
  <si>
    <t>2024-05-03</t>
  </si>
  <si>
    <t>1.76 Pounds</t>
  </si>
  <si>
    <t>798.32 g</t>
  </si>
  <si>
    <t>14.17 x 11.06 x 2.6 inches</t>
  </si>
  <si>
    <t>35.99 x 28.09 x 6.60 cm</t>
  </si>
  <si>
    <t>B0D5B5J51K</t>
  </si>
  <si>
    <t>Caracilia Women's 2 Piece Outfits Sweater Sets Striped Oversized Sweaters Knit Wide Leg Pant Lounge Set 2024 Fall Outfits</t>
  </si>
  <si>
    <t>https://www.amazon.com/dp/B0D5B5J51K?psc=1</t>
  </si>
  <si>
    <t>https://m.media-amazon.com/images/I/41JR6v4KR+L._AC_SR600,600_.jpg</t>
  </si>
  <si>
    <t>182</t>
  </si>
  <si>
    <t>2024-05-26</t>
  </si>
  <si>
    <t>B0D9NB6T2V</t>
  </si>
  <si>
    <t>ANRABESS Women 2 Piece Outfits Lounge Sets Oversized Sweatshirt Wide Leg Pants 2024 Fall Casual Sweatsuits Travel Clothes Set</t>
  </si>
  <si>
    <t>https://www.amazon.com/dp/B0D9NB6T2V?psc=1</t>
  </si>
  <si>
    <t>https://images-na.ssl-images-amazon.com/images/I/61XiDKwfWqL._AC_US600_.jpg</t>
  </si>
  <si>
    <t>55</t>
  </si>
  <si>
    <t>2024-07-17</t>
  </si>
  <si>
    <t>B0CD3V24LD</t>
  </si>
  <si>
    <t>ANRABESS Women 2 Piece Outfits Sweatsuit Oversized Half Zip Sweatshirt Jogger Sweatpants Tracksuit Lounge Set 2024 Clothes</t>
  </si>
  <si>
    <t>https://www.amazon.com/dp/B0CD3V24LD?psc=1</t>
  </si>
  <si>
    <t>https://m.media-amazon.com/images/I/31qhrwiSX7L._AC_SR600,600_.jpg</t>
  </si>
  <si>
    <t>40</t>
  </si>
  <si>
    <t>2022-09-21</t>
  </si>
  <si>
    <t>B0D264F3Y4</t>
  </si>
  <si>
    <t>ANRABESS Womens 2 Piece Outfits Sweatsuits Oversized Zip Up Sweatshirt Jogger Sweatpants Tracksuit Sweat Lounge Matching Set</t>
  </si>
  <si>
    <t>https://www.amazon.com/dp/B0D264F3Y4?psc=1</t>
  </si>
  <si>
    <t>https://images-na.ssl-images-amazon.com/images/I/61YUJpbFaGL._AC_US600_.jpg</t>
  </si>
  <si>
    <t>2024-04-18</t>
  </si>
  <si>
    <t>2.31 Pounds</t>
  </si>
  <si>
    <t>1.05 kg</t>
  </si>
  <si>
    <t>14.84 x 11.81 x 4.41 inches</t>
  </si>
  <si>
    <t>37.69 x 30.00 x 11.20 cm</t>
  </si>
  <si>
    <t>B0D5R75CS1</t>
  </si>
  <si>
    <t>LILLUSORY 2 Piece Sets for Women Two Piece Skirt Sets Fall Outfits Cropped Sweaters Long Sleeve Fashion Winter Clothes 2024</t>
  </si>
  <si>
    <t>https://www.amazon.com/dp/B0D5R75CS1?psc=1</t>
  </si>
  <si>
    <t>https://m.media-amazon.com/images/I/41b2R5e4efL._AC_SR600,600_.jpg</t>
  </si>
  <si>
    <t>1.26 Pounds</t>
  </si>
  <si>
    <t>571.53 g</t>
  </si>
  <si>
    <t>12.87 x 10.28 x 2.32 inches</t>
  </si>
  <si>
    <t>32.69 x 26.11 x 5.89 cm</t>
  </si>
  <si>
    <t>B07TZT5S4D</t>
  </si>
  <si>
    <t>HANMAX</t>
  </si>
  <si>
    <t>https://www.amazon.com/stores/HANMAX/page/9AC5F515-2851-4721-8DF9-E8CDED19C2BC?ref_=ast_bln</t>
  </si>
  <si>
    <t>HANMAX Women's Tracksuit Winter Autumn Knitted Long-sleeved Blazer Coat Tank Long Pants Three Piece Sets Outfit</t>
  </si>
  <si>
    <t>https://www.amazon.com/dp/B07TZT5S4D?psc=1</t>
  </si>
  <si>
    <t>https://m.media-amazon.com/images/I/312Hdx8Ot+L._AC_SR600,600_.jpg</t>
  </si>
  <si>
    <t>2019-07-05</t>
  </si>
  <si>
    <t>HANMAX store</t>
  </si>
  <si>
    <t xml:space="preserve">公司名称：suzhouyashitongwangluokejiyouxiangongsi
办公地址：
东旺路43号
4号楼4楼4019室
苏州市
苏州工业园区
江苏
215000
CN
</t>
  </si>
  <si>
    <t>https://www.amazon.com/gp/help/seller/at-a-glance.html/ref=dp_merchant_link?seller=AIY88B8APC8UW</t>
  </si>
  <si>
    <t>cute travel outfits for long flights</t>
  </si>
  <si>
    <t>14.61 x 11.42 x 1.97 inches</t>
  </si>
  <si>
    <t>37.11 x 29.01 x 5.00 cm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</si>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</sst>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%"/>
    <numFmt numFmtId="177" formatCode="#,##0.0"/>
    <numFmt numFmtId="178" formatCode="#,##0.00%"/>
  </numFmts>
  <fonts count="25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5"/>
      <color rgb="FFFFFFFF"/>
      <name val="微软雅黑"/>
      <charset val="134"/>
    </font>
    <font>
      <sz val="11"/>
      <color rgb="FFFEFEFE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5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4" fontId="5" fillId="2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right" vertical="center"/>
    </xf>
    <xf numFmtId="177" fontId="5" fillId="2" borderId="0" xfId="0" applyNumberFormat="1" applyFont="1" applyFill="1" applyAlignment="1">
      <alignment horizontal="center" vertical="center"/>
    </xf>
    <xf numFmtId="178" fontId="5" fillId="2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100.jpeg"/><Relationship Id="rId98" Type="http://schemas.openxmlformats.org/officeDocument/2006/relationships/image" Target="media/image99.jpeg"/><Relationship Id="rId97" Type="http://schemas.openxmlformats.org/officeDocument/2006/relationships/image" Target="media/image98.jpeg"/><Relationship Id="rId96" Type="http://schemas.openxmlformats.org/officeDocument/2006/relationships/image" Target="media/image97.jpeg"/><Relationship Id="rId95" Type="http://schemas.openxmlformats.org/officeDocument/2006/relationships/image" Target="media/image96.jpeg"/><Relationship Id="rId94" Type="http://schemas.openxmlformats.org/officeDocument/2006/relationships/image" Target="media/image95.jpeg"/><Relationship Id="rId93" Type="http://schemas.openxmlformats.org/officeDocument/2006/relationships/image" Target="media/image94.jpeg"/><Relationship Id="rId92" Type="http://schemas.openxmlformats.org/officeDocument/2006/relationships/image" Target="media/image93.jpeg"/><Relationship Id="rId91" Type="http://schemas.openxmlformats.org/officeDocument/2006/relationships/image" Target="media/image92.jpeg"/><Relationship Id="rId90" Type="http://schemas.openxmlformats.org/officeDocument/2006/relationships/image" Target="media/image91.jpeg"/><Relationship Id="rId9" Type="http://schemas.openxmlformats.org/officeDocument/2006/relationships/image" Target="media/image22.jpeg"/><Relationship Id="rId89" Type="http://schemas.openxmlformats.org/officeDocument/2006/relationships/image" Target="media/image90.jpeg"/><Relationship Id="rId88" Type="http://schemas.openxmlformats.org/officeDocument/2006/relationships/image" Target="media/image89.jpeg"/><Relationship Id="rId87" Type="http://schemas.openxmlformats.org/officeDocument/2006/relationships/image" Target="media/image88.jpeg"/><Relationship Id="rId86" Type="http://schemas.openxmlformats.org/officeDocument/2006/relationships/image" Target="media/image87.jpeg"/><Relationship Id="rId85" Type="http://schemas.openxmlformats.org/officeDocument/2006/relationships/image" Target="media/image86.jpeg"/><Relationship Id="rId84" Type="http://schemas.openxmlformats.org/officeDocument/2006/relationships/image" Target="media/image85.jpeg"/><Relationship Id="rId83" Type="http://schemas.openxmlformats.org/officeDocument/2006/relationships/image" Target="media/image84.jpeg"/><Relationship Id="rId82" Type="http://schemas.openxmlformats.org/officeDocument/2006/relationships/image" Target="media/image83.jpeg"/><Relationship Id="rId81" Type="http://schemas.openxmlformats.org/officeDocument/2006/relationships/image" Target="media/image82.jpeg"/><Relationship Id="rId80" Type="http://schemas.openxmlformats.org/officeDocument/2006/relationships/image" Target="media/image81.jpeg"/><Relationship Id="rId8" Type="http://schemas.openxmlformats.org/officeDocument/2006/relationships/image" Target="media/image21.jpeg"/><Relationship Id="rId79" Type="http://schemas.openxmlformats.org/officeDocument/2006/relationships/image" Target="media/image80.jpeg"/><Relationship Id="rId78" Type="http://schemas.openxmlformats.org/officeDocument/2006/relationships/image" Target="media/image79.jpeg"/><Relationship Id="rId77" Type="http://schemas.openxmlformats.org/officeDocument/2006/relationships/image" Target="media/image78.jpeg"/><Relationship Id="rId76" Type="http://schemas.openxmlformats.org/officeDocument/2006/relationships/image" Target="media/image77.jpeg"/><Relationship Id="rId75" Type="http://schemas.openxmlformats.org/officeDocument/2006/relationships/image" Target="media/image76.jpeg"/><Relationship Id="rId74" Type="http://schemas.openxmlformats.org/officeDocument/2006/relationships/image" Target="media/image75.jpeg"/><Relationship Id="rId73" Type="http://schemas.openxmlformats.org/officeDocument/2006/relationships/image" Target="media/image74.jpeg"/><Relationship Id="rId72" Type="http://schemas.openxmlformats.org/officeDocument/2006/relationships/image" Target="media/image73.jpeg"/><Relationship Id="rId71" Type="http://schemas.openxmlformats.org/officeDocument/2006/relationships/image" Target="media/image13.jpeg"/><Relationship Id="rId70" Type="http://schemas.openxmlformats.org/officeDocument/2006/relationships/image" Target="media/image72.jpeg"/><Relationship Id="rId7" Type="http://schemas.openxmlformats.org/officeDocument/2006/relationships/image" Target="media/image20.jpeg"/><Relationship Id="rId69" Type="http://schemas.openxmlformats.org/officeDocument/2006/relationships/image" Target="media/image71.jpeg"/><Relationship Id="rId68" Type="http://schemas.openxmlformats.org/officeDocument/2006/relationships/image" Target="media/image70.jpeg"/><Relationship Id="rId67" Type="http://schemas.openxmlformats.org/officeDocument/2006/relationships/image" Target="media/image69.jpeg"/><Relationship Id="rId66" Type="http://schemas.openxmlformats.org/officeDocument/2006/relationships/image" Target="media/image68.jpeg"/><Relationship Id="rId65" Type="http://schemas.openxmlformats.org/officeDocument/2006/relationships/image" Target="media/image67.jpeg"/><Relationship Id="rId64" Type="http://schemas.openxmlformats.org/officeDocument/2006/relationships/image" Target="media/image66.jpeg"/><Relationship Id="rId63" Type="http://schemas.openxmlformats.org/officeDocument/2006/relationships/image" Target="media/image3.jpeg"/><Relationship Id="rId62" Type="http://schemas.openxmlformats.org/officeDocument/2006/relationships/image" Target="media/image2.jpeg"/><Relationship Id="rId61" Type="http://schemas.openxmlformats.org/officeDocument/2006/relationships/image" Target="media/image65.jpeg"/><Relationship Id="rId60" Type="http://schemas.openxmlformats.org/officeDocument/2006/relationships/image" Target="media/image64.jpeg"/><Relationship Id="rId6" Type="http://schemas.openxmlformats.org/officeDocument/2006/relationships/image" Target="media/image19.jpeg"/><Relationship Id="rId59" Type="http://schemas.openxmlformats.org/officeDocument/2006/relationships/image" Target="media/image63.jpeg"/><Relationship Id="rId58" Type="http://schemas.openxmlformats.org/officeDocument/2006/relationships/image" Target="media/image62.jpeg"/><Relationship Id="rId57" Type="http://schemas.openxmlformats.org/officeDocument/2006/relationships/image" Target="media/image61.jpeg"/><Relationship Id="rId56" Type="http://schemas.openxmlformats.org/officeDocument/2006/relationships/image" Target="media/image60.jpeg"/><Relationship Id="rId55" Type="http://schemas.openxmlformats.org/officeDocument/2006/relationships/image" Target="media/image59.jpeg"/><Relationship Id="rId54" Type="http://schemas.openxmlformats.org/officeDocument/2006/relationships/image" Target="media/image58.jpeg"/><Relationship Id="rId53" Type="http://schemas.openxmlformats.org/officeDocument/2006/relationships/image" Target="media/image57.jpeg"/><Relationship Id="rId52" Type="http://schemas.openxmlformats.org/officeDocument/2006/relationships/image" Target="media/image56.jpeg"/><Relationship Id="rId51" Type="http://schemas.openxmlformats.org/officeDocument/2006/relationships/image" Target="media/image55.jpeg"/><Relationship Id="rId50" Type="http://schemas.openxmlformats.org/officeDocument/2006/relationships/image" Target="media/image54.jpeg"/><Relationship Id="rId5" Type="http://schemas.openxmlformats.org/officeDocument/2006/relationships/image" Target="media/image18.jpeg"/><Relationship Id="rId49" Type="http://schemas.openxmlformats.org/officeDocument/2006/relationships/image" Target="media/image53.jpeg"/><Relationship Id="rId48" Type="http://schemas.openxmlformats.org/officeDocument/2006/relationships/image" Target="media/image9.jpeg"/><Relationship Id="rId47" Type="http://schemas.openxmlformats.org/officeDocument/2006/relationships/image" Target="media/image52.jpeg"/><Relationship Id="rId46" Type="http://schemas.openxmlformats.org/officeDocument/2006/relationships/image" Target="media/image51.jpeg"/><Relationship Id="rId45" Type="http://schemas.openxmlformats.org/officeDocument/2006/relationships/image" Target="media/image50.jpeg"/><Relationship Id="rId44" Type="http://schemas.openxmlformats.org/officeDocument/2006/relationships/image" Target="media/image4.jpeg"/><Relationship Id="rId43" Type="http://schemas.openxmlformats.org/officeDocument/2006/relationships/image" Target="media/image7.jpeg"/><Relationship Id="rId42" Type="http://schemas.openxmlformats.org/officeDocument/2006/relationships/image" Target="media/image8.jpeg"/><Relationship Id="rId41" Type="http://schemas.openxmlformats.org/officeDocument/2006/relationships/image" Target="media/image6.jpeg"/><Relationship Id="rId40" Type="http://schemas.openxmlformats.org/officeDocument/2006/relationships/image" Target="media/image5.jpeg"/><Relationship Id="rId4" Type="http://schemas.openxmlformats.org/officeDocument/2006/relationships/image" Target="media/image17.jpeg"/><Relationship Id="rId39" Type="http://schemas.openxmlformats.org/officeDocument/2006/relationships/image" Target="media/image10.jpeg"/><Relationship Id="rId38" Type="http://schemas.openxmlformats.org/officeDocument/2006/relationships/image" Target="media/image11.jpeg"/><Relationship Id="rId37" Type="http://schemas.openxmlformats.org/officeDocument/2006/relationships/image" Target="media/image12.jpeg"/><Relationship Id="rId36" Type="http://schemas.openxmlformats.org/officeDocument/2006/relationships/image" Target="media/image49.jpeg"/><Relationship Id="rId35" Type="http://schemas.openxmlformats.org/officeDocument/2006/relationships/image" Target="media/image48.jpeg"/><Relationship Id="rId34" Type="http://schemas.openxmlformats.org/officeDocument/2006/relationships/image" Target="media/image47.jpeg"/><Relationship Id="rId33" Type="http://schemas.openxmlformats.org/officeDocument/2006/relationships/image" Target="media/image46.jpeg"/><Relationship Id="rId32" Type="http://schemas.openxmlformats.org/officeDocument/2006/relationships/image" Target="media/image45.jpeg"/><Relationship Id="rId31" Type="http://schemas.openxmlformats.org/officeDocument/2006/relationships/image" Target="media/image44.jpeg"/><Relationship Id="rId30" Type="http://schemas.openxmlformats.org/officeDocument/2006/relationships/image" Target="media/image43.jpeg"/><Relationship Id="rId3" Type="http://schemas.openxmlformats.org/officeDocument/2006/relationships/image" Target="media/image16.jpeg"/><Relationship Id="rId29" Type="http://schemas.openxmlformats.org/officeDocument/2006/relationships/image" Target="media/image42.jpeg"/><Relationship Id="rId28" Type="http://schemas.openxmlformats.org/officeDocument/2006/relationships/image" Target="media/image41.jpeg"/><Relationship Id="rId27" Type="http://schemas.openxmlformats.org/officeDocument/2006/relationships/image" Target="media/image40.jpeg"/><Relationship Id="rId26" Type="http://schemas.openxmlformats.org/officeDocument/2006/relationships/image" Target="media/image39.jpeg"/><Relationship Id="rId25" Type="http://schemas.openxmlformats.org/officeDocument/2006/relationships/image" Target="media/image38.jpeg"/><Relationship Id="rId24" Type="http://schemas.openxmlformats.org/officeDocument/2006/relationships/image" Target="media/image37.jpeg"/><Relationship Id="rId23" Type="http://schemas.openxmlformats.org/officeDocument/2006/relationships/image" Target="media/image36.jpeg"/><Relationship Id="rId22" Type="http://schemas.openxmlformats.org/officeDocument/2006/relationships/image" Target="media/image35.jpeg"/><Relationship Id="rId21" Type="http://schemas.openxmlformats.org/officeDocument/2006/relationships/image" Target="media/image34.jpeg"/><Relationship Id="rId20" Type="http://schemas.openxmlformats.org/officeDocument/2006/relationships/image" Target="media/image33.jpeg"/><Relationship Id="rId2" Type="http://schemas.openxmlformats.org/officeDocument/2006/relationships/image" Target="media/image15.jpeg"/><Relationship Id="rId19" Type="http://schemas.openxmlformats.org/officeDocument/2006/relationships/image" Target="media/image32.jpeg"/><Relationship Id="rId18" Type="http://schemas.openxmlformats.org/officeDocument/2006/relationships/image" Target="media/image31.jpeg"/><Relationship Id="rId17" Type="http://schemas.openxmlformats.org/officeDocument/2006/relationships/image" Target="media/image30.jpeg"/><Relationship Id="rId16" Type="http://schemas.openxmlformats.org/officeDocument/2006/relationships/image" Target="media/image29.jpeg"/><Relationship Id="rId15" Type="http://schemas.openxmlformats.org/officeDocument/2006/relationships/image" Target="media/image28.jpeg"/><Relationship Id="rId14" Type="http://schemas.openxmlformats.org/officeDocument/2006/relationships/image" Target="media/image27.jpeg"/><Relationship Id="rId13" Type="http://schemas.openxmlformats.org/officeDocument/2006/relationships/image" Target="media/image26.jpeg"/><Relationship Id="rId12" Type="http://schemas.openxmlformats.org/officeDocument/2006/relationships/image" Target="media/image25.jpeg"/><Relationship Id="rId11" Type="http://schemas.openxmlformats.org/officeDocument/2006/relationships/image" Target="media/image24.jpeg"/><Relationship Id="rId100" Type="http://schemas.openxmlformats.org/officeDocument/2006/relationships/image" Target="media/image101.jpeg"/><Relationship Id="rId10" Type="http://schemas.openxmlformats.org/officeDocument/2006/relationships/image" Target="media/image23.jpeg"/><Relationship Id="rId1" Type="http://schemas.openxmlformats.org/officeDocument/2006/relationships/image" Target="media/image14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2.jpeg"/><Relationship Id="rId8" Type="http://schemas.openxmlformats.org/officeDocument/2006/relationships/image" Target="../media/image11.jpeg"/><Relationship Id="rId7" Type="http://schemas.openxmlformats.org/officeDocument/2006/relationships/image" Target="../media/image10.jpe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0" Type="http://schemas.openxmlformats.org/officeDocument/2006/relationships/image" Target="../media/image13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633600</xdr:colOff>
      <xdr:row>2</xdr:row>
      <xdr:rowOff>150000</xdr:rowOff>
    </xdr:from>
    <xdr:ext cx="952500" cy="95250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33095" y="1292860"/>
          <a:ext cx="9525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189865</xdr:colOff>
      <xdr:row>0</xdr:row>
      <xdr:rowOff>172720</xdr:rowOff>
    </xdr:from>
    <xdr:to>
      <xdr:col>4</xdr:col>
      <xdr:colOff>319405</xdr:colOff>
      <xdr:row>4</xdr:row>
      <xdr:rowOff>77470</xdr:rowOff>
    </xdr:to>
    <xdr:grpSp>
      <xdr:nvGrpSpPr>
        <xdr:cNvPr id="2" name="组合 1"/>
        <xdr:cNvGrpSpPr/>
      </xdr:nvGrpSpPr>
      <xdr:grpSpPr>
        <a:xfrm>
          <a:off x="189865" y="172720"/>
          <a:ext cx="2567940" cy="1432560"/>
          <a:chOff x="287" y="260"/>
          <a:chExt cx="4044" cy="2250"/>
        </a:xfrm>
      </xdr:grpSpPr>
      <xdr:pic>
        <xdr:nvPicPr>
          <xdr:cNvPr id="27" name="ID_B44E0099ECCE4DF09138E60132870E2A"/>
          <xdr:cNvPicPr>
            <a:picLocks noChangeAspect="1"/>
          </xdr:cNvPicPr>
        </xdr:nvPicPr>
        <xdr:blipFill>
          <a:blip r:embed="rId1" cstate="print"/>
          <a:stretch>
            <a:fillRect/>
          </a:stretch>
        </xdr:blipFill>
        <xdr:spPr>
          <a:xfrm>
            <a:off x="287" y="272"/>
            <a:ext cx="2352" cy="2238"/>
          </a:xfrm>
          <a:prstGeom prst="rect">
            <a:avLst/>
          </a:prstGeom>
        </xdr:spPr>
      </xdr:pic>
      <xdr:pic>
        <xdr:nvPicPr>
          <xdr:cNvPr id="28" name="ID_CDF186A7D6044172B61655AA0C437008"/>
          <xdr:cNvPicPr>
            <a:picLocks noChangeAspect="1"/>
          </xdr:cNvPicPr>
        </xdr:nvPicPr>
        <xdr:blipFill>
          <a:blip r:embed="rId2" cstate="print"/>
          <a:stretch>
            <a:fillRect/>
          </a:stretch>
        </xdr:blipFill>
        <xdr:spPr>
          <a:xfrm>
            <a:off x="1979" y="260"/>
            <a:ext cx="2352" cy="223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551815</xdr:colOff>
      <xdr:row>0</xdr:row>
      <xdr:rowOff>523240</xdr:rowOff>
    </xdr:from>
    <xdr:to>
      <xdr:col>5</xdr:col>
      <xdr:colOff>452755</xdr:colOff>
      <xdr:row>3</xdr:row>
      <xdr:rowOff>16510</xdr:rowOff>
    </xdr:to>
    <xdr:grpSp>
      <xdr:nvGrpSpPr>
        <xdr:cNvPr id="10" name="组合 9"/>
        <xdr:cNvGrpSpPr/>
      </xdr:nvGrpSpPr>
      <xdr:grpSpPr>
        <a:xfrm>
          <a:off x="551815" y="523240"/>
          <a:ext cx="6571615" cy="2614295"/>
          <a:chOff x="857" y="812"/>
          <a:chExt cx="10344" cy="4098"/>
        </a:xfrm>
      </xdr:grpSpPr>
      <xdr:pic>
        <xdr:nvPicPr>
          <xdr:cNvPr id="102" name="ID_C44FDD4519244347A317B0CFA5236A2B"/>
          <xdr:cNvPicPr>
            <a:picLocks noChangeAspect="1"/>
          </xdr:cNvPicPr>
        </xdr:nvPicPr>
        <xdr:blipFill>
          <a:blip r:embed="rId1" cstate="print"/>
          <a:stretch>
            <a:fillRect/>
          </a:stretch>
        </xdr:blipFill>
        <xdr:spPr>
          <a:xfrm>
            <a:off x="857" y="812"/>
            <a:ext cx="1944" cy="1850"/>
          </a:xfrm>
          <a:prstGeom prst="rect">
            <a:avLst/>
          </a:prstGeom>
        </xdr:spPr>
      </xdr:pic>
      <xdr:pic>
        <xdr:nvPicPr>
          <xdr:cNvPr id="103" name="ID_A008D7FB89B14959AA9C8B63747C852D"/>
          <xdr:cNvPicPr>
            <a:picLocks noChangeAspect="1"/>
          </xdr:cNvPicPr>
        </xdr:nvPicPr>
        <xdr:blipFill>
          <a:blip r:embed="rId2" cstate="print"/>
          <a:stretch>
            <a:fillRect/>
          </a:stretch>
        </xdr:blipFill>
        <xdr:spPr>
          <a:xfrm>
            <a:off x="2957" y="812"/>
            <a:ext cx="1944" cy="1850"/>
          </a:xfrm>
          <a:prstGeom prst="rect">
            <a:avLst/>
          </a:prstGeom>
        </xdr:spPr>
      </xdr:pic>
      <xdr:pic>
        <xdr:nvPicPr>
          <xdr:cNvPr id="104" name="ID_29C1000F4DA6478EA6A8EE59BEFCF3C0"/>
          <xdr:cNvPicPr>
            <a:picLocks noChangeAspect="1"/>
          </xdr:cNvPicPr>
        </xdr:nvPicPr>
        <xdr:blipFill>
          <a:blip r:embed="rId3" cstate="print"/>
          <a:stretch>
            <a:fillRect/>
          </a:stretch>
        </xdr:blipFill>
        <xdr:spPr>
          <a:xfrm>
            <a:off x="5057" y="812"/>
            <a:ext cx="1944" cy="1850"/>
          </a:xfrm>
          <a:prstGeom prst="rect">
            <a:avLst/>
          </a:prstGeom>
        </xdr:spPr>
      </xdr:pic>
      <xdr:pic>
        <xdr:nvPicPr>
          <xdr:cNvPr id="105" name="ID_5E013ADA91D34C6D987BD569204F691E"/>
          <xdr:cNvPicPr>
            <a:picLocks noChangeAspect="1"/>
          </xdr:cNvPicPr>
        </xdr:nvPicPr>
        <xdr:blipFill>
          <a:blip r:embed="rId4" cstate="print"/>
          <a:stretch>
            <a:fillRect/>
          </a:stretch>
        </xdr:blipFill>
        <xdr:spPr>
          <a:xfrm>
            <a:off x="7157" y="812"/>
            <a:ext cx="1944" cy="1850"/>
          </a:xfrm>
          <a:prstGeom prst="rect">
            <a:avLst/>
          </a:prstGeom>
        </xdr:spPr>
      </xdr:pic>
      <xdr:pic>
        <xdr:nvPicPr>
          <xdr:cNvPr id="106" name="ID_F18AF3709C384264A8EBDB437B40A65A"/>
          <xdr:cNvPicPr>
            <a:picLocks noChangeAspect="1"/>
          </xdr:cNvPicPr>
        </xdr:nvPicPr>
        <xdr:blipFill>
          <a:blip r:embed="rId5" cstate="print"/>
          <a:stretch>
            <a:fillRect/>
          </a:stretch>
        </xdr:blipFill>
        <xdr:spPr>
          <a:xfrm>
            <a:off x="9257" y="812"/>
            <a:ext cx="1944" cy="1850"/>
          </a:xfrm>
          <a:prstGeom prst="rect">
            <a:avLst/>
          </a:prstGeom>
        </xdr:spPr>
      </xdr:pic>
      <xdr:pic>
        <xdr:nvPicPr>
          <xdr:cNvPr id="107" name="ID_814DDF0800BD4B9EBAAEB9E13A0B576C"/>
          <xdr:cNvPicPr>
            <a:picLocks noChangeAspect="1"/>
          </xdr:cNvPicPr>
        </xdr:nvPicPr>
        <xdr:blipFill>
          <a:blip r:embed="rId6" cstate="print"/>
          <a:stretch>
            <a:fillRect/>
          </a:stretch>
        </xdr:blipFill>
        <xdr:spPr>
          <a:xfrm>
            <a:off x="857" y="2804"/>
            <a:ext cx="1944" cy="1850"/>
          </a:xfrm>
          <a:prstGeom prst="rect">
            <a:avLst/>
          </a:prstGeom>
        </xdr:spPr>
      </xdr:pic>
      <xdr:pic>
        <xdr:nvPicPr>
          <xdr:cNvPr id="108" name="ID_9F876FF46C0E4ABA8F491CAD969478FC"/>
          <xdr:cNvPicPr>
            <a:picLocks noChangeAspect="1"/>
          </xdr:cNvPicPr>
        </xdr:nvPicPr>
        <xdr:blipFill>
          <a:blip r:embed="rId7" cstate="print"/>
          <a:stretch>
            <a:fillRect/>
          </a:stretch>
        </xdr:blipFill>
        <xdr:spPr>
          <a:xfrm>
            <a:off x="2957" y="2804"/>
            <a:ext cx="1944" cy="1850"/>
          </a:xfrm>
          <a:prstGeom prst="rect">
            <a:avLst/>
          </a:prstGeom>
        </xdr:spPr>
      </xdr:pic>
      <xdr:pic>
        <xdr:nvPicPr>
          <xdr:cNvPr id="109" name="ID_B8B857FD21E341C7BCC9BD0C874D87CD"/>
          <xdr:cNvPicPr>
            <a:picLocks noChangeAspect="1"/>
          </xdr:cNvPicPr>
        </xdr:nvPicPr>
        <xdr:blipFill>
          <a:blip r:embed="rId8" cstate="print"/>
          <a:stretch>
            <a:fillRect/>
          </a:stretch>
        </xdr:blipFill>
        <xdr:spPr>
          <a:xfrm>
            <a:off x="5057" y="2804"/>
            <a:ext cx="1944" cy="1850"/>
          </a:xfrm>
          <a:prstGeom prst="rect">
            <a:avLst/>
          </a:prstGeom>
        </xdr:spPr>
      </xdr:pic>
      <xdr:pic>
        <xdr:nvPicPr>
          <xdr:cNvPr id="110" name="ID_279AE39E903D4F1DB2D1298D76B83362"/>
          <xdr:cNvPicPr>
            <a:picLocks noChangeAspect="1"/>
          </xdr:cNvPicPr>
        </xdr:nvPicPr>
        <xdr:blipFill>
          <a:blip r:embed="rId9" cstate="print"/>
          <a:stretch>
            <a:fillRect/>
          </a:stretch>
        </xdr:blipFill>
        <xdr:spPr>
          <a:xfrm>
            <a:off x="7157" y="2804"/>
            <a:ext cx="1944" cy="1850"/>
          </a:xfrm>
          <a:prstGeom prst="rect">
            <a:avLst/>
          </a:prstGeom>
        </xdr:spPr>
      </xdr:pic>
      <xdr:pic>
        <xdr:nvPicPr>
          <xdr:cNvPr id="36" name="ID_26156A1980284F27A3CE88B92EB577CC"/>
          <xdr:cNvPicPr>
            <a:picLocks noChangeAspect="1"/>
          </xdr:cNvPicPr>
        </xdr:nvPicPr>
        <xdr:blipFill>
          <a:blip r:embed="rId10" cstate="print"/>
          <a:stretch>
            <a:fillRect/>
          </a:stretch>
        </xdr:blipFill>
        <xdr:spPr>
          <a:xfrm>
            <a:off x="8681" y="2744"/>
            <a:ext cx="2281" cy="216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DCNTSWPL" TargetMode="External"/><Relationship Id="rId98" Type="http://schemas.openxmlformats.org/officeDocument/2006/relationships/hyperlink" Target="https://m.media-amazon.com/images/I/318-dJIVjnL._AC_SR600,600_.jpg" TargetMode="External"/><Relationship Id="rId97" Type="http://schemas.openxmlformats.org/officeDocument/2006/relationships/hyperlink" Target="https://www.amazon.com/dp/B0DCNZBCB9?psc=1" TargetMode="External"/><Relationship Id="rId96" Type="http://schemas.openxmlformats.org/officeDocument/2006/relationships/hyperlink" Target="https://www.amazon.com/stores/SUUKSESS/page/86C0C647-C07D-423B-BD1C-7EB6676E0F3F?ref_=ast_bln&amp;store_ref=bl_ast_dp_brandLogo_sto" TargetMode="External"/><Relationship Id="rId95" Type="http://schemas.openxmlformats.org/officeDocument/2006/relationships/hyperlink" Target="https://www.amazon.com/dp/B0DCNZBCB9" TargetMode="External"/><Relationship Id="rId94" Type="http://schemas.openxmlformats.org/officeDocument/2006/relationships/hyperlink" Target="https://www.amazon.com/gp/help/seller/at-a-glance.html/ref=dp_merchant_link?seller=A1YQT2IQTLCSGZ" TargetMode="External"/><Relationship Id="rId93" Type="http://schemas.openxmlformats.org/officeDocument/2006/relationships/hyperlink" Target="https://www.amazon.com/dp/B0C69B5ZD4" TargetMode="External"/><Relationship Id="rId92" Type="http://schemas.openxmlformats.org/officeDocument/2006/relationships/hyperlink" Target="https://m.media-amazon.com/images/I/31+xfQFcRqL._AC_SR600,600_.jpg" TargetMode="External"/><Relationship Id="rId91" Type="http://schemas.openxmlformats.org/officeDocument/2006/relationships/hyperlink" Target="https://www.amazon.com/dp/B0C696G9M1?psc=1" TargetMode="External"/><Relationship Id="rId90" Type="http://schemas.openxmlformats.org/officeDocument/2006/relationships/hyperlink" Target="https://www.amazon.com/stores/ETCYYNEW/page/02F2205D-632D-4EF1-A605-635B1B46E4C3?ref_=ast_bln&amp;store_ref=bl_ast_dp_brandLogo_sto" TargetMode="External"/><Relationship Id="rId9" Type="http://schemas.openxmlformats.org/officeDocument/2006/relationships/hyperlink" Target="https://www.amazon.com/dp/B0C3QS2K65" TargetMode="External"/><Relationship Id="rId89" Type="http://schemas.openxmlformats.org/officeDocument/2006/relationships/hyperlink" Target="https://www.amazon.com/dp/B0C696G9M1" TargetMode="External"/><Relationship Id="rId88" Type="http://schemas.openxmlformats.org/officeDocument/2006/relationships/hyperlink" Target="https://www.amazon.com/gp/help/seller/at-a-glance.html/ref=dp_merchant_link?seller=A379FXF78PEIQJ" TargetMode="External"/><Relationship Id="rId87" Type="http://schemas.openxmlformats.org/officeDocument/2006/relationships/hyperlink" Target="https://www.amazon.com/dp/B0D87DPBJP" TargetMode="External"/><Relationship Id="rId86" Type="http://schemas.openxmlformats.org/officeDocument/2006/relationships/hyperlink" Target="https://m.media-amazon.com/images/I/31ybMKfBw6L._AC_SR600,600_.jpg" TargetMode="External"/><Relationship Id="rId85" Type="http://schemas.openxmlformats.org/officeDocument/2006/relationships/hyperlink" Target="https://www.amazon.com/dp/B0D87BTW7C?psc=1" TargetMode="External"/><Relationship Id="rId84" Type="http://schemas.openxmlformats.org/officeDocument/2006/relationships/hyperlink" Target="https://www.amazon.com/stores/Nimsruc/page/B8B9097D-5777-44DC-B796-E510A9A3A113?ref_=ast_bln&amp;store_ref=bl_ast_dp_brandLogo_sto" TargetMode="External"/><Relationship Id="rId83" Type="http://schemas.openxmlformats.org/officeDocument/2006/relationships/hyperlink" Target="https://www.amazon.com/dp/B0D87BTW7C" TargetMode="External"/><Relationship Id="rId82" Type="http://schemas.openxmlformats.org/officeDocument/2006/relationships/hyperlink" Target="https://www.amazon.com/gp/help/seller/at-a-glance.html/ref=dp_merchant_link?seller=A2176U2K5GEUVV" TargetMode="External"/><Relationship Id="rId81" Type="http://schemas.openxmlformats.org/officeDocument/2006/relationships/hyperlink" Target="https://www.amazon.com/dp/B07WKVCH2K" TargetMode="External"/><Relationship Id="rId80" Type="http://schemas.openxmlformats.org/officeDocument/2006/relationships/hyperlink" Target="https://images-na.ssl-images-amazon.com/images/I/61l1qcg0EiL._AC_US600_.jpg" TargetMode="External"/><Relationship Id="rId8" Type="http://schemas.openxmlformats.org/officeDocument/2006/relationships/hyperlink" Target="https://www.amazon.com/gp/help/seller/at-a-glance.html/ref=dp_merchant_link?seller=AB2NECOE3B4S7" TargetMode="External"/><Relationship Id="rId79" Type="http://schemas.openxmlformats.org/officeDocument/2006/relationships/hyperlink" Target="https://www.amazon.com/dp/B0791BS118?psc=1" TargetMode="External"/><Relationship Id="rId78" Type="http://schemas.openxmlformats.org/officeDocument/2006/relationships/hyperlink" Target="https://www.amazon.com/stores/Facitisu/page/C6A109D2-7B68-4F3D-8BF6-1507F93DB124?ref_=ast_bln" TargetMode="External"/><Relationship Id="rId77" Type="http://schemas.openxmlformats.org/officeDocument/2006/relationships/hyperlink" Target="https://www.amazon.com/dp/B0791BS118" TargetMode="External"/><Relationship Id="rId76" Type="http://schemas.openxmlformats.org/officeDocument/2006/relationships/hyperlink" Target="https://www.amazon.com/dp/B0CHRDF2Q7" TargetMode="External"/><Relationship Id="rId75" Type="http://schemas.openxmlformats.org/officeDocument/2006/relationships/hyperlink" Target="https://images-na.ssl-images-amazon.com/images/I/61mVGvGfGKL._AC_US600_.jpg" TargetMode="External"/><Relationship Id="rId74" Type="http://schemas.openxmlformats.org/officeDocument/2006/relationships/hyperlink" Target="https://www.amazon.com/dp/B0CHRF49DJ?psc=1" TargetMode="External"/><Relationship Id="rId73" Type="http://schemas.openxmlformats.org/officeDocument/2006/relationships/hyperlink" Target="https://www.amazon.com/dp/B0CHRF49DJ" TargetMode="External"/><Relationship Id="rId72" Type="http://schemas.openxmlformats.org/officeDocument/2006/relationships/hyperlink" Target="https://www.amazon.com/gp/help/seller/at-a-glance.html/ref=dp_merchant_link?seller=A1LE12BR09LON4" TargetMode="External"/><Relationship Id="rId71" Type="http://schemas.openxmlformats.org/officeDocument/2006/relationships/hyperlink" Target="https://www.amazon.com/dp/B0D7VC9G58" TargetMode="External"/><Relationship Id="rId70" Type="http://schemas.openxmlformats.org/officeDocument/2006/relationships/hyperlink" Target="https://m.media-amazon.com/images/I/3133Mm6s-kL._AC_SR600,600_.jpg" TargetMode="External"/><Relationship Id="rId7" Type="http://schemas.openxmlformats.org/officeDocument/2006/relationships/hyperlink" Target="https://www.amazon.com/gp/bestsellers/fashion" TargetMode="External"/><Relationship Id="rId69" Type="http://schemas.openxmlformats.org/officeDocument/2006/relationships/hyperlink" Target="https://www.amazon.com/dp/B0D7VBNVJG?psc=1" TargetMode="External"/><Relationship Id="rId68" Type="http://schemas.openxmlformats.org/officeDocument/2006/relationships/hyperlink" Target="https://www.amazon.com/stores/CaslyLamiit/page/DC549CB9-0B31-48D0-BAA1-324ED1F56092?ref_=ast_bln&amp;store_ref=bl_ast_dp_brandLogo_sto" TargetMode="External"/><Relationship Id="rId67" Type="http://schemas.openxmlformats.org/officeDocument/2006/relationships/hyperlink" Target="https://www.amazon.com/dp/B0D7VBNVJG" TargetMode="External"/><Relationship Id="rId66" Type="http://schemas.openxmlformats.org/officeDocument/2006/relationships/hyperlink" Target="https://www.amazon.com/dp/B0CLNW821L" TargetMode="External"/><Relationship Id="rId65" Type="http://schemas.openxmlformats.org/officeDocument/2006/relationships/hyperlink" Target="https://images-na.ssl-images-amazon.com/images/I/61Qn45tR3qL._AC_US600_.jpg" TargetMode="External"/><Relationship Id="rId64" Type="http://schemas.openxmlformats.org/officeDocument/2006/relationships/hyperlink" Target="https://www.amazon.com/dp/B0CLNWYRN1?psc=1" TargetMode="External"/><Relationship Id="rId63" Type="http://schemas.openxmlformats.org/officeDocument/2006/relationships/hyperlink" Target="https://www.amazon.com/dp/B0CLNWYRN1" TargetMode="External"/><Relationship Id="rId62" Type="http://schemas.openxmlformats.org/officeDocument/2006/relationships/hyperlink" Target="https://www.amazon.com/dp/B0D9Q6KGWX" TargetMode="External"/><Relationship Id="rId61" Type="http://schemas.openxmlformats.org/officeDocument/2006/relationships/hyperlink" Target="https://images-na.ssl-images-amazon.com/images/I/7105oy5xFQL._AC_US600_.jpg" TargetMode="External"/><Relationship Id="rId60" Type="http://schemas.openxmlformats.org/officeDocument/2006/relationships/hyperlink" Target="https://www.amazon.com/dp/B0D9Q5DWWG?psc=1" TargetMode="External"/><Relationship Id="rId6" Type="http://schemas.openxmlformats.org/officeDocument/2006/relationships/hyperlink" Target="https://www.amazon.com/b?node=14292331" TargetMode="External"/><Relationship Id="rId59" Type="http://schemas.openxmlformats.org/officeDocument/2006/relationships/hyperlink" Target="https://www.amazon.com/dp/B0D9Q5DWWG" TargetMode="External"/><Relationship Id="rId58" Type="http://schemas.openxmlformats.org/officeDocument/2006/relationships/hyperlink" Target="https://www.amazon.com/dp/B0CVVP88SJ" TargetMode="External"/><Relationship Id="rId57" Type="http://schemas.openxmlformats.org/officeDocument/2006/relationships/hyperlink" Target="https://m.media-amazon.com/images/I/31MxoVoVXyL._AC_SR600,600_.jpg" TargetMode="External"/><Relationship Id="rId56" Type="http://schemas.openxmlformats.org/officeDocument/2006/relationships/hyperlink" Target="https://www.amazon.com/dp/B0CLY18436?psc=1" TargetMode="External"/><Relationship Id="rId55" Type="http://schemas.openxmlformats.org/officeDocument/2006/relationships/hyperlink" Target="https://www.amazon.com/dp/B0CLY18436" TargetMode="External"/><Relationship Id="rId54" Type="http://schemas.openxmlformats.org/officeDocument/2006/relationships/hyperlink" Target="https://www.amazon.com/gp/help/seller/at-a-glance.html/ref=dp_merchant_link?seller=AW513678AUV06" TargetMode="External"/><Relationship Id="rId53" Type="http://schemas.openxmlformats.org/officeDocument/2006/relationships/hyperlink" Target="https://www.amazon.com/dp/B093GWGLN9" TargetMode="External"/><Relationship Id="rId52" Type="http://schemas.openxmlformats.org/officeDocument/2006/relationships/hyperlink" Target="https://images-na.ssl-images-amazon.com/images/I/61cVVxLa3dL._AC_US600_.jpg" TargetMode="External"/><Relationship Id="rId51" Type="http://schemas.openxmlformats.org/officeDocument/2006/relationships/hyperlink" Target="https://www.amazon.com/dp/B093GVV9MY?psc=1" TargetMode="External"/><Relationship Id="rId50" Type="http://schemas.openxmlformats.org/officeDocument/2006/relationships/hyperlink" Target="https://www.amazon.com/stores/PRETTYGARDEN/page/2A60D2F3-2F7C-4434-BA5F-394D3BAA8533?ref_=ast_bln&amp;store_ref=bl_ast_dp_brandLogo_sto" TargetMode="External"/><Relationship Id="rId5" Type="http://schemas.openxmlformats.org/officeDocument/2006/relationships/hyperlink" Target="https://www.amazon.com/dp/B0CVVNZQ2M" TargetMode="External"/><Relationship Id="rId49" Type="http://schemas.openxmlformats.org/officeDocument/2006/relationships/hyperlink" Target="https://www.amazon.com/dp/B093GVV9MY" TargetMode="External"/><Relationship Id="rId48" Type="http://schemas.openxmlformats.org/officeDocument/2006/relationships/hyperlink" Target="https://www.amazon.com/gp/help/seller/at-a-glance.html/ref=dp_merchant_link?seller=A2QUK1SI2L2L0O" TargetMode="External"/><Relationship Id="rId47" Type="http://schemas.openxmlformats.org/officeDocument/2006/relationships/hyperlink" Target="https://www.amazon.com/dp/B0CBFM2FJ8" TargetMode="External"/><Relationship Id="rId46" Type="http://schemas.openxmlformats.org/officeDocument/2006/relationships/hyperlink" Target="https://m.media-amazon.com/images/I/31RTISCJDiL._AC_SR600,600_.jpg" TargetMode="External"/><Relationship Id="rId45" Type="http://schemas.openxmlformats.org/officeDocument/2006/relationships/hyperlink" Target="https://www.amazon.com/dp/B0CBC6VHWC?psc=1" TargetMode="External"/><Relationship Id="rId443" Type="http://schemas.openxmlformats.org/officeDocument/2006/relationships/hyperlink" Target="https://www.amazon.com/gp/help/seller/at-a-glance.html/ref=dp_merchant_link?seller=AIY88B8APC8UW" TargetMode="External"/><Relationship Id="rId442" Type="http://schemas.openxmlformats.org/officeDocument/2006/relationships/hyperlink" Target="https://m.media-amazon.com/images/I/312Hdx8Ot+L._AC_SR600,600_.jpg" TargetMode="External"/><Relationship Id="rId441" Type="http://schemas.openxmlformats.org/officeDocument/2006/relationships/hyperlink" Target="https://www.amazon.com/dp/B07TZT5S4D?psc=1" TargetMode="External"/><Relationship Id="rId440" Type="http://schemas.openxmlformats.org/officeDocument/2006/relationships/hyperlink" Target="https://www.amazon.com/stores/HANMAX/page/9AC5F515-2851-4721-8DF9-E8CDED19C2BC?ref_=ast_bln" TargetMode="External"/><Relationship Id="rId44" Type="http://schemas.openxmlformats.org/officeDocument/2006/relationships/hyperlink" Target="https://www.amazon.com/stores/Tanming/page/079BC433-4468-4140-A15C-77AD183B21C1?ref_=ast_bln&amp;store_ref=bl_ast_dp_brandLogo_sto" TargetMode="External"/><Relationship Id="rId439" Type="http://schemas.openxmlformats.org/officeDocument/2006/relationships/hyperlink" Target="https://www.amazon.com/dp/B07TZT5S4D" TargetMode="External"/><Relationship Id="rId438" Type="http://schemas.openxmlformats.org/officeDocument/2006/relationships/hyperlink" Target="https://m.media-amazon.com/images/I/41b2R5e4efL._AC_SR600,600_.jpg" TargetMode="External"/><Relationship Id="rId437" Type="http://schemas.openxmlformats.org/officeDocument/2006/relationships/hyperlink" Target="https://www.amazon.com/dp/B0D5R75CS1?psc=1" TargetMode="External"/><Relationship Id="rId436" Type="http://schemas.openxmlformats.org/officeDocument/2006/relationships/hyperlink" Target="https://www.amazon.com/dp/B0D5R75CS1" TargetMode="External"/><Relationship Id="rId435" Type="http://schemas.openxmlformats.org/officeDocument/2006/relationships/hyperlink" Target="https://images-na.ssl-images-amazon.com/images/I/61YUJpbFaGL._AC_US600_.jpg" TargetMode="External"/><Relationship Id="rId434" Type="http://schemas.openxmlformats.org/officeDocument/2006/relationships/hyperlink" Target="https://www.amazon.com/dp/B0D264F3Y4?psc=1" TargetMode="External"/><Relationship Id="rId433" Type="http://schemas.openxmlformats.org/officeDocument/2006/relationships/hyperlink" Target="https://www.amazon.com/dp/B0D264F3Y4" TargetMode="External"/><Relationship Id="rId432" Type="http://schemas.openxmlformats.org/officeDocument/2006/relationships/hyperlink" Target="https://m.media-amazon.com/images/I/31qhrwiSX7L._AC_SR600,600_.jpg" TargetMode="External"/><Relationship Id="rId431" Type="http://schemas.openxmlformats.org/officeDocument/2006/relationships/hyperlink" Target="https://www.amazon.com/dp/B0CD3V24LD?psc=1" TargetMode="External"/><Relationship Id="rId430" Type="http://schemas.openxmlformats.org/officeDocument/2006/relationships/hyperlink" Target="https://www.amazon.com/dp/B0CD3V24LD" TargetMode="External"/><Relationship Id="rId43" Type="http://schemas.openxmlformats.org/officeDocument/2006/relationships/hyperlink" Target="https://www.amazon.com/dp/B0CBC6VHWC" TargetMode="External"/><Relationship Id="rId429" Type="http://schemas.openxmlformats.org/officeDocument/2006/relationships/hyperlink" Target="https://images-na.ssl-images-amazon.com/images/I/61XiDKwfWqL._AC_US600_.jpg" TargetMode="External"/><Relationship Id="rId428" Type="http://schemas.openxmlformats.org/officeDocument/2006/relationships/hyperlink" Target="https://www.amazon.com/dp/B0D9NB6T2V?psc=1" TargetMode="External"/><Relationship Id="rId427" Type="http://schemas.openxmlformats.org/officeDocument/2006/relationships/hyperlink" Target="https://www.amazon.com/dp/B0D9NB6T2V" TargetMode="External"/><Relationship Id="rId426" Type="http://schemas.openxmlformats.org/officeDocument/2006/relationships/hyperlink" Target="https://m.media-amazon.com/images/I/41JR6v4KR+L._AC_SR600,600_.jpg" TargetMode="External"/><Relationship Id="rId425" Type="http://schemas.openxmlformats.org/officeDocument/2006/relationships/hyperlink" Target="https://www.amazon.com/dp/B0D5B5J51K?psc=1" TargetMode="External"/><Relationship Id="rId424" Type="http://schemas.openxmlformats.org/officeDocument/2006/relationships/hyperlink" Target="https://www.amazon.com/dp/B0D5B5J51K" TargetMode="External"/><Relationship Id="rId423" Type="http://schemas.openxmlformats.org/officeDocument/2006/relationships/hyperlink" Target="https://m.media-amazon.com/images/I/31lvGh5+9dL._AC_SR600,600_.jpg" TargetMode="External"/><Relationship Id="rId422" Type="http://schemas.openxmlformats.org/officeDocument/2006/relationships/hyperlink" Target="https://www.amazon.com/dp/B0D396DM89?psc=1" TargetMode="External"/><Relationship Id="rId421" Type="http://schemas.openxmlformats.org/officeDocument/2006/relationships/hyperlink" Target="https://www.amazon.com/dp/B0D396DM89" TargetMode="External"/><Relationship Id="rId420" Type="http://schemas.openxmlformats.org/officeDocument/2006/relationships/hyperlink" Target="https://www.amazon.com/gp/help/seller/at-a-glance.html/ref=dp_merchant_link?seller=A26V1YU835VWQX" TargetMode="External"/><Relationship Id="rId42" Type="http://schemas.openxmlformats.org/officeDocument/2006/relationships/hyperlink" Target="https://www.amazon.com/gp/help/seller/at-a-glance.html/ref=dp_merchant_link?seller=A16JH42LGBJNLY" TargetMode="External"/><Relationship Id="rId419" Type="http://schemas.openxmlformats.org/officeDocument/2006/relationships/hyperlink" Target="https://images-na.ssl-images-amazon.com/images/I/41pO-ABqzlL._AC_US600_.jpg" TargetMode="External"/><Relationship Id="rId418" Type="http://schemas.openxmlformats.org/officeDocument/2006/relationships/hyperlink" Target="https://www.amazon.com/dp/B0C27NRRLZ?psc=1" TargetMode="External"/><Relationship Id="rId417" Type="http://schemas.openxmlformats.org/officeDocument/2006/relationships/hyperlink" Target="https://www.amazon.com/COREWO/b/ref=bl_sl_s_ap_web_73804549011?ie=UTF8&amp;node=73804549011&amp;field-lbr_brands_browse-bin=COREWO" TargetMode="External"/><Relationship Id="rId416" Type="http://schemas.openxmlformats.org/officeDocument/2006/relationships/hyperlink" Target="https://www.amazon.com/dp/B0C27NRRLZ" TargetMode="External"/><Relationship Id="rId415" Type="http://schemas.openxmlformats.org/officeDocument/2006/relationships/hyperlink" Target="https://m.media-amazon.com/images/I/31B6qLgnXNL._AC_SR600,600_.jpg" TargetMode="External"/><Relationship Id="rId414" Type="http://schemas.openxmlformats.org/officeDocument/2006/relationships/hyperlink" Target="https://www.amazon.com/dp/B0B4NJFXM1?psc=1" TargetMode="External"/><Relationship Id="rId413" Type="http://schemas.openxmlformats.org/officeDocument/2006/relationships/hyperlink" Target="https://www.amazon.com/dp/B0B4NJFXM1" TargetMode="External"/><Relationship Id="rId412" Type="http://schemas.openxmlformats.org/officeDocument/2006/relationships/hyperlink" Target="https://m.media-amazon.com/images/I/31sRZ-uB77L._AC_SR600,600_.jpg" TargetMode="External"/><Relationship Id="rId411" Type="http://schemas.openxmlformats.org/officeDocument/2006/relationships/hyperlink" Target="https://www.amazon.com/dp/B0CCR27GWJ?psc=1" TargetMode="External"/><Relationship Id="rId410" Type="http://schemas.openxmlformats.org/officeDocument/2006/relationships/hyperlink" Target="https://www.amazon.com/dp/B0CCR27GWJ" TargetMode="External"/><Relationship Id="rId41" Type="http://schemas.openxmlformats.org/officeDocument/2006/relationships/hyperlink" Target="https://www.amazon.com/dp/B0CFKFXJTJ" TargetMode="External"/><Relationship Id="rId409" Type="http://schemas.openxmlformats.org/officeDocument/2006/relationships/hyperlink" Target="https://m.media-amazon.com/images/I/310u-dkyuzL._AC_SR600,600_.jpg" TargetMode="External"/><Relationship Id="rId408" Type="http://schemas.openxmlformats.org/officeDocument/2006/relationships/hyperlink" Target="https://www.amazon.com/dp/B07GNXZT6L?psc=1" TargetMode="External"/><Relationship Id="rId407" Type="http://schemas.openxmlformats.org/officeDocument/2006/relationships/hyperlink" Target="https://www.amazon.com/dp/B07GNXZT6L" TargetMode="External"/><Relationship Id="rId406" Type="http://schemas.openxmlformats.org/officeDocument/2006/relationships/hyperlink" Target="https://m.media-amazon.com/images/I/31YvCHZzOJL._AC_SR600,600_.jpg" TargetMode="External"/><Relationship Id="rId405" Type="http://schemas.openxmlformats.org/officeDocument/2006/relationships/hyperlink" Target="https://www.amazon.com/dp/B0C3VJNTD5?psc=1" TargetMode="External"/><Relationship Id="rId404" Type="http://schemas.openxmlformats.org/officeDocument/2006/relationships/hyperlink" Target="https://www.amazon.com/dp/B0C3VJNTD5" TargetMode="External"/><Relationship Id="rId403" Type="http://schemas.openxmlformats.org/officeDocument/2006/relationships/hyperlink" Target="https://www.amazon.com/gp/help/seller/at-a-glance.html/ref=dp_merchant_link?seller=A3A3OLX72STXBQ" TargetMode="External"/><Relationship Id="rId402" Type="http://schemas.openxmlformats.org/officeDocument/2006/relationships/hyperlink" Target="https://m.media-amazon.com/images/I/31z88KVaXXL._AC_SR600,600_.jpg" TargetMode="External"/><Relationship Id="rId401" Type="http://schemas.openxmlformats.org/officeDocument/2006/relationships/hyperlink" Target="https://www.amazon.com/dp/B09JJLS2N6?psc=1" TargetMode="External"/><Relationship Id="rId400" Type="http://schemas.openxmlformats.org/officeDocument/2006/relationships/hyperlink" Target="https://www.amazon.com/stores/AOHITE/page/EF1DFB8D-DF12-4CAE-B94F-62756CB68689?ref_=ast_bln&amp;store_ref=bl_ast_dp_brandLogo_sto" TargetMode="External"/><Relationship Id="rId40" Type="http://schemas.openxmlformats.org/officeDocument/2006/relationships/hyperlink" Target="https://m.media-amazon.com/images/I/31m480tSm0L._AC_SR600,600_.jpg" TargetMode="External"/><Relationship Id="rId4" Type="http://schemas.openxmlformats.org/officeDocument/2006/relationships/hyperlink" Target="https://m.media-amazon.com/images/I/31Oho2JLoyL._AC_SR600,600_.jpg" TargetMode="External"/><Relationship Id="rId399" Type="http://schemas.openxmlformats.org/officeDocument/2006/relationships/hyperlink" Target="https://www.amazon.com/dp/B09JJLS2N6" TargetMode="External"/><Relationship Id="rId398" Type="http://schemas.openxmlformats.org/officeDocument/2006/relationships/hyperlink" Target="https://www.amazon.com/gp/help/seller/at-a-glance.html/ref=dp_merchant_link?seller=A2X6H4QYRGFLXA" TargetMode="External"/><Relationship Id="rId397" Type="http://schemas.openxmlformats.org/officeDocument/2006/relationships/hyperlink" Target="https://images-na.ssl-images-amazon.com/images/I/612RQaSudGS._AC_US600_.jpg" TargetMode="External"/><Relationship Id="rId396" Type="http://schemas.openxmlformats.org/officeDocument/2006/relationships/hyperlink" Target="https://www.amazon.com/dp/B08QTX8GPW?psc=1" TargetMode="External"/><Relationship Id="rId395" Type="http://schemas.openxmlformats.org/officeDocument/2006/relationships/hyperlink" Target="https://www.amazon.com/stores/Fixmatti/page/115C6C0B-1BE2-459C-B5F5-AD8F7D62CE2E?ref_=ast_bln&amp;store_ref=bl_ast_dp_brandLogo_sto" TargetMode="External"/><Relationship Id="rId394" Type="http://schemas.openxmlformats.org/officeDocument/2006/relationships/hyperlink" Target="https://www.amazon.com/dp/B08QTX8GPW" TargetMode="External"/><Relationship Id="rId393" Type="http://schemas.openxmlformats.org/officeDocument/2006/relationships/hyperlink" Target="https://m.media-amazon.com/images/I/311vyal-ddL._AC_SR600,600_.jpg" TargetMode="External"/><Relationship Id="rId392" Type="http://schemas.openxmlformats.org/officeDocument/2006/relationships/hyperlink" Target="https://www.amazon.com/dp/B08GPJ4DVQ?psc=1" TargetMode="External"/><Relationship Id="rId391" Type="http://schemas.openxmlformats.org/officeDocument/2006/relationships/hyperlink" Target="https://www.amazon.com/dp/B08GPJ4DVQ" TargetMode="External"/><Relationship Id="rId390" Type="http://schemas.openxmlformats.org/officeDocument/2006/relationships/hyperlink" Target="https://www.amazon.com/gp/help/seller/at-a-glance.html/ref=dp_merchant_link?seller=AT5K7MIX35CRI" TargetMode="External"/><Relationship Id="rId39" Type="http://schemas.openxmlformats.org/officeDocument/2006/relationships/hyperlink" Target="https://www.amazon.com/dp/B0CFKJGMRG?psc=1" TargetMode="External"/><Relationship Id="rId389" Type="http://schemas.openxmlformats.org/officeDocument/2006/relationships/hyperlink" Target="https://m.media-amazon.com/images/I/31ztFgMfdiL._AC_SR600,600_.jpg" TargetMode="External"/><Relationship Id="rId388" Type="http://schemas.openxmlformats.org/officeDocument/2006/relationships/hyperlink" Target="https://www.amazon.com/dp/B0C7QTTJRV?psc=1" TargetMode="External"/><Relationship Id="rId387" Type="http://schemas.openxmlformats.org/officeDocument/2006/relationships/hyperlink" Target="https://www.amazon.com/stores/CARACILIAFASHION/page/21A3E20B-2471-42E0-86AB-26C1A20FB2B0?ref_=ast_bln&amp;store_ref=bl_ast_dp_brandLogo_sto" TargetMode="External"/><Relationship Id="rId386" Type="http://schemas.openxmlformats.org/officeDocument/2006/relationships/hyperlink" Target="https://www.amazon.com/dp/B0C7QTTJRV" TargetMode="External"/><Relationship Id="rId385" Type="http://schemas.openxmlformats.org/officeDocument/2006/relationships/hyperlink" Target="https://images-na.ssl-images-amazon.com/images/I/61x0GuUyRcL._AC_US600_.jpg" TargetMode="External"/><Relationship Id="rId384" Type="http://schemas.openxmlformats.org/officeDocument/2006/relationships/hyperlink" Target="https://www.amazon.com/dp/B0C3QP7MSJ?psc=1" TargetMode="External"/><Relationship Id="rId383" Type="http://schemas.openxmlformats.org/officeDocument/2006/relationships/hyperlink" Target="https://www.amazon.com/dp/B0C3QP7MSJ" TargetMode="External"/><Relationship Id="rId382" Type="http://schemas.openxmlformats.org/officeDocument/2006/relationships/hyperlink" Target="https://m.media-amazon.com/images/I/31XZCxM8laL._AC_SR600,600_.jpg" TargetMode="External"/><Relationship Id="rId381" Type="http://schemas.openxmlformats.org/officeDocument/2006/relationships/hyperlink" Target="https://www.amazon.com/dp/B0CD7MKRPY?psc=1" TargetMode="External"/><Relationship Id="rId380" Type="http://schemas.openxmlformats.org/officeDocument/2006/relationships/hyperlink" Target="https://www.amazon.com/dp/B0CD7MKRPY" TargetMode="External"/><Relationship Id="rId38" Type="http://schemas.openxmlformats.org/officeDocument/2006/relationships/hyperlink" Target="https://www.amazon.com/stores/BTFBM/page/F5DB1F57-0171-4D2E-BD4E-5C4A8D024498?ref_=ast_bln&amp;store_ref=bl_ast_dp_brandLogo_sto" TargetMode="External"/><Relationship Id="rId379" Type="http://schemas.openxmlformats.org/officeDocument/2006/relationships/hyperlink" Target="https://www.amazon.com/gp/help/seller/at-a-glance.html/ref=dp_merchant_link?seller=A2R1SX4L6FB0QR" TargetMode="External"/><Relationship Id="rId378" Type="http://schemas.openxmlformats.org/officeDocument/2006/relationships/hyperlink" Target="https://m.media-amazon.com/images/I/31QcIG+ou7L._AC_SR600,600_.jpg" TargetMode="External"/><Relationship Id="rId377" Type="http://schemas.openxmlformats.org/officeDocument/2006/relationships/hyperlink" Target="https://www.amazon.com/dp/B0D8L2WMY8?psc=1" TargetMode="External"/><Relationship Id="rId376" Type="http://schemas.openxmlformats.org/officeDocument/2006/relationships/hyperlink" Target="https://www.amazon.com/stores/TrendyQueen/page/C358EA1A-E134-4D8D-90F5-BB331A2FDC37?ref_=ast_bln&amp;store_ref=bl_ast_dp_brandLogo_sto" TargetMode="External"/><Relationship Id="rId375" Type="http://schemas.openxmlformats.org/officeDocument/2006/relationships/hyperlink" Target="https://www.amazon.com/dp/B0D8L2WMY8" TargetMode="External"/><Relationship Id="rId374" Type="http://schemas.openxmlformats.org/officeDocument/2006/relationships/hyperlink" Target="https://images-na.ssl-images-amazon.com/images/I/519XE7RwtlL._AC_US600_.jpg" TargetMode="External"/><Relationship Id="rId373" Type="http://schemas.openxmlformats.org/officeDocument/2006/relationships/hyperlink" Target="https://www.amazon.com/dp/B0D12P7KZX?psc=1" TargetMode="External"/><Relationship Id="rId372" Type="http://schemas.openxmlformats.org/officeDocument/2006/relationships/hyperlink" Target="https://www.amazon.com/dp/B0D12P7KZX" TargetMode="External"/><Relationship Id="rId371" Type="http://schemas.openxmlformats.org/officeDocument/2006/relationships/hyperlink" Target="https://www.amazon.com/gp/help/seller/at-a-glance.html/ref=dp_merchant_link?seller=A2SH64MZJQ2DFN" TargetMode="External"/><Relationship Id="rId370" Type="http://schemas.openxmlformats.org/officeDocument/2006/relationships/hyperlink" Target="https://m.media-amazon.com/images/I/31oV1r9EQzL._AC_SR600,600_.jpg" TargetMode="External"/><Relationship Id="rId37" Type="http://schemas.openxmlformats.org/officeDocument/2006/relationships/hyperlink" Target="https://www.amazon.com/dp/B0CFKJGMRG" TargetMode="External"/><Relationship Id="rId369" Type="http://schemas.openxmlformats.org/officeDocument/2006/relationships/hyperlink" Target="https://www.amazon.com/dp/B09BJVFXHG?psc=1" TargetMode="External"/><Relationship Id="rId368" Type="http://schemas.openxmlformats.org/officeDocument/2006/relationships/hyperlink" Target="https://www.amazon.com/stores/CLOCOR/page/4B2AC8F6-51F5-4ED2-8E83-382C94B22C28?ref_=ast_bln&amp;store_ref=bl_ast_dp_brandLogo_sto" TargetMode="External"/><Relationship Id="rId367" Type="http://schemas.openxmlformats.org/officeDocument/2006/relationships/hyperlink" Target="https://www.amazon.com/dp/B09BJVFXHG" TargetMode="External"/><Relationship Id="rId366" Type="http://schemas.openxmlformats.org/officeDocument/2006/relationships/hyperlink" Target="https://m.media-amazon.com/images/I/31FJkE3W-VL._AC_SR600,600_.jpg" TargetMode="External"/><Relationship Id="rId365" Type="http://schemas.openxmlformats.org/officeDocument/2006/relationships/hyperlink" Target="https://www.amazon.com/dp/B0CGRS8S5J?psc=1" TargetMode="External"/><Relationship Id="rId364" Type="http://schemas.openxmlformats.org/officeDocument/2006/relationships/hyperlink" Target="https://www.amazon.com/dp/B0CGRS8S5J" TargetMode="External"/><Relationship Id="rId363" Type="http://schemas.openxmlformats.org/officeDocument/2006/relationships/hyperlink" Target="https://m.media-amazon.com/images/I/31AL0RlXtIL._AC_SR600,600_.jpg" TargetMode="External"/><Relationship Id="rId362" Type="http://schemas.openxmlformats.org/officeDocument/2006/relationships/hyperlink" Target="https://www.amazon.com/dp/B0D2ZDY584?psc=1" TargetMode="External"/><Relationship Id="rId361" Type="http://schemas.openxmlformats.org/officeDocument/2006/relationships/hyperlink" Target="https://www.amazon.com/dp/B0D2ZDY584" TargetMode="External"/><Relationship Id="rId360" Type="http://schemas.openxmlformats.org/officeDocument/2006/relationships/hyperlink" Target="https://www.amazon.com/gp/help/seller/at-a-glance.html/ref=dp_merchant_link?seller=A247823AUWNPSP" TargetMode="External"/><Relationship Id="rId36" Type="http://schemas.openxmlformats.org/officeDocument/2006/relationships/hyperlink" Target="https://www.amazon.com/gp/help/seller/at-a-glance.html/ref=dp_merchant_link?seller=A39S3583PNM4DE" TargetMode="External"/><Relationship Id="rId359" Type="http://schemas.openxmlformats.org/officeDocument/2006/relationships/hyperlink" Target="https://m.media-amazon.com/images/I/31yKI9gWSzL._AC_SR600,600_.jpg" TargetMode="External"/><Relationship Id="rId358" Type="http://schemas.openxmlformats.org/officeDocument/2006/relationships/hyperlink" Target="https://www.amazon.com/dp/B0D7MNYVZG?psc=1" TargetMode="External"/><Relationship Id="rId357" Type="http://schemas.openxmlformats.org/officeDocument/2006/relationships/hyperlink" Target="https://www.amazon.com/stores/Aokosor/page/DE6EAD3E-63B1-4EEF-8A61-8653784C3C15?ref_=ast_bln&amp;store_ref=bl_ast_dp_brandLogo_sto" TargetMode="External"/><Relationship Id="rId356" Type="http://schemas.openxmlformats.org/officeDocument/2006/relationships/hyperlink" Target="https://www.amazon.com/dp/B0D7MNYVZG" TargetMode="External"/><Relationship Id="rId355" Type="http://schemas.openxmlformats.org/officeDocument/2006/relationships/hyperlink" Target="https://www.amazon.com/gp/help/seller/at-a-glance.html/ref=dp_merchant_link?seller=A2ZQJ5KF4EEBHB" TargetMode="External"/><Relationship Id="rId354" Type="http://schemas.openxmlformats.org/officeDocument/2006/relationships/hyperlink" Target="https://images-na.ssl-images-amazon.com/images/I/31bKN73i6yL._AC_US600_.jpg" TargetMode="External"/><Relationship Id="rId353" Type="http://schemas.openxmlformats.org/officeDocument/2006/relationships/hyperlink" Target="https://www.amazon.com/dp/B0D93M8QJ7?psc=1" TargetMode="External"/><Relationship Id="rId352" Type="http://schemas.openxmlformats.org/officeDocument/2006/relationships/hyperlink" Target="https://www.amazon.com/stores/COPYLEAF/page/900E3D38-F862-4C24-B5BB-CFF4D4DDD96B?ref_=ast_bln" TargetMode="External"/><Relationship Id="rId351" Type="http://schemas.openxmlformats.org/officeDocument/2006/relationships/hyperlink" Target="https://www.amazon.com/dp/B0D93M8QJ7" TargetMode="External"/><Relationship Id="rId350" Type="http://schemas.openxmlformats.org/officeDocument/2006/relationships/hyperlink" Target="https://images-na.ssl-images-amazon.com/images/I/61uIoDlsTpL._AC_US600_.jpg" TargetMode="External"/><Relationship Id="rId35" Type="http://schemas.openxmlformats.org/officeDocument/2006/relationships/hyperlink" Target="https://www.amazon.com/dp/B0D73Q28ZT" TargetMode="External"/><Relationship Id="rId349" Type="http://schemas.openxmlformats.org/officeDocument/2006/relationships/hyperlink" Target="https://www.amazon.com/dp/B0CG8BP7JZ?psc=1" TargetMode="External"/><Relationship Id="rId348" Type="http://schemas.openxmlformats.org/officeDocument/2006/relationships/hyperlink" Target="https://www.amazon.com/dp/B0CG8BP7JZ" TargetMode="External"/><Relationship Id="rId347" Type="http://schemas.openxmlformats.org/officeDocument/2006/relationships/hyperlink" Target="https://www.amazon.com/gp/help/seller/at-a-glance.html/ref=dp_merchant_link?seller=AAQ6OPQ0HZ4YE" TargetMode="External"/><Relationship Id="rId346" Type="http://schemas.openxmlformats.org/officeDocument/2006/relationships/hyperlink" Target="https://m.media-amazon.com/images/I/31UQQokwGpL._AC_SR600,600_.jpg" TargetMode="External"/><Relationship Id="rId345" Type="http://schemas.openxmlformats.org/officeDocument/2006/relationships/hyperlink" Target="https://www.amazon.com/dp/B081C38Q7Y?psc=1" TargetMode="External"/><Relationship Id="rId344" Type="http://schemas.openxmlformats.org/officeDocument/2006/relationships/hyperlink" Target="https://www.amazon.com/stores/Hotouch/page/FD69172B-6665-4980-BCF7-1DD7F6594521?ref_=ast_bln&amp;store_ref=bl_ast_dp_brandLogo_sto" TargetMode="External"/><Relationship Id="rId343" Type="http://schemas.openxmlformats.org/officeDocument/2006/relationships/hyperlink" Target="https://www.amazon.com/dp/B081C38Q7Y" TargetMode="External"/><Relationship Id="rId342" Type="http://schemas.openxmlformats.org/officeDocument/2006/relationships/hyperlink" Target="https://m.media-amazon.com/images/I/31LJeCa7bxL._AC_SR600,600_.jpg" TargetMode="External"/><Relationship Id="rId341" Type="http://schemas.openxmlformats.org/officeDocument/2006/relationships/hyperlink" Target="https://www.amazon.com/dp/B0D6RH3CZ6?psc=1" TargetMode="External"/><Relationship Id="rId340" Type="http://schemas.openxmlformats.org/officeDocument/2006/relationships/hyperlink" Target="https://www.amazon.com/dp/B0D6RH3CZ6" TargetMode="External"/><Relationship Id="rId34" Type="http://schemas.openxmlformats.org/officeDocument/2006/relationships/hyperlink" Target="https://images-na.ssl-images-amazon.com/images/I/51AsO6blGVL._AC_US600_.jpg" TargetMode="External"/><Relationship Id="rId339" Type="http://schemas.openxmlformats.org/officeDocument/2006/relationships/hyperlink" Target="https://www.amazon.com/gp/help/seller/at-a-glance.html/ref=dp_merchant_link?seller=AN0R5HDOHPC36" TargetMode="External"/><Relationship Id="rId338" Type="http://schemas.openxmlformats.org/officeDocument/2006/relationships/hyperlink" Target="https://m.media-amazon.com/images/I/419xxJsvR6L._AC_SR600,600_.jpg" TargetMode="External"/><Relationship Id="rId337" Type="http://schemas.openxmlformats.org/officeDocument/2006/relationships/hyperlink" Target="https://www.amazon.com/dp/B0DCJ7Y95J?psc=1" TargetMode="External"/><Relationship Id="rId336" Type="http://schemas.openxmlformats.org/officeDocument/2006/relationships/hyperlink" Target="https://www.amazon.com/stores/wxglndab/page/5F7BD875-A43E-459C-8EEF-963757829AAB?ref_=ast_bln" TargetMode="External"/><Relationship Id="rId335" Type="http://schemas.openxmlformats.org/officeDocument/2006/relationships/hyperlink" Target="https://www.amazon.com/dp/B0DCJ7Y95J" TargetMode="External"/><Relationship Id="rId334" Type="http://schemas.openxmlformats.org/officeDocument/2006/relationships/hyperlink" Target="https://m.media-amazon.com/images/I/31AD7ABjoNL._AC_SR600,600_.jpg" TargetMode="External"/><Relationship Id="rId333" Type="http://schemas.openxmlformats.org/officeDocument/2006/relationships/hyperlink" Target="https://www.amazon.com/dp/B0D2NS5ZYM?psc=1" TargetMode="External"/><Relationship Id="rId332" Type="http://schemas.openxmlformats.org/officeDocument/2006/relationships/hyperlink" Target="https://www.amazon.com/dp/B0D2NS5ZYM" TargetMode="External"/><Relationship Id="rId331" Type="http://schemas.openxmlformats.org/officeDocument/2006/relationships/hyperlink" Target="https://www.amazon.com/gp/help/seller/at-a-glance.html/ref=dp_merchant_link?seller=A1HOHCHFP9W3W5" TargetMode="External"/><Relationship Id="rId330" Type="http://schemas.openxmlformats.org/officeDocument/2006/relationships/hyperlink" Target="https://images-na.ssl-images-amazon.com/images/I/61PDiPSTcQL._AC_US600_.jpg" TargetMode="External"/><Relationship Id="rId33" Type="http://schemas.openxmlformats.org/officeDocument/2006/relationships/hyperlink" Target="https://www.amazon.com/dp/B0D73Q3VF9?psc=1" TargetMode="External"/><Relationship Id="rId329" Type="http://schemas.openxmlformats.org/officeDocument/2006/relationships/hyperlink" Target="https://www.amazon.com/dp/B0D3TSQ3PG?psc=1" TargetMode="External"/><Relationship Id="rId328" Type="http://schemas.openxmlformats.org/officeDocument/2006/relationships/hyperlink" Target="https://www.amazon.com/stores/Saloogoe/page/50F6AD1F-09ED-4EF0-B9AF-C7CD12F20D54?ref_=ast_bln&amp;store_ref=bl_ast_dp_brandLogo_sto" TargetMode="External"/><Relationship Id="rId327" Type="http://schemas.openxmlformats.org/officeDocument/2006/relationships/hyperlink" Target="https://www.amazon.com/dp/B0D3TSQ3PG" TargetMode="External"/><Relationship Id="rId326" Type="http://schemas.openxmlformats.org/officeDocument/2006/relationships/hyperlink" Target="https://www.amazon.com/gp/help/seller/at-a-glance.html/ref=dp_merchant_link?seller=A2CMKR8PBX8UTO" TargetMode="External"/><Relationship Id="rId325" Type="http://schemas.openxmlformats.org/officeDocument/2006/relationships/hyperlink" Target="https://m.media-amazon.com/images/I/31F+jq3kGGL._AC_SR600,600_.jpg" TargetMode="External"/><Relationship Id="rId324" Type="http://schemas.openxmlformats.org/officeDocument/2006/relationships/hyperlink" Target="https://www.amazon.com/dp/B0D2NP6P8C?psc=1" TargetMode="External"/><Relationship Id="rId323" Type="http://schemas.openxmlformats.org/officeDocument/2006/relationships/hyperlink" Target="https://www.amazon.com/stores/UOUAFASHION/page/9EC63F78-31EB-421B-A486-313728B9A5C2?ref_=ast_bln&amp;store_ref=bl_ast_dp_brandLogo_sto" TargetMode="External"/><Relationship Id="rId322" Type="http://schemas.openxmlformats.org/officeDocument/2006/relationships/hyperlink" Target="https://www.amazon.com/dp/B0D2NP6P8C" TargetMode="External"/><Relationship Id="rId321" Type="http://schemas.openxmlformats.org/officeDocument/2006/relationships/hyperlink" Target="https://m.media-amazon.com/images/I/41VvoBWnk6L._AC_SR600,600_.jpg" TargetMode="External"/><Relationship Id="rId320" Type="http://schemas.openxmlformats.org/officeDocument/2006/relationships/hyperlink" Target="https://www.amazon.com/dp/B0CBMGFZRH?psc=1" TargetMode="External"/><Relationship Id="rId32" Type="http://schemas.openxmlformats.org/officeDocument/2006/relationships/hyperlink" Target="https://www.amazon.com/stores/Kissfix/page/B82BAD26-E741-4B6F-9851-BE9C8A0A8462?ref_=ast_bln&amp;store_ref=bl_ast_dp_brandLogo_sto" TargetMode="External"/><Relationship Id="rId319" Type="http://schemas.openxmlformats.org/officeDocument/2006/relationships/hyperlink" Target="https://www.amazon.com/dp/B0CBMGFZRH" TargetMode="External"/><Relationship Id="rId318" Type="http://schemas.openxmlformats.org/officeDocument/2006/relationships/hyperlink" Target="https://m.media-amazon.com/images/I/31d2fJ4D1JL._AC_SR600,600_.jpg" TargetMode="External"/><Relationship Id="rId317" Type="http://schemas.openxmlformats.org/officeDocument/2006/relationships/hyperlink" Target="https://www.amazon.com/dp/B0CDP4KNLN?psc=1" TargetMode="External"/><Relationship Id="rId316" Type="http://schemas.openxmlformats.org/officeDocument/2006/relationships/hyperlink" Target="https://www.amazon.com/dp/B0CDP4KNLN" TargetMode="External"/><Relationship Id="rId315" Type="http://schemas.openxmlformats.org/officeDocument/2006/relationships/hyperlink" Target="https://images-na.ssl-images-amazon.com/images/I/61-V8agpxqL._AC_US600_.jpg" TargetMode="External"/><Relationship Id="rId314" Type="http://schemas.openxmlformats.org/officeDocument/2006/relationships/hyperlink" Target="https://www.amazon.com/dp/B0D3QJ25Z7?psc=1" TargetMode="External"/><Relationship Id="rId313" Type="http://schemas.openxmlformats.org/officeDocument/2006/relationships/hyperlink" Target="https://www.amazon.com/dp/B0D3QJ25Z7" TargetMode="External"/><Relationship Id="rId312" Type="http://schemas.openxmlformats.org/officeDocument/2006/relationships/hyperlink" Target="https://images-na.ssl-images-amazon.com/images/I/51jZUwH1cyL._AC_US600_.jpg" TargetMode="External"/><Relationship Id="rId311" Type="http://schemas.openxmlformats.org/officeDocument/2006/relationships/hyperlink" Target="https://www.amazon.com/dp/B0DCVGVP5Y?psc=1" TargetMode="External"/><Relationship Id="rId310" Type="http://schemas.openxmlformats.org/officeDocument/2006/relationships/hyperlink" Target="https://www.amazon.com/dp/B0DCVGVP5Y" TargetMode="External"/><Relationship Id="rId31" Type="http://schemas.openxmlformats.org/officeDocument/2006/relationships/hyperlink" Target="https://www.amazon.com/dp/B0D73Q3VF9" TargetMode="External"/><Relationship Id="rId309" Type="http://schemas.openxmlformats.org/officeDocument/2006/relationships/hyperlink" Target="https://m.media-amazon.com/images/I/41Uy90S4U9L._AC_SR600,600_.jpg" TargetMode="External"/><Relationship Id="rId308" Type="http://schemas.openxmlformats.org/officeDocument/2006/relationships/hyperlink" Target="https://www.amazon.com/dp/B0D73P1KX2?psc=1" TargetMode="External"/><Relationship Id="rId307" Type="http://schemas.openxmlformats.org/officeDocument/2006/relationships/hyperlink" Target="https://www.amazon.com/dp/B0D73P1KX2" TargetMode="External"/><Relationship Id="rId306" Type="http://schemas.openxmlformats.org/officeDocument/2006/relationships/hyperlink" Target="https://www.amazon.com/gp/help/seller/at-a-glance.html/ref=dp_merchant_link?seller=A2G1QHS96IQWKH" TargetMode="External"/><Relationship Id="rId305" Type="http://schemas.openxmlformats.org/officeDocument/2006/relationships/hyperlink" Target="https://images-na.ssl-images-amazon.com/images/I/51-zJ06pZOL._AC_US600_.jpg" TargetMode="External"/><Relationship Id="rId304" Type="http://schemas.openxmlformats.org/officeDocument/2006/relationships/hyperlink" Target="https://www.amazon.com/dp/B07VC63689?psc=1" TargetMode="External"/><Relationship Id="rId303" Type="http://schemas.openxmlformats.org/officeDocument/2006/relationships/hyperlink" Target="https://www.amazon.com/stores/Yasumond/page/3D60F832-7186-461F-9A65-AD88D6BCB2B7?ref_=ast_bln&amp;store_ref=bl_ast_dp_brandLogo_sto" TargetMode="External"/><Relationship Id="rId302" Type="http://schemas.openxmlformats.org/officeDocument/2006/relationships/hyperlink" Target="https://www.amazon.com/dp/B07VC63689" TargetMode="External"/><Relationship Id="rId301" Type="http://schemas.openxmlformats.org/officeDocument/2006/relationships/hyperlink" Target="https://m.media-amazon.com/images/I/31WoJkVnZ2L._AC_SR600,600_.jpg" TargetMode="External"/><Relationship Id="rId300" Type="http://schemas.openxmlformats.org/officeDocument/2006/relationships/hyperlink" Target="https://www.amazon.com/dp/B0D2CTT3X1?psc=1" TargetMode="External"/><Relationship Id="rId30" Type="http://schemas.openxmlformats.org/officeDocument/2006/relationships/hyperlink" Target="https://www.amazon.com/gp/help/seller/at-a-glance.html/ref=dp_merchant_link?seller=A3VT9VLIG8GZLW" TargetMode="External"/><Relationship Id="rId3" Type="http://schemas.openxmlformats.org/officeDocument/2006/relationships/hyperlink" Target="https://www.amazon.com/dp/B0CC983BYN?psc=1" TargetMode="External"/><Relationship Id="rId299" Type="http://schemas.openxmlformats.org/officeDocument/2006/relationships/hyperlink" Target="https://www.amazon.com/dp/B0D2CTT3X1" TargetMode="External"/><Relationship Id="rId298" Type="http://schemas.openxmlformats.org/officeDocument/2006/relationships/hyperlink" Target="https://www.amazon.com/gp/help/seller/at-a-glance.html/ref=dp_merchant_link?seller=A1JHDEC5E8DHGE" TargetMode="External"/><Relationship Id="rId297" Type="http://schemas.openxmlformats.org/officeDocument/2006/relationships/hyperlink" Target="https://m.media-amazon.com/images/I/31zN8aC0HgL._AC_SR600,600_.jpg" TargetMode="External"/><Relationship Id="rId296" Type="http://schemas.openxmlformats.org/officeDocument/2006/relationships/hyperlink" Target="https://www.amazon.com/dp/B0D2HF6L3G?psc=1" TargetMode="External"/><Relationship Id="rId295" Type="http://schemas.openxmlformats.org/officeDocument/2006/relationships/hyperlink" Target="https://www.amazon.com/Yioaga/b/ref=bl_sl_s_ap_web_115834660011?ie=UTF8&amp;node=115834660011&amp;field-lbr_brands_browse-bin=Yioaga" TargetMode="External"/><Relationship Id="rId294" Type="http://schemas.openxmlformats.org/officeDocument/2006/relationships/hyperlink" Target="https://www.amazon.com/dp/B0D2HF6L3G" TargetMode="External"/><Relationship Id="rId293" Type="http://schemas.openxmlformats.org/officeDocument/2006/relationships/hyperlink" Target="https://m.media-amazon.com/images/I/41PeUb2qCBL._AC_SR600,600_.jpg" TargetMode="External"/><Relationship Id="rId292" Type="http://schemas.openxmlformats.org/officeDocument/2006/relationships/hyperlink" Target="https://www.amazon.com/dp/B0D4PT8CF2?psc=1" TargetMode="External"/><Relationship Id="rId291" Type="http://schemas.openxmlformats.org/officeDocument/2006/relationships/hyperlink" Target="https://www.amazon.com/dp/B0D4PT8CF2" TargetMode="External"/><Relationship Id="rId290" Type="http://schemas.openxmlformats.org/officeDocument/2006/relationships/hyperlink" Target="https://m.media-amazon.com/images/I/21sBNhcOPWL._AC_SR600,600_.jpg" TargetMode="External"/><Relationship Id="rId29" Type="http://schemas.openxmlformats.org/officeDocument/2006/relationships/hyperlink" Target="https://www.amazon.com/dp/B099K2ZM68" TargetMode="External"/><Relationship Id="rId289" Type="http://schemas.openxmlformats.org/officeDocument/2006/relationships/hyperlink" Target="https://www.amazon.com/dp/B0CZ6MW2PN?psc=1" TargetMode="External"/><Relationship Id="rId288" Type="http://schemas.openxmlformats.org/officeDocument/2006/relationships/hyperlink" Target="https://www.amazon.com/dp/B0CZ6MW2PN" TargetMode="External"/><Relationship Id="rId287" Type="http://schemas.openxmlformats.org/officeDocument/2006/relationships/hyperlink" Target="https://m.media-amazon.com/images/I/31wxan-op2L._AC_SR600,600_.jpg" TargetMode="External"/><Relationship Id="rId286" Type="http://schemas.openxmlformats.org/officeDocument/2006/relationships/hyperlink" Target="https://www.amazon.com/dp/B0D22L5DXN?psc=1" TargetMode="External"/><Relationship Id="rId285" Type="http://schemas.openxmlformats.org/officeDocument/2006/relationships/hyperlink" Target="https://www.amazon.com/dp/B0D22L5DXN" TargetMode="External"/><Relationship Id="rId284" Type="http://schemas.openxmlformats.org/officeDocument/2006/relationships/hyperlink" Target="https://www.amazon.com/gp/help/seller/at-a-glance.html/ref=dp_merchant_link?seller=A2XQ1SBCAIOTCN" TargetMode="External"/><Relationship Id="rId283" Type="http://schemas.openxmlformats.org/officeDocument/2006/relationships/hyperlink" Target="https://images-na.ssl-images-amazon.com/images/I/71xrR6lxzlL._AC_US600_.jpg" TargetMode="External"/><Relationship Id="rId282" Type="http://schemas.openxmlformats.org/officeDocument/2006/relationships/hyperlink" Target="https://www.amazon.com/dp/B0D7P3M9PH?psc=1" TargetMode="External"/><Relationship Id="rId281" Type="http://schemas.openxmlformats.org/officeDocument/2006/relationships/hyperlink" Target="https://www.amazon.com/stores/KIRUNDO/page/FF9388C4-7759-469C-8268-127F21B498D1?ref_=ast_bln&amp;store_ref=bl_ast_dp_brandLogo_sto" TargetMode="External"/><Relationship Id="rId280" Type="http://schemas.openxmlformats.org/officeDocument/2006/relationships/hyperlink" Target="https://www.amazon.com/dp/B0D7P3M9PH" TargetMode="External"/><Relationship Id="rId28" Type="http://schemas.openxmlformats.org/officeDocument/2006/relationships/hyperlink" Target="https://images-na.ssl-images-amazon.com/images/I/616ZjG4+MoL._AC_US600_.jpg" TargetMode="External"/><Relationship Id="rId279" Type="http://schemas.openxmlformats.org/officeDocument/2006/relationships/hyperlink" Target="https://images-na.ssl-images-amazon.com/images/I/61OkSF8XhEL._AC_US600_.jpg" TargetMode="External"/><Relationship Id="rId278" Type="http://schemas.openxmlformats.org/officeDocument/2006/relationships/hyperlink" Target="https://www.amazon.com/dp/B0CBBJ2V9L?psc=1" TargetMode="External"/><Relationship Id="rId277" Type="http://schemas.openxmlformats.org/officeDocument/2006/relationships/hyperlink" Target="https://www.amazon.com/dp/B0CBBJ2V9L" TargetMode="External"/><Relationship Id="rId276" Type="http://schemas.openxmlformats.org/officeDocument/2006/relationships/hyperlink" Target="https://www.amazon.com/gp/help/seller/at-a-glance.html/ref=dp_merchant_link?seller=A28JI03MWIS017" TargetMode="External"/><Relationship Id="rId275" Type="http://schemas.openxmlformats.org/officeDocument/2006/relationships/hyperlink" Target="https://images-na.ssl-images-amazon.com/images/I/51UiPN+XT6L._AC_US600_.jpg" TargetMode="External"/><Relationship Id="rId274" Type="http://schemas.openxmlformats.org/officeDocument/2006/relationships/hyperlink" Target="https://www.amazon.com/dp/B0CRHKCHG6?psc=1" TargetMode="External"/><Relationship Id="rId273" Type="http://schemas.openxmlformats.org/officeDocument/2006/relationships/hyperlink" Target="https://www.amazon.com/stores/AnotherChill/page/E78F145C-4FC2-4296-B76A-89957B45A726?ref_=ast_bln&amp;store_ref=bl_ast_dp_brandLogo_sto" TargetMode="External"/><Relationship Id="rId272" Type="http://schemas.openxmlformats.org/officeDocument/2006/relationships/hyperlink" Target="https://www.amazon.com/dp/B0CRHKCHG6" TargetMode="External"/><Relationship Id="rId271" Type="http://schemas.openxmlformats.org/officeDocument/2006/relationships/hyperlink" Target="https://www.amazon.com/gp/help/seller/at-a-glance.html/ref=dp_merchant_link?seller=A3PHKV74SGJ688" TargetMode="External"/><Relationship Id="rId270" Type="http://schemas.openxmlformats.org/officeDocument/2006/relationships/hyperlink" Target="https://m.media-amazon.com/images/I/31YSM2jzecL._AC_SR600,600_.jpg" TargetMode="External"/><Relationship Id="rId27" Type="http://schemas.openxmlformats.org/officeDocument/2006/relationships/hyperlink" Target="https://www.amazon.com/dp/B099JZBT9M?psc=1" TargetMode="External"/><Relationship Id="rId269" Type="http://schemas.openxmlformats.org/officeDocument/2006/relationships/hyperlink" Target="https://www.amazon.com/dp/B0CGWRZ8TK?psc=1" TargetMode="External"/><Relationship Id="rId268" Type="http://schemas.openxmlformats.org/officeDocument/2006/relationships/hyperlink" Target="https://www.amazon.com/dp/B0CGWRZ8TK" TargetMode="External"/><Relationship Id="rId267" Type="http://schemas.openxmlformats.org/officeDocument/2006/relationships/hyperlink" Target="https://www.amazon.com/b?node=1250424011" TargetMode="External"/><Relationship Id="rId266" Type="http://schemas.openxmlformats.org/officeDocument/2006/relationships/hyperlink" Target="https://m.media-amazon.com/images/I/31ruRuwzxaL._AC_SR600,600_.jpg" TargetMode="External"/><Relationship Id="rId265" Type="http://schemas.openxmlformats.org/officeDocument/2006/relationships/hyperlink" Target="https://www.amazon.com/dp/B0CN6KNZ9M?psc=1" TargetMode="External"/><Relationship Id="rId264" Type="http://schemas.openxmlformats.org/officeDocument/2006/relationships/hyperlink" Target="https://www.amazon.com/dp/B0CN6KNZ9M" TargetMode="External"/><Relationship Id="rId263" Type="http://schemas.openxmlformats.org/officeDocument/2006/relationships/hyperlink" Target="https://www.amazon.com/gp/help/seller/at-a-glance.html/ref=dp_merchant_link?seller=A25SC79F2I4QED" TargetMode="External"/><Relationship Id="rId262" Type="http://schemas.openxmlformats.org/officeDocument/2006/relationships/hyperlink" Target="https://images-na.ssl-images-amazon.com/images/I/41odGvPAhQL._AC_US600_.jpg" TargetMode="External"/><Relationship Id="rId261" Type="http://schemas.openxmlformats.org/officeDocument/2006/relationships/hyperlink" Target="https://www.amazon.com/dp/B0D8VL677Q?psc=1" TargetMode="External"/><Relationship Id="rId260" Type="http://schemas.openxmlformats.org/officeDocument/2006/relationships/hyperlink" Target="https://www.amazon.com/stores/Aomice/page/086021D0-7C1B-4316-9436-EDC15BD7940D?ref_=ast_bln&amp;store_ref=bl_ast_dp_brandLogo_sto" TargetMode="External"/><Relationship Id="rId26" Type="http://schemas.openxmlformats.org/officeDocument/2006/relationships/hyperlink" Target="https://www.amazon.com/stores/Aloodor/page/82CDBE47-776A-4D16-B59E-0DBD6E2BE719?ref_=ast_bln&amp;store_ref=bl_ast_dp_brandLogo_sto" TargetMode="External"/><Relationship Id="rId259" Type="http://schemas.openxmlformats.org/officeDocument/2006/relationships/hyperlink" Target="https://www.amazon.com/dp/B0D8VL677Q" TargetMode="External"/><Relationship Id="rId258" Type="http://schemas.openxmlformats.org/officeDocument/2006/relationships/hyperlink" Target="https://www.amazon.com/gp/help/seller/at-a-glance.html/ref=dp_merchant_link?seller=A33ADOTJ71RZ2D" TargetMode="External"/><Relationship Id="rId257" Type="http://schemas.openxmlformats.org/officeDocument/2006/relationships/hyperlink" Target="https://m.media-amazon.com/images/I/31Bsn7qu6jL._AC_SR600,600_.jpg" TargetMode="External"/><Relationship Id="rId256" Type="http://schemas.openxmlformats.org/officeDocument/2006/relationships/hyperlink" Target="https://www.amazon.com/dp/B0BGFVH4Z5?psc=1" TargetMode="External"/><Relationship Id="rId255" Type="http://schemas.openxmlformats.org/officeDocument/2006/relationships/hyperlink" Target="https://www.amazon.com/dp/B0BGFVH4Z5" TargetMode="External"/><Relationship Id="rId254" Type="http://schemas.openxmlformats.org/officeDocument/2006/relationships/hyperlink" Target="https://www.amazon.com/dp/B0D5R3W2HK" TargetMode="External"/><Relationship Id="rId253" Type="http://schemas.openxmlformats.org/officeDocument/2006/relationships/hyperlink" Target="https://images-na.ssl-images-amazon.com/images/I/51di5ZROhxL._AC_US600_.jpg" TargetMode="External"/><Relationship Id="rId252" Type="http://schemas.openxmlformats.org/officeDocument/2006/relationships/hyperlink" Target="https://www.amazon.com/dp/B0D5R2Q1P4?psc=1" TargetMode="External"/><Relationship Id="rId251" Type="http://schemas.openxmlformats.org/officeDocument/2006/relationships/hyperlink" Target="https://www.amazon.com/dp/B0D5R2Q1P4" TargetMode="External"/><Relationship Id="rId250" Type="http://schemas.openxmlformats.org/officeDocument/2006/relationships/hyperlink" Target="https://www.amazon.com/gp/help/seller/at-a-glance.html/ref=dp_merchant_link?seller=A2S4LMK88KEJRK" TargetMode="External"/><Relationship Id="rId25" Type="http://schemas.openxmlformats.org/officeDocument/2006/relationships/hyperlink" Target="https://www.amazon.com/dp/B099JZBT9M" TargetMode="External"/><Relationship Id="rId249" Type="http://schemas.openxmlformats.org/officeDocument/2006/relationships/hyperlink" Target="https://www.amazon.com/dp/B0CDKSLZGQ" TargetMode="External"/><Relationship Id="rId248" Type="http://schemas.openxmlformats.org/officeDocument/2006/relationships/hyperlink" Target="https://m.media-amazon.com/images/I/31cPhYLZ7vL._AC_SR600,600_.jpg" TargetMode="External"/><Relationship Id="rId247" Type="http://schemas.openxmlformats.org/officeDocument/2006/relationships/hyperlink" Target="https://www.amazon.com/dp/B0CDKSQXG9?psc=1" TargetMode="External"/><Relationship Id="rId246" Type="http://schemas.openxmlformats.org/officeDocument/2006/relationships/hyperlink" Target="https://www.amazon.com/stores/mascomoda/page/B01262B6-B2C8-4563-B3EC-AF6864758462?ref_=ast_bln&amp;store_ref=bl_ast_dp_brandLogo_sto" TargetMode="External"/><Relationship Id="rId245" Type="http://schemas.openxmlformats.org/officeDocument/2006/relationships/hyperlink" Target="https://www.amazon.com/dp/B0CDKSQXG9" TargetMode="External"/><Relationship Id="rId244" Type="http://schemas.openxmlformats.org/officeDocument/2006/relationships/hyperlink" Target="https://www.amazon.com/gp/help/seller/at-a-glance.html/ref=dp_merchant_link?seller=A6O082CHH670Y" TargetMode="External"/><Relationship Id="rId243" Type="http://schemas.openxmlformats.org/officeDocument/2006/relationships/hyperlink" Target="https://www.amazon.com/dp/B0D9VMFT15" TargetMode="External"/><Relationship Id="rId242" Type="http://schemas.openxmlformats.org/officeDocument/2006/relationships/hyperlink" Target="https://images-na.ssl-images-amazon.com/images/I/61DNf-uIFjL._AC_US600_.jpg" TargetMode="External"/><Relationship Id="rId241" Type="http://schemas.openxmlformats.org/officeDocument/2006/relationships/hyperlink" Target="https://www.amazon.com/dp/B0D9VMHLJQ?psc=1" TargetMode="External"/><Relationship Id="rId240" Type="http://schemas.openxmlformats.org/officeDocument/2006/relationships/hyperlink" Target="https://www.amazon.com/stores/SeeLuNa/page/1AFC5BCE-0F8A-4138-99B3-E9C75EBB669D?ref_=ast_bln&amp;store_ref=bl_ast_dp_brandLogo_sto" TargetMode="External"/><Relationship Id="rId24" Type="http://schemas.openxmlformats.org/officeDocument/2006/relationships/hyperlink" Target="https://www.amazon.com/dp/B0CYY49D6Z" TargetMode="External"/><Relationship Id="rId239" Type="http://schemas.openxmlformats.org/officeDocument/2006/relationships/hyperlink" Target="https://www.amazon.com/dp/B0D9VMHLJQ" TargetMode="External"/><Relationship Id="rId238" Type="http://schemas.openxmlformats.org/officeDocument/2006/relationships/hyperlink" Target="https://www.amazon.com/gp/help/seller/at-a-glance.html/ref=dp_merchant_link?seller=A1NQPPQ6BJ336V" TargetMode="External"/><Relationship Id="rId237" Type="http://schemas.openxmlformats.org/officeDocument/2006/relationships/hyperlink" Target="https://www.amazon.com/dp/B0BG5LBJHK" TargetMode="External"/><Relationship Id="rId236" Type="http://schemas.openxmlformats.org/officeDocument/2006/relationships/hyperlink" Target="https://images-na.ssl-images-amazon.com/images/I/71Go+uRXUcL._AC_US600_.jpg" TargetMode="External"/><Relationship Id="rId235" Type="http://schemas.openxmlformats.org/officeDocument/2006/relationships/hyperlink" Target="https://www.amazon.com/dp/B07XJ24QSM?psc=1" TargetMode="External"/><Relationship Id="rId234" Type="http://schemas.openxmlformats.org/officeDocument/2006/relationships/hyperlink" Target="https://www.amazon.com/EOSIEDUR/b/ref=bl_sl_s_ap_web_21154592011?ie=UTF8&amp;node=21154592011&amp;field-lbr_brands_browse-bin=EOSIEDUR" TargetMode="External"/><Relationship Id="rId233" Type="http://schemas.openxmlformats.org/officeDocument/2006/relationships/hyperlink" Target="https://www.amazon.com/dp/B07XJ24QSM" TargetMode="External"/><Relationship Id="rId232" Type="http://schemas.openxmlformats.org/officeDocument/2006/relationships/hyperlink" Target="https://www.amazon.com/dp/B0D3XCK633" TargetMode="External"/><Relationship Id="rId231" Type="http://schemas.openxmlformats.org/officeDocument/2006/relationships/hyperlink" Target="https://m.media-amazon.com/images/I/31lC-NLfF3L._AC_SR600,600_.jpg" TargetMode="External"/><Relationship Id="rId230" Type="http://schemas.openxmlformats.org/officeDocument/2006/relationships/hyperlink" Target="https://www.amazon.com/dp/B0D3WLMSYR?psc=1" TargetMode="External"/><Relationship Id="rId23" Type="http://schemas.openxmlformats.org/officeDocument/2006/relationships/hyperlink" Target="https://images-na.ssl-images-amazon.com/images/I/51cw8FzoFDL._AC_US600_.jpg" TargetMode="External"/><Relationship Id="rId229" Type="http://schemas.openxmlformats.org/officeDocument/2006/relationships/hyperlink" Target="https://www.amazon.com/dp/B0D3WLMSYR" TargetMode="External"/><Relationship Id="rId228" Type="http://schemas.openxmlformats.org/officeDocument/2006/relationships/hyperlink" Target="https://www.amazon.com/dp/B08NX52TQS" TargetMode="External"/><Relationship Id="rId227" Type="http://schemas.openxmlformats.org/officeDocument/2006/relationships/hyperlink" Target="https://m.media-amazon.com/images/I/31-OTMWFueL._AC_SR600,600_.jpg" TargetMode="External"/><Relationship Id="rId226" Type="http://schemas.openxmlformats.org/officeDocument/2006/relationships/hyperlink" Target="https://www.amazon.com/dp/B08NPKK24X?psc=1" TargetMode="External"/><Relationship Id="rId225" Type="http://schemas.openxmlformats.org/officeDocument/2006/relationships/hyperlink" Target="https://www.amazon.com/dp/B08NPKK24X" TargetMode="External"/><Relationship Id="rId224" Type="http://schemas.openxmlformats.org/officeDocument/2006/relationships/hyperlink" Target="https://www.amazon.com/gp/help/seller/at-a-glance.html/ref=dp_merchant_link?seller=A3452MZW8LXF6S" TargetMode="External"/><Relationship Id="rId223" Type="http://schemas.openxmlformats.org/officeDocument/2006/relationships/hyperlink" Target="https://www.amazon.com/dp/B0DGY44QFF" TargetMode="External"/><Relationship Id="rId222" Type="http://schemas.openxmlformats.org/officeDocument/2006/relationships/hyperlink" Target="https://m.media-amazon.com/images/I/31dJkdnVUvL._AC_SR600,600_.jpg" TargetMode="External"/><Relationship Id="rId221" Type="http://schemas.openxmlformats.org/officeDocument/2006/relationships/hyperlink" Target="https://www.amazon.com/dp/B0DCN54RP8?psc=1" TargetMode="External"/><Relationship Id="rId220" Type="http://schemas.openxmlformats.org/officeDocument/2006/relationships/hyperlink" Target="https://www.amazon.com/stores/OFEEFAN/page/44FF0B91-99D1-40BD-ABE7-0AE07D0E5B48?ref_=ast_bln&amp;store_ref=bl_ast_dp_brandLogo_sto" TargetMode="External"/><Relationship Id="rId22" Type="http://schemas.openxmlformats.org/officeDocument/2006/relationships/hyperlink" Target="https://www.amazon.com/dp/B0CBDH3JYF?psc=1" TargetMode="External"/><Relationship Id="rId219" Type="http://schemas.openxmlformats.org/officeDocument/2006/relationships/hyperlink" Target="https://www.amazon.com/dp/B0DCN54RP8" TargetMode="External"/><Relationship Id="rId218" Type="http://schemas.openxmlformats.org/officeDocument/2006/relationships/hyperlink" Target="https://www.amazon.com/dp/B0D7P521YL" TargetMode="External"/><Relationship Id="rId217" Type="http://schemas.openxmlformats.org/officeDocument/2006/relationships/hyperlink" Target="https://m.media-amazon.com/images/I/317enVKhnLL._AC_SR600,600_.jpg" TargetMode="External"/><Relationship Id="rId216" Type="http://schemas.openxmlformats.org/officeDocument/2006/relationships/hyperlink" Target="https://www.amazon.com/dp/B0D1MTJYFR?psc=1" TargetMode="External"/><Relationship Id="rId215" Type="http://schemas.openxmlformats.org/officeDocument/2006/relationships/hyperlink" Target="https://www.amazon.com/dp/B0D1MTJYFR" TargetMode="External"/><Relationship Id="rId214" Type="http://schemas.openxmlformats.org/officeDocument/2006/relationships/hyperlink" Target="https://www.amazon.com/dp/B0D669HNLK" TargetMode="External"/><Relationship Id="rId213" Type="http://schemas.openxmlformats.org/officeDocument/2006/relationships/hyperlink" Target="https://m.media-amazon.com/images/I/31kSqJm3nRL._AC_SR600,600_.jpg" TargetMode="External"/><Relationship Id="rId212" Type="http://schemas.openxmlformats.org/officeDocument/2006/relationships/hyperlink" Target="https://www.amazon.com/dp/B0D669YP7Z?psc=1" TargetMode="External"/><Relationship Id="rId211" Type="http://schemas.openxmlformats.org/officeDocument/2006/relationships/hyperlink" Target="https://www.amazon.com/dp/B0D669YP7Z" TargetMode="External"/><Relationship Id="rId210" Type="http://schemas.openxmlformats.org/officeDocument/2006/relationships/hyperlink" Target="https://www.amazon.com/dp/B0D6G5NLRZ" TargetMode="External"/><Relationship Id="rId21" Type="http://schemas.openxmlformats.org/officeDocument/2006/relationships/hyperlink" Target="https://www.amazon.com/dp/B0CBDH3JYF" TargetMode="External"/><Relationship Id="rId209" Type="http://schemas.openxmlformats.org/officeDocument/2006/relationships/hyperlink" Target="https://images-na.ssl-images-amazon.com/images/I/41IY0Q2GLuL._AC_US600_.jpg" TargetMode="External"/><Relationship Id="rId208" Type="http://schemas.openxmlformats.org/officeDocument/2006/relationships/hyperlink" Target="https://www.amazon.com/dp/B0D6G8MPKD?psc=1" TargetMode="External"/><Relationship Id="rId207" Type="http://schemas.openxmlformats.org/officeDocument/2006/relationships/hyperlink" Target="https://www.amazon.com/dp/B0D6G8MPKD" TargetMode="External"/><Relationship Id="rId206" Type="http://schemas.openxmlformats.org/officeDocument/2006/relationships/hyperlink" Target="https://www.amazon.com/gp/help/seller/at-a-glance.html/ref=dp_merchant_link?seller=A3E1SQM5WUB3RR" TargetMode="External"/><Relationship Id="rId205" Type="http://schemas.openxmlformats.org/officeDocument/2006/relationships/hyperlink" Target="https://www.amazon.com/dp/B0DG1R11YJ" TargetMode="External"/><Relationship Id="rId204" Type="http://schemas.openxmlformats.org/officeDocument/2006/relationships/hyperlink" Target="https://m.media-amazon.com/images/I/31P0jeAeQML._AC_SR600,600_.jpg" TargetMode="External"/><Relationship Id="rId203" Type="http://schemas.openxmlformats.org/officeDocument/2006/relationships/hyperlink" Target="https://www.amazon.com/dp/B0DG1QC2BH?psc=1" TargetMode="External"/><Relationship Id="rId202" Type="http://schemas.openxmlformats.org/officeDocument/2006/relationships/hyperlink" Target="https://www.amazon.com/stores/SANTINY/page/C8E491B5-0FA2-4D0C-979E-F3B657EE0FA5?ref_=ast_bln&amp;store_ref=bl_ast_dp_brandLogo_sto" TargetMode="External"/><Relationship Id="rId201" Type="http://schemas.openxmlformats.org/officeDocument/2006/relationships/hyperlink" Target="https://www.amazon.com/dp/B0DG1QC2BH" TargetMode="External"/><Relationship Id="rId200" Type="http://schemas.openxmlformats.org/officeDocument/2006/relationships/hyperlink" Target="https://www.amazon.com/dp/B0D78W5GZV" TargetMode="External"/><Relationship Id="rId20" Type="http://schemas.openxmlformats.org/officeDocument/2006/relationships/hyperlink" Target="https://www.amazon.com/gp/help/seller/at-a-glance.html/ref=dp_merchant_link?seller=AY5PETPKQBLHL" TargetMode="External"/><Relationship Id="rId2" Type="http://schemas.openxmlformats.org/officeDocument/2006/relationships/hyperlink" Target="https://www.amazon.com/stores/AUTOMET/page/FCCD3AC0-B62A-45A7-BF7C-452CD65FDF26?ref_=ast_bln&amp;store_ref=bl_ast_dp_brandLogo_sto" TargetMode="External"/><Relationship Id="rId199" Type="http://schemas.openxmlformats.org/officeDocument/2006/relationships/hyperlink" Target="https://m.media-amazon.com/images/I/31ztGY0bBxL._AC_SR600,600_.jpg" TargetMode="External"/><Relationship Id="rId198" Type="http://schemas.openxmlformats.org/officeDocument/2006/relationships/hyperlink" Target="https://www.amazon.com/dp/B0D78P8Z3V?psc=1" TargetMode="External"/><Relationship Id="rId197" Type="http://schemas.openxmlformats.org/officeDocument/2006/relationships/hyperlink" Target="https://www.amazon.com/dp/B0D78P8Z3V" TargetMode="External"/><Relationship Id="rId196" Type="http://schemas.openxmlformats.org/officeDocument/2006/relationships/hyperlink" Target="https://www.amazon.com/dp/B0CRKHQXZY" TargetMode="External"/><Relationship Id="rId195" Type="http://schemas.openxmlformats.org/officeDocument/2006/relationships/hyperlink" Target="https://m.media-amazon.com/images/I/21vtAaE93CL._AC_SR600,600_.jpg" TargetMode="External"/><Relationship Id="rId194" Type="http://schemas.openxmlformats.org/officeDocument/2006/relationships/hyperlink" Target="https://www.amazon.com/dp/B0CRKNFNKS?psc=1" TargetMode="External"/><Relationship Id="rId193" Type="http://schemas.openxmlformats.org/officeDocument/2006/relationships/hyperlink" Target="https://www.amazon.com/dp/B0CRKNFNKS" TargetMode="External"/><Relationship Id="rId192" Type="http://schemas.openxmlformats.org/officeDocument/2006/relationships/hyperlink" Target="https://www.amazon.com/dp/B0D5HJXWPD" TargetMode="External"/><Relationship Id="rId191" Type="http://schemas.openxmlformats.org/officeDocument/2006/relationships/hyperlink" Target="https://m.media-amazon.com/images/I/31UyDWxjYrL._AC_SR600,600_.jpg" TargetMode="External"/><Relationship Id="rId190" Type="http://schemas.openxmlformats.org/officeDocument/2006/relationships/hyperlink" Target="https://www.amazon.com/dp/B0D5HKDYY6?psc=1" TargetMode="External"/><Relationship Id="rId19" Type="http://schemas.openxmlformats.org/officeDocument/2006/relationships/hyperlink" Target="https://www.amazon.com/dp/B0D667XPLQ" TargetMode="External"/><Relationship Id="rId189" Type="http://schemas.openxmlformats.org/officeDocument/2006/relationships/hyperlink" Target="https://www.amazon.com/dp/B0D5HKDYY6" TargetMode="External"/><Relationship Id="rId188" Type="http://schemas.openxmlformats.org/officeDocument/2006/relationships/hyperlink" Target="https://www.amazon.com/gp/help/seller/at-a-glance.html/ref=dp_merchant_link?seller=ANOUR7ZCMRO5" TargetMode="External"/><Relationship Id="rId187" Type="http://schemas.openxmlformats.org/officeDocument/2006/relationships/hyperlink" Target="https://www.amazon.com/dp/B0DCFXVQD2" TargetMode="External"/><Relationship Id="rId186" Type="http://schemas.openxmlformats.org/officeDocument/2006/relationships/hyperlink" Target="https://m.media-amazon.com/images/I/311nZZxTXGL._AC_SR600,600_.jpg" TargetMode="External"/><Relationship Id="rId185" Type="http://schemas.openxmlformats.org/officeDocument/2006/relationships/hyperlink" Target="https://www.amazon.com/dp/B0DCFYZ8MH?psc=1" TargetMode="External"/><Relationship Id="rId184" Type="http://schemas.openxmlformats.org/officeDocument/2006/relationships/hyperlink" Target="https://www.amazon.com/stores/WIHOLL/page/E91F5574-606A-4B44-8C58-AE466877417A?ref_=ast_bln&amp;store_ref=bl_ast_dp_brandLogo_sto" TargetMode="External"/><Relationship Id="rId183" Type="http://schemas.openxmlformats.org/officeDocument/2006/relationships/hyperlink" Target="https://www.amazon.com/dp/B0DCFYZ8MH" TargetMode="External"/><Relationship Id="rId182" Type="http://schemas.openxmlformats.org/officeDocument/2006/relationships/hyperlink" Target="https://www.amazon.com/gp/help/seller/at-a-glance.html/ref=dp_merchant_link?seller=A24Y5PP0V9OJ80" TargetMode="External"/><Relationship Id="rId181" Type="http://schemas.openxmlformats.org/officeDocument/2006/relationships/hyperlink" Target="https://www.amazon.com/dp/B0CKZ815S1" TargetMode="External"/><Relationship Id="rId180" Type="http://schemas.openxmlformats.org/officeDocument/2006/relationships/hyperlink" Target="https://m.media-amazon.com/images/I/31J-lYaPRhL._AC_SR600,600_.jpg" TargetMode="External"/><Relationship Id="rId18" Type="http://schemas.openxmlformats.org/officeDocument/2006/relationships/hyperlink" Target="https://m.media-amazon.com/images/I/31h1IDY63zL._AC_SR600,600_.jpg" TargetMode="External"/><Relationship Id="rId179" Type="http://schemas.openxmlformats.org/officeDocument/2006/relationships/hyperlink" Target="https://www.amazon.com/dp/B0B6JB5H4D?psc=1" TargetMode="External"/><Relationship Id="rId178" Type="http://schemas.openxmlformats.org/officeDocument/2006/relationships/hyperlink" Target="https://www.amazon.com/stores/PINSV/page/82228BCF-2BCE-43CE-9E04-3DDCAF5F5AA3?ref_=ast_bln&amp;store_ref=bl_ast_dp_brandLogo_sto" TargetMode="External"/><Relationship Id="rId177" Type="http://schemas.openxmlformats.org/officeDocument/2006/relationships/hyperlink" Target="https://www.amazon.com/dp/B0B6JB5H4D" TargetMode="External"/><Relationship Id="rId176" Type="http://schemas.openxmlformats.org/officeDocument/2006/relationships/hyperlink" Target="https://www.amazon.com/dp/B0DL4JVJ84" TargetMode="External"/><Relationship Id="rId175" Type="http://schemas.openxmlformats.org/officeDocument/2006/relationships/hyperlink" Target="https://m.media-amazon.com/images/I/31DBN45XVYL._AC_SR600,600_.jpg" TargetMode="External"/><Relationship Id="rId174" Type="http://schemas.openxmlformats.org/officeDocument/2006/relationships/hyperlink" Target="https://www.amazon.com/dp/B0DFM3D32X?psc=1" TargetMode="External"/><Relationship Id="rId173" Type="http://schemas.openxmlformats.org/officeDocument/2006/relationships/hyperlink" Target="https://www.amazon.com/dp/B0DFM3D32X" TargetMode="External"/><Relationship Id="rId172" Type="http://schemas.openxmlformats.org/officeDocument/2006/relationships/hyperlink" Target="https://www.amazon.com/dp/B0CHFLVYLJ" TargetMode="External"/><Relationship Id="rId171" Type="http://schemas.openxmlformats.org/officeDocument/2006/relationships/hyperlink" Target="https://m.media-amazon.com/images/I/31n2Kk0yBdL._AC_SR600,600_.jpg" TargetMode="External"/><Relationship Id="rId170" Type="http://schemas.openxmlformats.org/officeDocument/2006/relationships/hyperlink" Target="https://www.amazon.com/dp/B0CHFN4JB4?psc=1" TargetMode="External"/><Relationship Id="rId17" Type="http://schemas.openxmlformats.org/officeDocument/2006/relationships/hyperlink" Target="https://www.amazon.com/dp/B0D663V1K6?psc=1" TargetMode="External"/><Relationship Id="rId169" Type="http://schemas.openxmlformats.org/officeDocument/2006/relationships/hyperlink" Target="https://www.amazon.com/dp/B0CHFN4JB4" TargetMode="External"/><Relationship Id="rId168" Type="http://schemas.openxmlformats.org/officeDocument/2006/relationships/hyperlink" Target="https://www.amazon.com/gp/help/seller/at-a-glance.html/ref=dp_merchant_link?seller=A21VT5TXUQ068P" TargetMode="External"/><Relationship Id="rId167" Type="http://schemas.openxmlformats.org/officeDocument/2006/relationships/hyperlink" Target="https://www.amazon.com/dp/B0CJ2WF8V8" TargetMode="External"/><Relationship Id="rId166" Type="http://schemas.openxmlformats.org/officeDocument/2006/relationships/hyperlink" Target="https://images-na.ssl-images-amazon.com/images/I/51GKIgM3XaL._AC_US600_.jpg" TargetMode="External"/><Relationship Id="rId165" Type="http://schemas.openxmlformats.org/officeDocument/2006/relationships/hyperlink" Target="https://www.amazon.com/dp/B0D2ZNKJJ7?psc=1" TargetMode="External"/><Relationship Id="rId164" Type="http://schemas.openxmlformats.org/officeDocument/2006/relationships/hyperlink" Target="https://www.amazon.com/stores/Aleumdr/page/79470688-80B8-4863-82F6-18A200C81FC8?ref_=ast_bln&amp;store_ref=bl_ast_dp_brandLogo_sto" TargetMode="External"/><Relationship Id="rId163" Type="http://schemas.openxmlformats.org/officeDocument/2006/relationships/hyperlink" Target="https://www.amazon.com/dp/B0D2ZNKJJ7" TargetMode="External"/><Relationship Id="rId162" Type="http://schemas.openxmlformats.org/officeDocument/2006/relationships/hyperlink" Target="https://www.amazon.com/dp/B0D13WFGYN" TargetMode="External"/><Relationship Id="rId161" Type="http://schemas.openxmlformats.org/officeDocument/2006/relationships/hyperlink" Target="https://m.media-amazon.com/images/I/31zClYsW8IL._AC_SR600,600_.jpg" TargetMode="External"/><Relationship Id="rId160" Type="http://schemas.openxmlformats.org/officeDocument/2006/relationships/hyperlink" Target="https://www.amazon.com/dp/B0D14GBZGB?psc=1" TargetMode="External"/><Relationship Id="rId16" Type="http://schemas.openxmlformats.org/officeDocument/2006/relationships/hyperlink" Target="https://www.amazon.com/stores/Darong/page/F9B823FD-2420-444B-80E7-CFAE2ED1F141?ref_=ast_bln" TargetMode="External"/><Relationship Id="rId159" Type="http://schemas.openxmlformats.org/officeDocument/2006/relationships/hyperlink" Target="https://www.amazon.com/dp/B0D14GBZGB" TargetMode="External"/><Relationship Id="rId158" Type="http://schemas.openxmlformats.org/officeDocument/2006/relationships/hyperlink" Target="https://www.amazon.com/dp/B0DF2Y9RTT" TargetMode="External"/><Relationship Id="rId157" Type="http://schemas.openxmlformats.org/officeDocument/2006/relationships/hyperlink" Target="https://m.media-amazon.com/images/I/31CmhAFGd8L._AC_SR600,600_.jpg" TargetMode="External"/><Relationship Id="rId156" Type="http://schemas.openxmlformats.org/officeDocument/2006/relationships/hyperlink" Target="https://www.amazon.com/dp/B0D8Q1XHB9?psc=1" TargetMode="External"/><Relationship Id="rId155" Type="http://schemas.openxmlformats.org/officeDocument/2006/relationships/hyperlink" Target="https://www.amazon.com/dp/B0D8Q1XHB9" TargetMode="External"/><Relationship Id="rId154" Type="http://schemas.openxmlformats.org/officeDocument/2006/relationships/hyperlink" Target="https://www.amazon.com/gp/help/seller/at-a-glance.html/ref=dp_merchant_link?seller=ADQ75HXOS0E4Z" TargetMode="External"/><Relationship Id="rId153" Type="http://schemas.openxmlformats.org/officeDocument/2006/relationships/hyperlink" Target="https://www.amazon.com/dp/B0CMJ98Z9T" TargetMode="External"/><Relationship Id="rId152" Type="http://schemas.openxmlformats.org/officeDocument/2006/relationships/hyperlink" Target="https://m.media-amazon.com/images/I/41Mt-z9-CwL._AC_SR600,600_.jpg" TargetMode="External"/><Relationship Id="rId151" Type="http://schemas.openxmlformats.org/officeDocument/2006/relationships/hyperlink" Target="https://www.amazon.com/dp/B0CL9LWNRH?psc=1" TargetMode="External"/><Relationship Id="rId150" Type="http://schemas.openxmlformats.org/officeDocument/2006/relationships/hyperlink" Target="https://www.amazon.com/stores/Lillusory/page/81CBC909-44D5-427C-8E22-7D1E4971F917?ref_=ast_bln&amp;store_ref=bl_ast_dp_brandLogo_sto" TargetMode="External"/><Relationship Id="rId15" Type="http://schemas.openxmlformats.org/officeDocument/2006/relationships/hyperlink" Target="https://www.amazon.com/dp/B0D663V1K6" TargetMode="External"/><Relationship Id="rId149" Type="http://schemas.openxmlformats.org/officeDocument/2006/relationships/hyperlink" Target="https://www.amazon.com/dp/B0CL9LWNRH" TargetMode="External"/><Relationship Id="rId148" Type="http://schemas.openxmlformats.org/officeDocument/2006/relationships/hyperlink" Target="https://www.amazon.com/gp/help/seller/at-a-glance.html/ref=dp_merchant_link?seller=A154O6JL5L5T2Z" TargetMode="External"/><Relationship Id="rId147" Type="http://schemas.openxmlformats.org/officeDocument/2006/relationships/hyperlink" Target="https://www.amazon.com/dp/B0D6G882Y8" TargetMode="External"/><Relationship Id="rId146" Type="http://schemas.openxmlformats.org/officeDocument/2006/relationships/hyperlink" Target="https://m.media-amazon.com/images/I/31cpj2xXpyL._AC_SR600,600_.jpg" TargetMode="External"/><Relationship Id="rId145" Type="http://schemas.openxmlformats.org/officeDocument/2006/relationships/hyperlink" Target="https://www.amazon.com/dp/B0D6F82X14?psc=1" TargetMode="External"/><Relationship Id="rId144" Type="http://schemas.openxmlformats.org/officeDocument/2006/relationships/hyperlink" Target="https://www.amazon.com/stores/Pinspark/page/73638A0C-799E-4A9E-BD52-A76030463125?ref_=ast_bln&amp;store_ref=bl_ast_dp_brandLogo_sto" TargetMode="External"/><Relationship Id="rId143" Type="http://schemas.openxmlformats.org/officeDocument/2006/relationships/hyperlink" Target="https://www.amazon.com/dp/B0D6F82X14" TargetMode="External"/><Relationship Id="rId142" Type="http://schemas.openxmlformats.org/officeDocument/2006/relationships/hyperlink" Target="https://www.amazon.com/dp/B0D1CJDBYX" TargetMode="External"/><Relationship Id="rId141" Type="http://schemas.openxmlformats.org/officeDocument/2006/relationships/hyperlink" Target="https://m.media-amazon.com/images/I/31o1PYty9kL._AC_SR600,600_.jpg" TargetMode="External"/><Relationship Id="rId140" Type="http://schemas.openxmlformats.org/officeDocument/2006/relationships/hyperlink" Target="https://www.amazon.com/dp/B0D1CD2M2H?psc=1" TargetMode="External"/><Relationship Id="rId14" Type="http://schemas.openxmlformats.org/officeDocument/2006/relationships/hyperlink" Target="https://www.amazon.com/gp/help/seller/at-a-glance.html/ref=dp_merchant_link?seller=ADPI9LE50EUV" TargetMode="External"/><Relationship Id="rId139" Type="http://schemas.openxmlformats.org/officeDocument/2006/relationships/hyperlink" Target="https://www.amazon.com/dp/B0D1CD2M2H" TargetMode="External"/><Relationship Id="rId138" Type="http://schemas.openxmlformats.org/officeDocument/2006/relationships/hyperlink" Target="https://www.amazon.com/gp/help/seller/at-a-glance.html/ref=dp_merchant_link?seller=A27RIIISOZVONB" TargetMode="External"/><Relationship Id="rId137" Type="http://schemas.openxmlformats.org/officeDocument/2006/relationships/hyperlink" Target="https://www.amazon.com/dp/B0BB77SPL7" TargetMode="External"/><Relationship Id="rId136" Type="http://schemas.openxmlformats.org/officeDocument/2006/relationships/hyperlink" Target="https://m.media-amazon.com/images/I/318mvDeckbL._AC_SR600,600_.jpg" TargetMode="External"/><Relationship Id="rId135" Type="http://schemas.openxmlformats.org/officeDocument/2006/relationships/hyperlink" Target="https://www.amazon.com/dp/B0BB742JCV?psc=1" TargetMode="External"/><Relationship Id="rId134" Type="http://schemas.openxmlformats.org/officeDocument/2006/relationships/hyperlink" Target="https://www.amazon.com/stores/kaimimei/page/7250F737-A1DE-4AC2-8121-2DB26E8A321A?ref_=ast_bln&amp;store_ref=bl_ast_dp_brandLogo_sto" TargetMode="External"/><Relationship Id="rId133" Type="http://schemas.openxmlformats.org/officeDocument/2006/relationships/hyperlink" Target="https://www.amazon.com/dp/B0BB742JCV" TargetMode="External"/><Relationship Id="rId132" Type="http://schemas.openxmlformats.org/officeDocument/2006/relationships/hyperlink" Target="https://www.amazon.com/dp/B0CF44P52W" TargetMode="External"/><Relationship Id="rId131" Type="http://schemas.openxmlformats.org/officeDocument/2006/relationships/hyperlink" Target="https://images-na.ssl-images-amazon.com/images/I/61DE5Mf+S6L._AC_US600_.jpg" TargetMode="External"/><Relationship Id="rId130" Type="http://schemas.openxmlformats.org/officeDocument/2006/relationships/hyperlink" Target="https://www.amazon.com/dp/B0CF49VV45?psc=1" TargetMode="External"/><Relationship Id="rId13" Type="http://schemas.openxmlformats.org/officeDocument/2006/relationships/hyperlink" Target="https://www.amazon.com/dp/B0CM5QT2DG" TargetMode="External"/><Relationship Id="rId129" Type="http://schemas.openxmlformats.org/officeDocument/2006/relationships/hyperlink" Target="https://www.amazon.com/dp/B0CF49VV45" TargetMode="External"/><Relationship Id="rId128" Type="http://schemas.openxmlformats.org/officeDocument/2006/relationships/hyperlink" Target="https://www.amazon.com/dp/B09LYBRVM7" TargetMode="External"/><Relationship Id="rId127" Type="http://schemas.openxmlformats.org/officeDocument/2006/relationships/hyperlink" Target="https://m.media-amazon.com/images/I/31fbPFGZPdL._AC_SR600,600_.jpg" TargetMode="External"/><Relationship Id="rId126" Type="http://schemas.openxmlformats.org/officeDocument/2006/relationships/hyperlink" Target="https://www.amazon.com/dp/B0B3MKXWQ9?psc=1" TargetMode="External"/><Relationship Id="rId125" Type="http://schemas.openxmlformats.org/officeDocument/2006/relationships/hyperlink" Target="https://www.amazon.com/dp/B0B3MKXWQ9" TargetMode="External"/><Relationship Id="rId124" Type="http://schemas.openxmlformats.org/officeDocument/2006/relationships/hyperlink" Target="https://www.amazon.com/gp/help/seller/at-a-glance.html/ref=dp_merchant_link?seller=A3HAS8I9VV52PH" TargetMode="External"/><Relationship Id="rId123" Type="http://schemas.openxmlformats.org/officeDocument/2006/relationships/hyperlink" Target="https://www.amazon.com/dp/B0CZ7FKB3F" TargetMode="External"/><Relationship Id="rId122" Type="http://schemas.openxmlformats.org/officeDocument/2006/relationships/hyperlink" Target="https://m.media-amazon.com/images/I/31pwBDIiufL._AC_SR600,600_.jpg" TargetMode="External"/><Relationship Id="rId121" Type="http://schemas.openxmlformats.org/officeDocument/2006/relationships/hyperlink" Target="https://www.amazon.com/dp/B0CCS4VMLM?psc=1" TargetMode="External"/><Relationship Id="rId120" Type="http://schemas.openxmlformats.org/officeDocument/2006/relationships/hyperlink" Target="https://www.amazon.com/stores/Prinbara/page/4990E8E4-CCB8-4483-9069-64EB1231D791?ref_=ast_bln&amp;store_ref=bl_ast_dp_brandLogo_sto" TargetMode="External"/><Relationship Id="rId12" Type="http://schemas.openxmlformats.org/officeDocument/2006/relationships/hyperlink" Target="https://images-na.ssl-images-amazon.com/images/I/51RqYmL9tML._AC_US600_.jpg" TargetMode="External"/><Relationship Id="rId119" Type="http://schemas.openxmlformats.org/officeDocument/2006/relationships/hyperlink" Target="https://www.amazon.com/dp/B0CCS4VMLM" TargetMode="External"/><Relationship Id="rId118" Type="http://schemas.openxmlformats.org/officeDocument/2006/relationships/hyperlink" Target="https://www.amazon.com/dp/B0CYZS21GS" TargetMode="External"/><Relationship Id="rId117" Type="http://schemas.openxmlformats.org/officeDocument/2006/relationships/hyperlink" Target="https://images-na.ssl-images-amazon.com/images/I/61b9qutybgL._AC_US600_.jpg" TargetMode="External"/><Relationship Id="rId116" Type="http://schemas.openxmlformats.org/officeDocument/2006/relationships/hyperlink" Target="https://www.amazon.com/dp/B0CYZKDLZ6?psc=1" TargetMode="External"/><Relationship Id="rId115" Type="http://schemas.openxmlformats.org/officeDocument/2006/relationships/hyperlink" Target="https://www.amazon.com/dp/B0CYZKDLZ6" TargetMode="External"/><Relationship Id="rId114" Type="http://schemas.openxmlformats.org/officeDocument/2006/relationships/hyperlink" Target="https://www.amazon.com/gp/help/seller/at-a-glance.html/ref=dp_merchant_link?seller=AKVDYWFA30MQ8" TargetMode="External"/><Relationship Id="rId113" Type="http://schemas.openxmlformats.org/officeDocument/2006/relationships/hyperlink" Target="https://www.amazon.com/dp/B0DD7DKNTK" TargetMode="External"/><Relationship Id="rId112" Type="http://schemas.openxmlformats.org/officeDocument/2006/relationships/hyperlink" Target="https://m.media-amazon.com/images/I/31KYxT+7geL._AC_SR600,600_.jpg" TargetMode="External"/><Relationship Id="rId111" Type="http://schemas.openxmlformats.org/officeDocument/2006/relationships/hyperlink" Target="https://www.amazon.com/dp/B0D3BY33RW?psc=1" TargetMode="External"/><Relationship Id="rId110" Type="http://schemas.openxmlformats.org/officeDocument/2006/relationships/hyperlink" Target="https://www.amazon.com/stores/XIEERDUOFASHION/page/FCB7E2CA-00F5-49C8-9A47-C520DFF57546?ref_=ast_bln&amp;store_ref=bl_ast_dp_brandLogo_sto" TargetMode="External"/><Relationship Id="rId11" Type="http://schemas.openxmlformats.org/officeDocument/2006/relationships/hyperlink" Target="https://www.amazon.com/dp/B0C3QS2K65?psc=1" TargetMode="External"/><Relationship Id="rId109" Type="http://schemas.openxmlformats.org/officeDocument/2006/relationships/hyperlink" Target="https://www.amazon.com/dp/B0D3BY33RW" TargetMode="External"/><Relationship Id="rId108" Type="http://schemas.openxmlformats.org/officeDocument/2006/relationships/hyperlink" Target="https://www.amazon.com/dp/B0D8W6XN93" TargetMode="External"/><Relationship Id="rId107" Type="http://schemas.openxmlformats.org/officeDocument/2006/relationships/hyperlink" Target="https://m.media-amazon.com/images/I/31QA+au+dLL._AC_SR600,600_.jpg" TargetMode="External"/><Relationship Id="rId106" Type="http://schemas.openxmlformats.org/officeDocument/2006/relationships/hyperlink" Target="https://www.amazon.com/dp/B0816FWPZC?psc=1" TargetMode="External"/><Relationship Id="rId105" Type="http://schemas.openxmlformats.org/officeDocument/2006/relationships/hyperlink" Target="https://www.amazon.com/dp/B0816FWPZC" TargetMode="External"/><Relationship Id="rId104" Type="http://schemas.openxmlformats.org/officeDocument/2006/relationships/hyperlink" Target="https://www.amazon.com/dp/B0D22WBWLG" TargetMode="External"/><Relationship Id="rId103" Type="http://schemas.openxmlformats.org/officeDocument/2006/relationships/hyperlink" Target="https://m.media-amazon.com/images/I/31bAl13l5DL._AC_SR600,600_.jpg" TargetMode="External"/><Relationship Id="rId102" Type="http://schemas.openxmlformats.org/officeDocument/2006/relationships/hyperlink" Target="https://www.amazon.com/dp/B0C8JN6JQV?psc=1" TargetMode="External"/><Relationship Id="rId101" Type="http://schemas.openxmlformats.org/officeDocument/2006/relationships/hyperlink" Target="https://www.amazon.com/dp/B0C8JN6JQV" TargetMode="External"/><Relationship Id="rId100" Type="http://schemas.openxmlformats.org/officeDocument/2006/relationships/hyperlink" Target="https://www.amazon.com/gp/help/seller/at-a-glance.html/ref=dp_merchant_link?seller=A3S55BLY5JOGU1" TargetMode="External"/><Relationship Id="rId10" Type="http://schemas.openxmlformats.org/officeDocument/2006/relationships/hyperlink" Target="https://www.amazon.com/stores/ANRABESS/page/937C5045-E1CD-46BB-99F1-38FA5C0E3B27?ref_=ast_bln&amp;store_ref=bl_ast_dp_brandLogo_sto" TargetMode="External"/><Relationship Id="rId1" Type="http://schemas.openxmlformats.org/officeDocument/2006/relationships/hyperlink" Target="https://www.amazon.com/dp/B0CC983BY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F101"/>
  <sheetViews>
    <sheetView tabSelected="1" workbookViewId="0">
      <pane ySplit="1" topLeftCell="A2" activePane="bottomLeft" state="frozen"/>
      <selection/>
      <selection pane="bottomLeft" activeCell="C18" sqref="C18"/>
    </sheetView>
  </sheetViews>
  <sheetFormatPr defaultColWidth="9" defaultRowHeight="14.4"/>
  <cols>
    <col min="1" max="1" width="8" style="8" customWidth="1"/>
    <col min="2" max="4" width="14" style="8" customWidth="1"/>
    <col min="5" max="6" width="13" style="8" customWidth="1"/>
    <col min="7" max="7" width="35" style="8" customWidth="1"/>
    <col min="8" max="10" width="14" style="8" customWidth="1"/>
    <col min="11" max="12" width="20" style="8" customWidth="1"/>
    <col min="13" max="13" width="12" style="9" customWidth="1"/>
    <col min="14" max="14" width="16" style="9" customWidth="1"/>
    <col min="15" max="15" width="16" style="10" customWidth="1"/>
    <col min="16" max="16" width="25" style="8" customWidth="1"/>
    <col min="17" max="17" width="12" style="9" customWidth="1"/>
    <col min="18" max="18" width="13" style="9" customWidth="1"/>
    <col min="19" max="19" width="13" style="10" customWidth="1"/>
    <col min="20" max="20" width="15" style="9" customWidth="1"/>
    <col min="21" max="21" width="13" style="8" customWidth="1"/>
    <col min="22" max="22" width="13" style="9" customWidth="1"/>
    <col min="23" max="23" width="10" style="9" customWidth="1"/>
    <col min="24" max="24" width="10" style="11" customWidth="1"/>
    <col min="25" max="26" width="12" style="11" customWidth="1"/>
    <col min="27" max="28" width="10" style="9" customWidth="1"/>
    <col min="29" max="29" width="15" style="9" customWidth="1"/>
    <col min="30" max="30" width="10" style="12" customWidth="1"/>
    <col min="31" max="31" width="10" style="13" customWidth="1"/>
    <col min="32" max="32" width="10" style="11" customWidth="1"/>
    <col min="33" max="34" width="10" style="10" customWidth="1"/>
    <col min="35" max="35" width="18" style="8" customWidth="1"/>
    <col min="36" max="36" width="12" style="9" customWidth="1"/>
    <col min="37" max="37" width="10" style="8" customWidth="1"/>
    <col min="38" max="38" width="12" style="9" customWidth="1"/>
    <col min="39" max="39" width="10" style="9" customWidth="1"/>
    <col min="40" max="41" width="18" style="8" customWidth="1"/>
    <col min="42" max="42" width="13" style="8" customWidth="1"/>
    <col min="43" max="44" width="37" style="8" customWidth="1"/>
    <col min="45" max="45" width="16" style="8" customWidth="1"/>
    <col min="46" max="46" width="17" style="8" customWidth="1"/>
    <col min="47" max="47" width="18" style="8" customWidth="1"/>
    <col min="48" max="48" width="9" style="8" customWidth="1"/>
    <col min="49" max="49" width="10" style="8" customWidth="1"/>
    <col min="50" max="50" width="8" style="8" customWidth="1"/>
    <col min="51" max="52" width="10" style="8" customWidth="1"/>
    <col min="53" max="53" width="9" style="8" customWidth="1"/>
    <col min="54" max="54" width="24" style="8" customWidth="1"/>
    <col min="55" max="56" width="18" style="8" customWidth="1"/>
    <col min="57" max="58" width="30" style="8" customWidth="1"/>
  </cols>
  <sheetData>
    <row r="1" ht="27" customHeight="1" spans="1:58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6" t="s">
        <v>12</v>
      </c>
      <c r="N1" s="16" t="s">
        <v>13</v>
      </c>
      <c r="O1" s="17" t="s">
        <v>14</v>
      </c>
      <c r="P1" s="14" t="s">
        <v>15</v>
      </c>
      <c r="Q1" s="16" t="s">
        <v>16</v>
      </c>
      <c r="R1" s="16" t="s">
        <v>17</v>
      </c>
      <c r="S1" s="17" t="s">
        <v>18</v>
      </c>
      <c r="T1" s="16" t="s">
        <v>19</v>
      </c>
      <c r="U1" s="14" t="s">
        <v>20</v>
      </c>
      <c r="V1" s="16" t="s">
        <v>21</v>
      </c>
      <c r="W1" s="16" t="s">
        <v>22</v>
      </c>
      <c r="X1" s="21" t="s">
        <v>23</v>
      </c>
      <c r="Y1" s="21" t="s">
        <v>24</v>
      </c>
      <c r="Z1" s="14" t="s">
        <v>25</v>
      </c>
      <c r="AA1" s="16" t="s">
        <v>26</v>
      </c>
      <c r="AB1" s="16" t="s">
        <v>27</v>
      </c>
      <c r="AC1" s="16" t="s">
        <v>28</v>
      </c>
      <c r="AD1" s="26" t="s">
        <v>29</v>
      </c>
      <c r="AE1" s="27" t="s">
        <v>30</v>
      </c>
      <c r="AF1" s="21" t="s">
        <v>31</v>
      </c>
      <c r="AG1" s="17" t="s">
        <v>32</v>
      </c>
      <c r="AH1" s="14" t="s">
        <v>33</v>
      </c>
      <c r="AI1" s="14" t="s">
        <v>34</v>
      </c>
      <c r="AJ1" s="16" t="s">
        <v>35</v>
      </c>
      <c r="AK1" s="14" t="s">
        <v>36</v>
      </c>
      <c r="AL1" s="16" t="s">
        <v>37</v>
      </c>
      <c r="AM1" s="16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54</v>
      </c>
      <c r="BE1" s="14" t="s">
        <v>55</v>
      </c>
      <c r="BF1" s="14" t="s">
        <v>55</v>
      </c>
    </row>
    <row r="2" ht="24" customHeight="1" spans="1:58">
      <c r="A2" s="1" t="str">
        <f>_xlfn.DISPIMG("ID_B13AB42DF50D4C48AA1AE8CCFB525613",1)</f>
        <v>=DISPIMG("ID_B13AB42DF50D4C48AA1AE8CCFB525613",1)</v>
      </c>
      <c r="B2" s="15" t="s">
        <v>56</v>
      </c>
      <c r="C2" s="15" t="s">
        <v>57</v>
      </c>
      <c r="D2" s="15" t="s">
        <v>58</v>
      </c>
      <c r="E2" s="15" t="s">
        <v>59</v>
      </c>
      <c r="F2" s="15" t="s">
        <v>60</v>
      </c>
      <c r="G2" s="15" t="s">
        <v>61</v>
      </c>
      <c r="H2" s="15" t="s">
        <v>62</v>
      </c>
      <c r="I2" s="15" t="s">
        <v>63</v>
      </c>
      <c r="J2" s="15" t="s">
        <v>64</v>
      </c>
      <c r="K2" s="15" t="s">
        <v>65</v>
      </c>
      <c r="L2" s="15" t="s">
        <v>66</v>
      </c>
      <c r="M2" s="18">
        <v>133</v>
      </c>
      <c r="N2" s="18">
        <v>549</v>
      </c>
      <c r="O2" s="19">
        <v>0.805</v>
      </c>
      <c r="P2" s="20" t="s">
        <v>67</v>
      </c>
      <c r="Q2" s="22" t="s">
        <v>68</v>
      </c>
      <c r="R2" s="18">
        <v>30215</v>
      </c>
      <c r="S2" s="19">
        <v>1.3571</v>
      </c>
      <c r="T2" s="18">
        <v>1208297.9</v>
      </c>
      <c r="U2" s="23" t="s">
        <v>69</v>
      </c>
      <c r="V2" s="18">
        <v>39990</v>
      </c>
      <c r="W2" s="24">
        <v>72</v>
      </c>
      <c r="X2" s="25">
        <v>39.99</v>
      </c>
      <c r="Z2" s="8"/>
      <c r="AA2" s="18">
        <v>6</v>
      </c>
      <c r="AB2" s="24">
        <v>1409</v>
      </c>
      <c r="AC2" s="18">
        <v>143</v>
      </c>
      <c r="AD2" s="28">
        <v>4.3</v>
      </c>
      <c r="AE2" s="29">
        <v>0.0047</v>
      </c>
      <c r="AF2" s="25">
        <v>8.39</v>
      </c>
      <c r="AG2" s="19">
        <v>0.5902</v>
      </c>
      <c r="AI2" s="1" t="s">
        <v>70</v>
      </c>
      <c r="AJ2" s="24">
        <v>472</v>
      </c>
      <c r="AK2" s="1" t="s">
        <v>71</v>
      </c>
      <c r="AL2" s="24">
        <v>10</v>
      </c>
      <c r="AM2" s="24">
        <v>1</v>
      </c>
      <c r="AN2" s="15" t="s">
        <v>72</v>
      </c>
      <c r="AO2" s="1" t="s">
        <v>71</v>
      </c>
      <c r="AP2" s="1" t="s">
        <v>73</v>
      </c>
      <c r="AQ2" s="15" t="s">
        <v>74</v>
      </c>
      <c r="AR2" s="1" t="s">
        <v>75</v>
      </c>
      <c r="AS2" s="1" t="s">
        <v>76</v>
      </c>
      <c r="AT2" s="1" t="s">
        <v>76</v>
      </c>
      <c r="AU2" s="1" t="s">
        <v>76</v>
      </c>
      <c r="AV2" s="1" t="s">
        <v>76</v>
      </c>
      <c r="AW2" s="1" t="s">
        <v>77</v>
      </c>
      <c r="AX2" s="1" t="s">
        <v>77</v>
      </c>
      <c r="AY2" s="1" t="s">
        <v>77</v>
      </c>
      <c r="AZ2" s="1" t="s">
        <v>77</v>
      </c>
      <c r="BA2" s="15" t="s">
        <v>76</v>
      </c>
      <c r="BB2" s="23" t="s">
        <v>77</v>
      </c>
      <c r="BC2" s="23" t="s">
        <v>78</v>
      </c>
      <c r="BD2" s="23" t="s">
        <v>79</v>
      </c>
      <c r="BE2" s="23" t="s">
        <v>80</v>
      </c>
      <c r="BF2" s="1" t="s">
        <v>81</v>
      </c>
    </row>
    <row r="3" ht="24" customHeight="1" spans="1:58">
      <c r="A3" s="1" t="str">
        <f>_xlfn.DISPIMG("ID_88BF2F1A26084DBF835EBF2925FB1342",1)</f>
        <v>=DISPIMG("ID_88BF2F1A26084DBF835EBF2925FB1342",1)</v>
      </c>
      <c r="B3" s="15" t="s">
        <v>82</v>
      </c>
      <c r="C3" s="15" t="s">
        <v>83</v>
      </c>
      <c r="D3" s="15" t="s">
        <v>84</v>
      </c>
      <c r="E3" s="15" t="s">
        <v>85</v>
      </c>
      <c r="F3" s="15" t="s">
        <v>86</v>
      </c>
      <c r="G3" s="15" t="s">
        <v>87</v>
      </c>
      <c r="H3" s="15" t="s">
        <v>88</v>
      </c>
      <c r="I3" s="15" t="s">
        <v>89</v>
      </c>
      <c r="J3" s="15" t="s">
        <v>90</v>
      </c>
      <c r="K3" s="15" t="s">
        <v>65</v>
      </c>
      <c r="L3" s="15" t="s">
        <v>66</v>
      </c>
      <c r="M3" s="18">
        <v>189</v>
      </c>
      <c r="N3" s="18">
        <v>-142</v>
      </c>
      <c r="O3" s="19">
        <v>-3.0213</v>
      </c>
      <c r="P3" s="20" t="s">
        <v>67</v>
      </c>
      <c r="Q3" s="22" t="s">
        <v>91</v>
      </c>
      <c r="R3" s="18">
        <v>56497</v>
      </c>
      <c r="S3" s="19">
        <v>1.1835</v>
      </c>
      <c r="T3" s="18">
        <v>2824285</v>
      </c>
      <c r="U3" s="23" t="s">
        <v>92</v>
      </c>
      <c r="V3" s="18">
        <v>199960.02</v>
      </c>
      <c r="W3" s="24">
        <v>126</v>
      </c>
      <c r="X3" s="25">
        <v>49.99</v>
      </c>
      <c r="Z3" s="23" t="s">
        <v>93</v>
      </c>
      <c r="AA3" s="18">
        <v>28</v>
      </c>
      <c r="AB3" s="24">
        <v>4374</v>
      </c>
      <c r="AC3" s="18">
        <v>370</v>
      </c>
      <c r="AD3" s="28">
        <v>4.2</v>
      </c>
      <c r="AE3" s="29">
        <v>0.0065</v>
      </c>
      <c r="AF3" s="25">
        <v>7.91</v>
      </c>
      <c r="AG3" s="19">
        <v>0.6418</v>
      </c>
      <c r="AI3" s="1" t="s">
        <v>94</v>
      </c>
      <c r="AJ3" s="24">
        <v>554</v>
      </c>
      <c r="AK3" s="1" t="s">
        <v>71</v>
      </c>
      <c r="AL3" s="24">
        <v>10</v>
      </c>
      <c r="AM3" s="24">
        <v>1</v>
      </c>
      <c r="AN3" s="15" t="s">
        <v>85</v>
      </c>
      <c r="AO3" s="1" t="s">
        <v>71</v>
      </c>
      <c r="AP3" s="1" t="s">
        <v>73</v>
      </c>
      <c r="AQ3" s="15" t="s">
        <v>95</v>
      </c>
      <c r="AR3" s="1" t="s">
        <v>96</v>
      </c>
      <c r="AS3" s="1" t="s">
        <v>76</v>
      </c>
      <c r="AT3" s="1" t="s">
        <v>77</v>
      </c>
      <c r="AU3" s="1" t="s">
        <v>77</v>
      </c>
      <c r="AV3" s="1" t="s">
        <v>76</v>
      </c>
      <c r="AW3" s="1" t="s">
        <v>76</v>
      </c>
      <c r="AX3" s="1" t="s">
        <v>77</v>
      </c>
      <c r="AY3" s="1" t="s">
        <v>76</v>
      </c>
      <c r="AZ3" s="1" t="s">
        <v>77</v>
      </c>
      <c r="BA3" s="15" t="s">
        <v>77</v>
      </c>
      <c r="BC3" s="23" t="s">
        <v>97</v>
      </c>
      <c r="BD3" s="23" t="s">
        <v>98</v>
      </c>
      <c r="BE3" s="23" t="s">
        <v>99</v>
      </c>
      <c r="BF3" s="1" t="s">
        <v>100</v>
      </c>
    </row>
    <row r="4" ht="24" customHeight="1" spans="1:58">
      <c r="A4" s="1" t="str">
        <f>_xlfn.DISPIMG("ID_BE67C2CDA775435AA47F93DBDF27BB42",1)</f>
        <v>=DISPIMG("ID_BE67C2CDA775435AA47F93DBDF27BB42",1)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65</v>
      </c>
      <c r="L4" s="15" t="s">
        <v>66</v>
      </c>
      <c r="M4" s="18">
        <v>474</v>
      </c>
      <c r="N4" s="18">
        <v>1433</v>
      </c>
      <c r="O4" s="19">
        <v>0.7797</v>
      </c>
      <c r="P4" s="20" t="s">
        <v>67</v>
      </c>
      <c r="Q4" s="22" t="s">
        <v>110</v>
      </c>
      <c r="R4" s="18">
        <v>13169</v>
      </c>
      <c r="S4" s="19">
        <v>1.7179</v>
      </c>
      <c r="T4" s="18">
        <v>525311.4</v>
      </c>
      <c r="U4" s="23" t="s">
        <v>111</v>
      </c>
      <c r="V4" s="18">
        <v>23934</v>
      </c>
      <c r="W4" s="24">
        <v>60</v>
      </c>
      <c r="X4" s="25">
        <v>39.89</v>
      </c>
      <c r="Z4" s="23" t="s">
        <v>112</v>
      </c>
      <c r="AB4" s="24">
        <v>103</v>
      </c>
      <c r="AC4" s="18">
        <v>49</v>
      </c>
      <c r="AD4" s="28">
        <v>4.4</v>
      </c>
      <c r="AE4" s="29">
        <v>0.0037</v>
      </c>
      <c r="AF4" s="25">
        <v>7.04</v>
      </c>
      <c r="AG4" s="19">
        <v>0.6235</v>
      </c>
      <c r="AI4" s="1" t="s">
        <v>113</v>
      </c>
      <c r="AJ4" s="24">
        <v>150</v>
      </c>
      <c r="AK4" s="1" t="s">
        <v>71</v>
      </c>
      <c r="AL4" s="24">
        <v>10</v>
      </c>
      <c r="AM4" s="24">
        <v>2</v>
      </c>
      <c r="AN4" s="15" t="s">
        <v>104</v>
      </c>
      <c r="AO4" s="1" t="s">
        <v>71</v>
      </c>
      <c r="AP4" s="1" t="s">
        <v>73</v>
      </c>
      <c r="AQ4" s="15" t="s">
        <v>114</v>
      </c>
      <c r="AR4" s="1" t="s">
        <v>115</v>
      </c>
      <c r="AS4" s="1" t="s">
        <v>77</v>
      </c>
      <c r="AT4" s="1" t="s">
        <v>77</v>
      </c>
      <c r="AU4" s="1" t="s">
        <v>77</v>
      </c>
      <c r="AV4" s="1" t="s">
        <v>76</v>
      </c>
      <c r="AW4" s="1" t="s">
        <v>76</v>
      </c>
      <c r="AX4" s="1" t="s">
        <v>77</v>
      </c>
      <c r="AY4" s="1" t="s">
        <v>76</v>
      </c>
      <c r="AZ4" s="1" t="s">
        <v>77</v>
      </c>
      <c r="BA4" s="15" t="s">
        <v>77</v>
      </c>
      <c r="BC4" s="23" t="s">
        <v>116</v>
      </c>
      <c r="BD4" s="23" t="s">
        <v>117</v>
      </c>
      <c r="BE4" s="23" t="s">
        <v>118</v>
      </c>
      <c r="BF4" s="1" t="s">
        <v>119</v>
      </c>
    </row>
    <row r="5" ht="24" customHeight="1" spans="1:58">
      <c r="A5" s="1" t="str">
        <f>_xlfn.DISPIMG("ID_86FA167D75334993B916C85688E5E071",1)</f>
        <v>=DISPIMG("ID_86FA167D75334993B916C85688E5E071",1)</v>
      </c>
      <c r="B5" s="15" t="s">
        <v>120</v>
      </c>
      <c r="C5" s="15" t="s">
        <v>57</v>
      </c>
      <c r="D5" s="15" t="s">
        <v>58</v>
      </c>
      <c r="E5" s="15" t="s">
        <v>59</v>
      </c>
      <c r="F5" s="15" t="s">
        <v>60</v>
      </c>
      <c r="G5" s="15" t="s">
        <v>121</v>
      </c>
      <c r="H5" s="15" t="s">
        <v>122</v>
      </c>
      <c r="I5" s="15" t="s">
        <v>123</v>
      </c>
      <c r="J5" s="15" t="s">
        <v>124</v>
      </c>
      <c r="K5" s="15" t="s">
        <v>65</v>
      </c>
      <c r="L5" s="15" t="s">
        <v>66</v>
      </c>
      <c r="M5" s="18">
        <v>881</v>
      </c>
      <c r="N5" s="18">
        <v>3107</v>
      </c>
      <c r="O5" s="19">
        <v>0.7791</v>
      </c>
      <c r="P5" s="20" t="s">
        <v>67</v>
      </c>
      <c r="Q5" s="22" t="s">
        <v>125</v>
      </c>
      <c r="R5" s="18">
        <v>13196</v>
      </c>
      <c r="S5" s="19">
        <v>0.8116</v>
      </c>
      <c r="T5" s="18">
        <v>527576.06</v>
      </c>
      <c r="U5" s="23" t="s">
        <v>126</v>
      </c>
      <c r="V5" s="18">
        <v>27986</v>
      </c>
      <c r="W5" s="24">
        <v>79</v>
      </c>
      <c r="X5" s="25">
        <v>39.98</v>
      </c>
      <c r="Z5" s="8"/>
      <c r="AA5" s="18">
        <v>3</v>
      </c>
      <c r="AB5" s="24">
        <v>1000</v>
      </c>
      <c r="AC5" s="18">
        <v>75</v>
      </c>
      <c r="AD5" s="28">
        <v>4.2</v>
      </c>
      <c r="AE5" s="29">
        <v>0.0057</v>
      </c>
      <c r="AF5" s="25">
        <v>8.39</v>
      </c>
      <c r="AG5" s="19">
        <v>0.5901</v>
      </c>
      <c r="AI5" s="1" t="s">
        <v>127</v>
      </c>
      <c r="AJ5" s="24">
        <v>483</v>
      </c>
      <c r="AK5" s="1" t="s">
        <v>71</v>
      </c>
      <c r="AL5" s="24">
        <v>10</v>
      </c>
      <c r="AM5" s="24">
        <v>1</v>
      </c>
      <c r="AN5" s="15" t="s">
        <v>72</v>
      </c>
      <c r="AO5" s="1" t="s">
        <v>71</v>
      </c>
      <c r="AP5" s="1" t="s">
        <v>73</v>
      </c>
      <c r="AQ5" s="15" t="s">
        <v>74</v>
      </c>
      <c r="AR5" s="1" t="s">
        <v>75</v>
      </c>
      <c r="AS5" s="1" t="s">
        <v>77</v>
      </c>
      <c r="AT5" s="1" t="s">
        <v>76</v>
      </c>
      <c r="AU5" s="1" t="s">
        <v>76</v>
      </c>
      <c r="AV5" s="1" t="s">
        <v>76</v>
      </c>
      <c r="AW5" s="1" t="s">
        <v>76</v>
      </c>
      <c r="AX5" s="1" t="s">
        <v>77</v>
      </c>
      <c r="AY5" s="1" t="s">
        <v>76</v>
      </c>
      <c r="AZ5" s="1" t="s">
        <v>77</v>
      </c>
      <c r="BA5" s="15" t="s">
        <v>76</v>
      </c>
      <c r="BB5" s="23" t="s">
        <v>77</v>
      </c>
      <c r="BC5" s="23" t="s">
        <v>128</v>
      </c>
      <c r="BD5" s="23" t="s">
        <v>129</v>
      </c>
      <c r="BE5" s="23" t="s">
        <v>130</v>
      </c>
      <c r="BF5" s="1" t="s">
        <v>131</v>
      </c>
    </row>
    <row r="6" ht="24" customHeight="1" spans="1:58">
      <c r="A6" s="1" t="str">
        <f>_xlfn.DISPIMG("ID_A36799880F694DB79209D093CF5492E0",1)</f>
        <v>=DISPIMG("ID_A36799880F694DB79209D093CF5492E0",1)</v>
      </c>
      <c r="B6" s="15" t="s">
        <v>132</v>
      </c>
      <c r="C6" s="15" t="s">
        <v>133</v>
      </c>
      <c r="D6" s="15" t="s">
        <v>134</v>
      </c>
      <c r="E6" s="15" t="s">
        <v>135</v>
      </c>
      <c r="F6" s="15" t="s">
        <v>136</v>
      </c>
      <c r="G6" s="15" t="s">
        <v>137</v>
      </c>
      <c r="H6" s="15" t="s">
        <v>138</v>
      </c>
      <c r="I6" s="15" t="s">
        <v>139</v>
      </c>
      <c r="J6" s="15" t="s">
        <v>140</v>
      </c>
      <c r="K6" s="15" t="s">
        <v>65</v>
      </c>
      <c r="L6" s="15" t="s">
        <v>66</v>
      </c>
      <c r="M6" s="18">
        <v>956</v>
      </c>
      <c r="N6" s="18">
        <v>483</v>
      </c>
      <c r="O6" s="19">
        <v>0.3356</v>
      </c>
      <c r="P6" s="20" t="s">
        <v>67</v>
      </c>
      <c r="Q6" s="22" t="s">
        <v>141</v>
      </c>
      <c r="R6" s="18">
        <v>19731</v>
      </c>
      <c r="S6" s="19">
        <v>0.2022</v>
      </c>
      <c r="T6" s="18">
        <v>709921.4</v>
      </c>
      <c r="U6" s="23" t="s">
        <v>142</v>
      </c>
      <c r="V6" s="18">
        <v>71960</v>
      </c>
      <c r="W6" s="24">
        <v>225</v>
      </c>
      <c r="X6" s="25">
        <v>35.98</v>
      </c>
      <c r="Z6" s="23" t="s">
        <v>143</v>
      </c>
      <c r="AA6" s="18">
        <v>48</v>
      </c>
      <c r="AB6" s="24">
        <v>7670</v>
      </c>
      <c r="AC6" s="18">
        <v>215</v>
      </c>
      <c r="AD6" s="28">
        <v>4.2</v>
      </c>
      <c r="AE6" s="29">
        <v>0.0109</v>
      </c>
      <c r="AF6" s="25">
        <v>7.04</v>
      </c>
      <c r="AG6" s="19">
        <v>0.6043</v>
      </c>
      <c r="AI6" s="1" t="s">
        <v>144</v>
      </c>
      <c r="AJ6" s="24">
        <v>1179</v>
      </c>
      <c r="AK6" s="1" t="s">
        <v>71</v>
      </c>
      <c r="AL6" s="24">
        <v>10</v>
      </c>
      <c r="AM6" s="24">
        <v>1</v>
      </c>
      <c r="AN6" s="15" t="s">
        <v>135</v>
      </c>
      <c r="AO6" s="1" t="s">
        <v>71</v>
      </c>
      <c r="AP6" s="1" t="s">
        <v>73</v>
      </c>
      <c r="AQ6" s="15" t="s">
        <v>145</v>
      </c>
      <c r="AR6" s="1" t="s">
        <v>146</v>
      </c>
      <c r="AS6" s="1" t="s">
        <v>76</v>
      </c>
      <c r="AT6" s="1" t="s">
        <v>76</v>
      </c>
      <c r="AU6" s="1" t="s">
        <v>77</v>
      </c>
      <c r="AV6" s="1" t="s">
        <v>76</v>
      </c>
      <c r="AW6" s="1" t="s">
        <v>76</v>
      </c>
      <c r="AX6" s="1" t="s">
        <v>77</v>
      </c>
      <c r="AY6" s="1" t="s">
        <v>76</v>
      </c>
      <c r="AZ6" s="1" t="s">
        <v>77</v>
      </c>
      <c r="BA6" s="15" t="s">
        <v>77</v>
      </c>
      <c r="BB6" s="23" t="s">
        <v>147</v>
      </c>
      <c r="BC6" s="23" t="s">
        <v>148</v>
      </c>
      <c r="BD6" s="23" t="s">
        <v>149</v>
      </c>
      <c r="BE6" s="23" t="s">
        <v>150</v>
      </c>
      <c r="BF6" s="1" t="s">
        <v>151</v>
      </c>
    </row>
    <row r="7" ht="24" customHeight="1" spans="1:58">
      <c r="A7" s="1" t="str">
        <f>_xlfn.DISPIMG("ID_0D33FAA1DB0349B193E8B4566705AC6D",1)</f>
        <v>=DISPIMG("ID_0D33FAA1DB0349B193E8B4566705AC6D",1)</v>
      </c>
      <c r="B7" s="15" t="s">
        <v>152</v>
      </c>
      <c r="C7" s="15" t="s">
        <v>153</v>
      </c>
      <c r="D7" s="15" t="s">
        <v>154</v>
      </c>
      <c r="E7" s="15" t="s">
        <v>155</v>
      </c>
      <c r="F7" s="15" t="s">
        <v>156</v>
      </c>
      <c r="G7" s="15" t="s">
        <v>157</v>
      </c>
      <c r="H7" s="15" t="s">
        <v>158</v>
      </c>
      <c r="I7" s="15" t="s">
        <v>159</v>
      </c>
      <c r="J7" s="15" t="s">
        <v>160</v>
      </c>
      <c r="K7" s="15" t="s">
        <v>65</v>
      </c>
      <c r="L7" s="15" t="s">
        <v>66</v>
      </c>
      <c r="M7" s="18">
        <v>1104</v>
      </c>
      <c r="N7" s="18">
        <v>416225</v>
      </c>
      <c r="O7" s="19">
        <v>0.9974</v>
      </c>
      <c r="P7" s="20" t="s">
        <v>67</v>
      </c>
      <c r="Q7" s="22" t="s">
        <v>161</v>
      </c>
      <c r="R7" s="18">
        <v>615</v>
      </c>
      <c r="S7" s="19">
        <v>-0.537</v>
      </c>
      <c r="T7" s="18">
        <v>20276.55</v>
      </c>
      <c r="U7" s="23" t="s">
        <v>162</v>
      </c>
      <c r="V7" s="18" t="s">
        <v>77</v>
      </c>
      <c r="W7" s="24">
        <v>20</v>
      </c>
      <c r="X7" s="25">
        <v>19.99</v>
      </c>
      <c r="Z7" s="23" t="s">
        <v>163</v>
      </c>
      <c r="AB7" s="24">
        <v>32</v>
      </c>
      <c r="AC7" s="18">
        <v>5</v>
      </c>
      <c r="AD7" s="28">
        <v>4.6</v>
      </c>
      <c r="AE7" s="29">
        <v>0.0081</v>
      </c>
      <c r="AF7" s="25">
        <v>6.14</v>
      </c>
      <c r="AG7" s="19">
        <v>0.6138</v>
      </c>
      <c r="AI7" s="1" t="s">
        <v>164</v>
      </c>
      <c r="AJ7" s="24">
        <v>141</v>
      </c>
      <c r="AK7" s="1" t="s">
        <v>71</v>
      </c>
      <c r="AL7" s="24">
        <v>7.8</v>
      </c>
      <c r="AM7" s="24">
        <v>1</v>
      </c>
      <c r="AN7" s="15" t="s">
        <v>165</v>
      </c>
      <c r="AO7" s="1" t="s">
        <v>71</v>
      </c>
      <c r="AP7" s="1" t="s">
        <v>73</v>
      </c>
      <c r="AQ7" s="15" t="s">
        <v>166</v>
      </c>
      <c r="AR7" s="1" t="s">
        <v>167</v>
      </c>
      <c r="AS7" s="1" t="s">
        <v>77</v>
      </c>
      <c r="AT7" s="1" t="s">
        <v>77</v>
      </c>
      <c r="AU7" s="1" t="s">
        <v>77</v>
      </c>
      <c r="AV7" s="1" t="s">
        <v>76</v>
      </c>
      <c r="AW7" s="1" t="s">
        <v>77</v>
      </c>
      <c r="AX7" s="1" t="s">
        <v>77</v>
      </c>
      <c r="AY7" s="1" t="s">
        <v>76</v>
      </c>
      <c r="AZ7" s="1" t="s">
        <v>77</v>
      </c>
      <c r="BA7" s="15" t="s">
        <v>77</v>
      </c>
      <c r="BC7" s="23" t="s">
        <v>168</v>
      </c>
      <c r="BD7" s="23" t="s">
        <v>169</v>
      </c>
      <c r="BE7" s="23" t="s">
        <v>170</v>
      </c>
      <c r="BF7" s="1" t="s">
        <v>171</v>
      </c>
    </row>
    <row r="8" ht="24" customHeight="1" spans="1:58">
      <c r="A8" s="1" t="str">
        <f>_xlfn.DISPIMG("ID_A7857CBA3F804E8AA4A13C3E7F3DC78B",1)</f>
        <v>=DISPIMG("ID_A7857CBA3F804E8AA4A13C3E7F3DC78B",1)</v>
      </c>
      <c r="B8" s="15" t="s">
        <v>172</v>
      </c>
      <c r="C8" s="15" t="s">
        <v>173</v>
      </c>
      <c r="D8" s="15" t="s">
        <v>174</v>
      </c>
      <c r="E8" s="15" t="s">
        <v>175</v>
      </c>
      <c r="F8" s="15" t="s">
        <v>176</v>
      </c>
      <c r="G8" s="15" t="s">
        <v>177</v>
      </c>
      <c r="H8" s="15" t="s">
        <v>178</v>
      </c>
      <c r="I8" s="15" t="s">
        <v>179</v>
      </c>
      <c r="J8" s="15" t="s">
        <v>180</v>
      </c>
      <c r="K8" s="15" t="s">
        <v>65</v>
      </c>
      <c r="L8" s="15" t="s">
        <v>66</v>
      </c>
      <c r="M8" s="18">
        <v>1319</v>
      </c>
      <c r="N8" s="18">
        <v>3519</v>
      </c>
      <c r="O8" s="19">
        <v>0.7274</v>
      </c>
      <c r="P8" s="20" t="s">
        <v>67</v>
      </c>
      <c r="Q8" s="22" t="s">
        <v>181</v>
      </c>
      <c r="R8" s="18">
        <v>9410</v>
      </c>
      <c r="S8" s="19">
        <v>0.3856</v>
      </c>
      <c r="T8" s="18">
        <v>301025.9</v>
      </c>
      <c r="U8" s="23" t="s">
        <v>182</v>
      </c>
      <c r="V8" s="18">
        <v>12796</v>
      </c>
      <c r="W8" s="24">
        <v>90</v>
      </c>
      <c r="X8" s="25">
        <v>31.99</v>
      </c>
      <c r="Z8" s="8"/>
      <c r="AB8" s="24">
        <v>784</v>
      </c>
      <c r="AC8" s="18">
        <v>51</v>
      </c>
      <c r="AD8" s="28">
        <v>4.2</v>
      </c>
      <c r="AE8" s="29">
        <v>0.0054</v>
      </c>
      <c r="AF8" s="25">
        <v>7.27</v>
      </c>
      <c r="AG8" s="19">
        <v>0.5727</v>
      </c>
      <c r="AI8" s="1" t="s">
        <v>183</v>
      </c>
      <c r="AJ8" s="24">
        <v>446</v>
      </c>
      <c r="AK8" s="1" t="s">
        <v>71</v>
      </c>
      <c r="AL8" s="24">
        <v>10</v>
      </c>
      <c r="AM8" s="24">
        <v>1</v>
      </c>
      <c r="AN8" s="15" t="s">
        <v>184</v>
      </c>
      <c r="AO8" s="1" t="s">
        <v>71</v>
      </c>
      <c r="AP8" s="1" t="s">
        <v>73</v>
      </c>
      <c r="AQ8" s="15" t="s">
        <v>185</v>
      </c>
      <c r="AR8" s="1" t="s">
        <v>186</v>
      </c>
      <c r="AS8" s="1" t="s">
        <v>77</v>
      </c>
      <c r="AT8" s="1" t="s">
        <v>76</v>
      </c>
      <c r="AU8" s="1" t="s">
        <v>76</v>
      </c>
      <c r="AV8" s="1" t="s">
        <v>76</v>
      </c>
      <c r="AW8" s="1" t="s">
        <v>76</v>
      </c>
      <c r="AX8" s="1" t="s">
        <v>77</v>
      </c>
      <c r="AY8" s="1" t="s">
        <v>76</v>
      </c>
      <c r="AZ8" s="1" t="s">
        <v>77</v>
      </c>
      <c r="BA8" s="15" t="s">
        <v>76</v>
      </c>
      <c r="BB8" s="23" t="s">
        <v>77</v>
      </c>
      <c r="BC8" s="23" t="s">
        <v>187</v>
      </c>
      <c r="BD8" s="23" t="s">
        <v>188</v>
      </c>
      <c r="BE8" s="23" t="s">
        <v>189</v>
      </c>
      <c r="BF8" s="1" t="s">
        <v>190</v>
      </c>
    </row>
    <row r="9" ht="24" customHeight="1" spans="1:58">
      <c r="A9" s="1" t="str">
        <f>_xlfn.DISPIMG("ID_F3A7A4F2C4024D23A2D001739BCFC0D5",1)</f>
        <v>=DISPIMG("ID_F3A7A4F2C4024D23A2D001739BCFC0D5",1)</v>
      </c>
      <c r="B9" s="15" t="s">
        <v>191</v>
      </c>
      <c r="C9" s="15" t="s">
        <v>192</v>
      </c>
      <c r="D9" s="15" t="s">
        <v>193</v>
      </c>
      <c r="E9" s="15" t="s">
        <v>194</v>
      </c>
      <c r="F9" s="15" t="s">
        <v>195</v>
      </c>
      <c r="G9" s="15" t="s">
        <v>196</v>
      </c>
      <c r="H9" s="15" t="s">
        <v>197</v>
      </c>
      <c r="I9" s="15" t="s">
        <v>198</v>
      </c>
      <c r="J9" s="15" t="s">
        <v>199</v>
      </c>
      <c r="K9" s="15" t="s">
        <v>65</v>
      </c>
      <c r="L9" s="15" t="s">
        <v>66</v>
      </c>
      <c r="M9" s="18">
        <v>1035</v>
      </c>
      <c r="N9" s="18">
        <v>1356</v>
      </c>
      <c r="O9" s="19">
        <v>0.561</v>
      </c>
      <c r="P9" s="20" t="s">
        <v>67</v>
      </c>
      <c r="Q9" s="22" t="s">
        <v>200</v>
      </c>
      <c r="R9" s="18">
        <v>8567</v>
      </c>
      <c r="S9" s="19">
        <v>1.6887</v>
      </c>
      <c r="T9" s="18">
        <v>299759.34</v>
      </c>
      <c r="U9" s="23" t="s">
        <v>69</v>
      </c>
      <c r="V9" s="18">
        <v>34990</v>
      </c>
      <c r="W9" s="24">
        <v>45</v>
      </c>
      <c r="X9" s="25">
        <v>34.99</v>
      </c>
      <c r="Z9" s="8"/>
      <c r="AA9" s="18">
        <v>16</v>
      </c>
      <c r="AB9" s="24">
        <v>2433</v>
      </c>
      <c r="AC9" s="18">
        <v>99</v>
      </c>
      <c r="AD9" s="28">
        <v>4.2</v>
      </c>
      <c r="AE9" s="29">
        <v>0.0116</v>
      </c>
      <c r="AF9" s="25">
        <v>7.27</v>
      </c>
      <c r="AG9" s="19">
        <v>0.5922</v>
      </c>
      <c r="AI9" s="1" t="s">
        <v>201</v>
      </c>
      <c r="AJ9" s="24">
        <v>484</v>
      </c>
      <c r="AK9" s="1" t="s">
        <v>71</v>
      </c>
      <c r="AL9" s="24">
        <v>6.4</v>
      </c>
      <c r="AM9" s="24">
        <v>2</v>
      </c>
      <c r="AN9" s="15" t="s">
        <v>194</v>
      </c>
      <c r="AO9" s="1" t="s">
        <v>71</v>
      </c>
      <c r="AP9" s="1" t="s">
        <v>73</v>
      </c>
      <c r="AQ9" s="15" t="s">
        <v>202</v>
      </c>
      <c r="AR9" s="1" t="s">
        <v>203</v>
      </c>
      <c r="AS9" s="1" t="s">
        <v>76</v>
      </c>
      <c r="AT9" s="1" t="s">
        <v>77</v>
      </c>
      <c r="AU9" s="1" t="s">
        <v>76</v>
      </c>
      <c r="AV9" s="1" t="s">
        <v>76</v>
      </c>
      <c r="AW9" s="1" t="s">
        <v>76</v>
      </c>
      <c r="AX9" s="1" t="s">
        <v>77</v>
      </c>
      <c r="AY9" s="1" t="s">
        <v>76</v>
      </c>
      <c r="AZ9" s="1" t="s">
        <v>77</v>
      </c>
      <c r="BA9" s="15" t="s">
        <v>76</v>
      </c>
      <c r="BC9" s="23" t="s">
        <v>204</v>
      </c>
      <c r="BD9" s="23" t="s">
        <v>205</v>
      </c>
      <c r="BE9" s="23" t="s">
        <v>206</v>
      </c>
      <c r="BF9" s="1" t="s">
        <v>207</v>
      </c>
    </row>
    <row r="10" ht="24" customHeight="1" spans="1:58">
      <c r="A10" s="1" t="str">
        <f>_xlfn.DISPIMG("ID_E8C29E202388409A9668909C70E63EC7",1)</f>
        <v>=DISPIMG("ID_E8C29E202388409A9668909C70E63EC7",1)</v>
      </c>
      <c r="B10" s="15" t="s">
        <v>208</v>
      </c>
      <c r="C10" s="15" t="s">
        <v>209</v>
      </c>
      <c r="D10" s="15" t="s">
        <v>210</v>
      </c>
      <c r="E10" s="15" t="s">
        <v>211</v>
      </c>
      <c r="F10" s="15" t="s">
        <v>212</v>
      </c>
      <c r="G10" s="15" t="s">
        <v>213</v>
      </c>
      <c r="H10" s="15" t="s">
        <v>214</v>
      </c>
      <c r="I10" s="15" t="s">
        <v>215</v>
      </c>
      <c r="J10" s="15" t="s">
        <v>216</v>
      </c>
      <c r="K10" s="15" t="s">
        <v>65</v>
      </c>
      <c r="L10" s="15" t="s">
        <v>66</v>
      </c>
      <c r="M10" s="18">
        <v>2559</v>
      </c>
      <c r="N10" s="18">
        <v>-3343</v>
      </c>
      <c r="O10" s="19">
        <v>-1.3595</v>
      </c>
      <c r="P10" s="20" t="s">
        <v>67</v>
      </c>
      <c r="Q10" s="22" t="s">
        <v>217</v>
      </c>
      <c r="R10" s="18">
        <v>8217</v>
      </c>
      <c r="S10" s="19">
        <v>0.8225</v>
      </c>
      <c r="T10" s="18">
        <v>271078.84</v>
      </c>
      <c r="U10" s="23" t="s">
        <v>182</v>
      </c>
      <c r="V10" s="18">
        <v>13196</v>
      </c>
      <c r="W10" s="24">
        <v>95</v>
      </c>
      <c r="X10" s="25">
        <v>32.99</v>
      </c>
      <c r="Z10" s="8"/>
      <c r="AA10" s="18">
        <v>45</v>
      </c>
      <c r="AB10" s="24">
        <v>6952</v>
      </c>
      <c r="AC10" s="18">
        <v>66</v>
      </c>
      <c r="AD10" s="28">
        <v>4.1</v>
      </c>
      <c r="AE10" s="29">
        <v>0.008</v>
      </c>
      <c r="AF10" s="25">
        <v>6.44</v>
      </c>
      <c r="AG10" s="19">
        <v>0.6048</v>
      </c>
      <c r="AI10" s="1" t="s">
        <v>218</v>
      </c>
      <c r="AJ10" s="24">
        <v>1286</v>
      </c>
      <c r="AK10" s="1" t="s">
        <v>71</v>
      </c>
      <c r="AL10" s="24">
        <v>10</v>
      </c>
      <c r="AM10" s="24">
        <v>1</v>
      </c>
      <c r="AN10" s="15" t="s">
        <v>211</v>
      </c>
      <c r="AO10" s="1" t="s">
        <v>71</v>
      </c>
      <c r="AP10" s="1" t="s">
        <v>73</v>
      </c>
      <c r="AQ10" s="15" t="s">
        <v>219</v>
      </c>
      <c r="AR10" s="1" t="s">
        <v>220</v>
      </c>
      <c r="AS10" s="1" t="s">
        <v>76</v>
      </c>
      <c r="AT10" s="1" t="s">
        <v>76</v>
      </c>
      <c r="AU10" s="1" t="s">
        <v>77</v>
      </c>
      <c r="AV10" s="1" t="s">
        <v>76</v>
      </c>
      <c r="AW10" s="1" t="s">
        <v>76</v>
      </c>
      <c r="AX10" s="1" t="s">
        <v>77</v>
      </c>
      <c r="AY10" s="1" t="s">
        <v>76</v>
      </c>
      <c r="AZ10" s="1" t="s">
        <v>77</v>
      </c>
      <c r="BA10" s="15" t="s">
        <v>77</v>
      </c>
      <c r="BB10" s="23" t="s">
        <v>77</v>
      </c>
      <c r="BC10" s="23" t="s">
        <v>221</v>
      </c>
      <c r="BD10" s="23" t="s">
        <v>222</v>
      </c>
      <c r="BE10" s="23" t="s">
        <v>223</v>
      </c>
      <c r="BF10" s="1" t="s">
        <v>224</v>
      </c>
    </row>
    <row r="11" ht="24" customHeight="1" spans="1:58">
      <c r="A11" s="1" t="str">
        <f>_xlfn.DISPIMG("ID_26156A1980284F27A3CE88B92EB577CC",1)</f>
        <v>=DISPIMG("ID_26156A1980284F27A3CE88B92EB577CC",1)</v>
      </c>
      <c r="B11" s="15" t="s">
        <v>225</v>
      </c>
      <c r="C11" s="15" t="s">
        <v>209</v>
      </c>
      <c r="D11" s="15" t="s">
        <v>226</v>
      </c>
      <c r="E11" s="15" t="s">
        <v>59</v>
      </c>
      <c r="F11" s="15" t="s">
        <v>60</v>
      </c>
      <c r="G11" s="15" t="s">
        <v>227</v>
      </c>
      <c r="H11" s="15" t="s">
        <v>228</v>
      </c>
      <c r="I11" s="15" t="s">
        <v>229</v>
      </c>
      <c r="J11" s="15" t="s">
        <v>230</v>
      </c>
      <c r="K11" s="15" t="s">
        <v>65</v>
      </c>
      <c r="L11" s="15" t="s">
        <v>66</v>
      </c>
      <c r="M11" s="18">
        <v>2675</v>
      </c>
      <c r="N11" s="18">
        <v>5192</v>
      </c>
      <c r="O11" s="19">
        <v>0.6711</v>
      </c>
      <c r="P11" s="20" t="s">
        <v>67</v>
      </c>
      <c r="Q11" s="22" t="s">
        <v>231</v>
      </c>
      <c r="R11" s="18">
        <v>6265</v>
      </c>
      <c r="S11" s="19">
        <v>0.491</v>
      </c>
      <c r="T11" s="18">
        <v>300657.38</v>
      </c>
      <c r="U11" s="23" t="s">
        <v>232</v>
      </c>
      <c r="V11" s="18">
        <v>23995</v>
      </c>
      <c r="W11" s="24">
        <v>31</v>
      </c>
      <c r="X11" s="25">
        <v>49.99</v>
      </c>
      <c r="Z11" s="8"/>
      <c r="AB11" s="24">
        <v>271</v>
      </c>
      <c r="AC11" s="18">
        <v>47</v>
      </c>
      <c r="AD11" s="28">
        <v>4.2</v>
      </c>
      <c r="AE11" s="29">
        <v>0.0075</v>
      </c>
      <c r="AF11" s="25">
        <v>7.04</v>
      </c>
      <c r="AG11" s="19">
        <v>0.6533</v>
      </c>
      <c r="AI11" s="1" t="s">
        <v>233</v>
      </c>
      <c r="AJ11" s="24">
        <v>372</v>
      </c>
      <c r="AK11" s="1" t="s">
        <v>71</v>
      </c>
      <c r="AL11" s="24">
        <v>10</v>
      </c>
      <c r="AM11" s="24">
        <v>1</v>
      </c>
      <c r="AN11" s="15" t="s">
        <v>72</v>
      </c>
      <c r="AO11" s="1" t="s">
        <v>71</v>
      </c>
      <c r="AP11" s="1" t="s">
        <v>73</v>
      </c>
      <c r="AQ11" s="15" t="s">
        <v>74</v>
      </c>
      <c r="AR11" s="1" t="s">
        <v>75</v>
      </c>
      <c r="AS11" s="1" t="s">
        <v>77</v>
      </c>
      <c r="AT11" s="1" t="s">
        <v>76</v>
      </c>
      <c r="AU11" s="1" t="s">
        <v>77</v>
      </c>
      <c r="AV11" s="1" t="s">
        <v>76</v>
      </c>
      <c r="AW11" s="1" t="s">
        <v>77</v>
      </c>
      <c r="AX11" s="1" t="s">
        <v>77</v>
      </c>
      <c r="AY11" s="1" t="s">
        <v>76</v>
      </c>
      <c r="AZ11" s="1" t="s">
        <v>77</v>
      </c>
      <c r="BA11" s="15" t="s">
        <v>77</v>
      </c>
      <c r="BB11" s="23" t="s">
        <v>77</v>
      </c>
      <c r="BC11" s="23" t="s">
        <v>234</v>
      </c>
      <c r="BD11" s="23" t="s">
        <v>235</v>
      </c>
      <c r="BE11" s="23" t="s">
        <v>236</v>
      </c>
      <c r="BF11" s="1" t="s">
        <v>237</v>
      </c>
    </row>
    <row r="12" ht="24" customHeight="1" spans="1:58">
      <c r="A12" s="1" t="str">
        <f>_xlfn.DISPIMG("ID_67D9850C276F423EA60B8D5FEE747232",1)</f>
        <v>=DISPIMG("ID_67D9850C276F423EA60B8D5FEE747232",1)</v>
      </c>
      <c r="B12" s="15" t="s">
        <v>238</v>
      </c>
      <c r="C12" s="15" t="s">
        <v>83</v>
      </c>
      <c r="D12" s="15" t="s">
        <v>239</v>
      </c>
      <c r="E12" s="15" t="s">
        <v>85</v>
      </c>
      <c r="F12" s="15" t="s">
        <v>86</v>
      </c>
      <c r="G12" s="15" t="s">
        <v>240</v>
      </c>
      <c r="H12" s="15" t="s">
        <v>241</v>
      </c>
      <c r="I12" s="15" t="s">
        <v>242</v>
      </c>
      <c r="J12" s="15" t="s">
        <v>243</v>
      </c>
      <c r="K12" s="15" t="s">
        <v>65</v>
      </c>
      <c r="L12" s="15" t="s">
        <v>66</v>
      </c>
      <c r="M12" s="18">
        <v>3329</v>
      </c>
      <c r="N12" s="18">
        <v>136120</v>
      </c>
      <c r="O12" s="19">
        <v>0.9903</v>
      </c>
      <c r="P12" s="20" t="s">
        <v>67</v>
      </c>
      <c r="Q12" s="22" t="s">
        <v>244</v>
      </c>
      <c r="R12" s="18">
        <v>763</v>
      </c>
      <c r="S12" s="19" t="s">
        <v>77</v>
      </c>
      <c r="T12" s="18">
        <v>30512.371</v>
      </c>
      <c r="U12" s="23" t="s">
        <v>245</v>
      </c>
      <c r="V12" s="18">
        <v>3999</v>
      </c>
      <c r="W12" s="24">
        <v>22</v>
      </c>
      <c r="X12" s="25">
        <v>39.99</v>
      </c>
      <c r="Z12" s="23" t="s">
        <v>246</v>
      </c>
      <c r="AB12" s="24">
        <v>24</v>
      </c>
      <c r="AC12" s="18">
        <v>14</v>
      </c>
      <c r="AD12" s="28">
        <v>4.6</v>
      </c>
      <c r="AE12" s="29">
        <v>0.0183</v>
      </c>
      <c r="AF12" s="25">
        <v>7.75</v>
      </c>
      <c r="AG12" s="19">
        <v>0.6062</v>
      </c>
      <c r="AI12" s="1" t="s">
        <v>247</v>
      </c>
      <c r="AJ12" s="24">
        <v>106</v>
      </c>
      <c r="AK12" s="1" t="s">
        <v>71</v>
      </c>
      <c r="AL12" s="24">
        <v>9</v>
      </c>
      <c r="AM12" s="24">
        <v>1</v>
      </c>
      <c r="AN12" s="15" t="s">
        <v>85</v>
      </c>
      <c r="AO12" s="1" t="s">
        <v>71</v>
      </c>
      <c r="AP12" s="1" t="s">
        <v>73</v>
      </c>
      <c r="AQ12" s="15" t="s">
        <v>95</v>
      </c>
      <c r="AR12" s="1" t="s">
        <v>96</v>
      </c>
      <c r="AS12" s="1" t="s">
        <v>77</v>
      </c>
      <c r="AT12" s="1" t="s">
        <v>77</v>
      </c>
      <c r="AU12" s="1" t="s">
        <v>77</v>
      </c>
      <c r="AV12" s="1" t="s">
        <v>76</v>
      </c>
      <c r="AW12" s="1" t="s">
        <v>76</v>
      </c>
      <c r="AX12" s="1" t="s">
        <v>77</v>
      </c>
      <c r="AY12" s="1" t="s">
        <v>76</v>
      </c>
      <c r="AZ12" s="1" t="s">
        <v>77</v>
      </c>
      <c r="BA12" s="15" t="s">
        <v>77</v>
      </c>
      <c r="BC12" s="23" t="s">
        <v>248</v>
      </c>
      <c r="BD12" s="23" t="s">
        <v>249</v>
      </c>
      <c r="BE12" s="23" t="s">
        <v>250</v>
      </c>
      <c r="BF12" s="1" t="s">
        <v>251</v>
      </c>
    </row>
    <row r="13" ht="24" customHeight="1" spans="1:58">
      <c r="A13" s="1" t="str">
        <f>_xlfn.DISPIMG("ID_BA6C54793FF14186A3843C6CE284AED2",1)</f>
        <v>=DISPIMG("ID_BA6C54793FF14186A3843C6CE284AED2",1)</v>
      </c>
      <c r="B13" s="15" t="s">
        <v>252</v>
      </c>
      <c r="C13" s="15" t="s">
        <v>83</v>
      </c>
      <c r="D13" s="15" t="s">
        <v>253</v>
      </c>
      <c r="E13" s="15" t="s">
        <v>211</v>
      </c>
      <c r="F13" s="15" t="s">
        <v>212</v>
      </c>
      <c r="G13" s="15" t="s">
        <v>254</v>
      </c>
      <c r="H13" s="15" t="s">
        <v>255</v>
      </c>
      <c r="I13" s="15" t="s">
        <v>256</v>
      </c>
      <c r="J13" s="15" t="s">
        <v>257</v>
      </c>
      <c r="K13" s="15" t="s">
        <v>65</v>
      </c>
      <c r="L13" s="15" t="s">
        <v>66</v>
      </c>
      <c r="M13" s="18">
        <v>3280</v>
      </c>
      <c r="N13" s="18">
        <v>-1231</v>
      </c>
      <c r="O13" s="19">
        <v>-0.6186</v>
      </c>
      <c r="P13" s="20" t="s">
        <v>67</v>
      </c>
      <c r="Q13" s="22" t="s">
        <v>258</v>
      </c>
      <c r="R13" s="18">
        <v>10123</v>
      </c>
      <c r="S13" s="19">
        <v>0.2331</v>
      </c>
      <c r="T13" s="18">
        <v>506048.78</v>
      </c>
      <c r="U13" s="23" t="s">
        <v>232</v>
      </c>
      <c r="V13" s="18">
        <v>24995</v>
      </c>
      <c r="W13" s="24">
        <v>100</v>
      </c>
      <c r="X13" s="25">
        <v>49.99</v>
      </c>
      <c r="Z13" s="8"/>
      <c r="AB13" s="24">
        <v>616</v>
      </c>
      <c r="AC13" s="18">
        <v>114</v>
      </c>
      <c r="AD13" s="28">
        <v>4.3</v>
      </c>
      <c r="AE13" s="29">
        <v>0.0113</v>
      </c>
      <c r="AF13" s="25">
        <v>7.53</v>
      </c>
      <c r="AG13" s="19">
        <v>0.6494</v>
      </c>
      <c r="AI13" s="1" t="s">
        <v>259</v>
      </c>
      <c r="AJ13" s="24">
        <v>375</v>
      </c>
      <c r="AK13" s="1" t="s">
        <v>71</v>
      </c>
      <c r="AL13" s="24">
        <v>10</v>
      </c>
      <c r="AM13" s="24">
        <v>1</v>
      </c>
      <c r="AN13" s="15" t="s">
        <v>211</v>
      </c>
      <c r="AO13" s="1" t="s">
        <v>71</v>
      </c>
      <c r="AP13" s="1" t="s">
        <v>73</v>
      </c>
      <c r="AQ13" s="15" t="s">
        <v>219</v>
      </c>
      <c r="AR13" s="1" t="s">
        <v>220</v>
      </c>
      <c r="AS13" s="1" t="s">
        <v>77</v>
      </c>
      <c r="AT13" s="1" t="s">
        <v>77</v>
      </c>
      <c r="AU13" s="1" t="s">
        <v>76</v>
      </c>
      <c r="AV13" s="1" t="s">
        <v>76</v>
      </c>
      <c r="AW13" s="1" t="s">
        <v>76</v>
      </c>
      <c r="AX13" s="1" t="s">
        <v>77</v>
      </c>
      <c r="AY13" s="1" t="s">
        <v>76</v>
      </c>
      <c r="AZ13" s="1" t="s">
        <v>77</v>
      </c>
      <c r="BA13" s="15" t="s">
        <v>77</v>
      </c>
      <c r="BC13" s="23" t="s">
        <v>221</v>
      </c>
      <c r="BD13" s="23" t="s">
        <v>222</v>
      </c>
      <c r="BE13" s="23" t="s">
        <v>223</v>
      </c>
      <c r="BF13" s="1" t="s">
        <v>224</v>
      </c>
    </row>
    <row r="14" ht="24" customHeight="1" spans="1:58">
      <c r="A14" s="1" t="str">
        <f>_xlfn.DISPIMG("ID_BA77186E161D4A248E1BB004213BBF86",1)</f>
        <v>=DISPIMG("ID_BA77186E161D4A248E1BB004213BBF86",1)</v>
      </c>
      <c r="B14" s="15" t="s">
        <v>260</v>
      </c>
      <c r="C14" s="15" t="s">
        <v>261</v>
      </c>
      <c r="D14" s="15" t="s">
        <v>262</v>
      </c>
      <c r="E14" s="15" t="s">
        <v>263</v>
      </c>
      <c r="F14" s="15" t="s">
        <v>264</v>
      </c>
      <c r="G14" s="15" t="s">
        <v>265</v>
      </c>
      <c r="H14" s="15" t="s">
        <v>266</v>
      </c>
      <c r="I14" s="15" t="s">
        <v>267</v>
      </c>
      <c r="J14" s="15" t="s">
        <v>268</v>
      </c>
      <c r="K14" s="15" t="s">
        <v>65</v>
      </c>
      <c r="L14" s="15" t="s">
        <v>66</v>
      </c>
      <c r="M14" s="18">
        <v>3550</v>
      </c>
      <c r="N14" s="18">
        <v>-298</v>
      </c>
      <c r="O14" s="19">
        <v>-0.0855</v>
      </c>
      <c r="P14" s="20" t="s">
        <v>67</v>
      </c>
      <c r="Q14" s="22" t="s">
        <v>269</v>
      </c>
      <c r="R14" s="18">
        <v>5022</v>
      </c>
      <c r="S14" s="19">
        <v>1.504</v>
      </c>
      <c r="T14" s="18">
        <v>170697.78</v>
      </c>
      <c r="U14" s="23" t="s">
        <v>270</v>
      </c>
      <c r="V14" s="18">
        <v>6798</v>
      </c>
      <c r="W14" s="24">
        <v>59</v>
      </c>
      <c r="X14" s="25">
        <v>33.99</v>
      </c>
      <c r="Z14" s="23" t="s">
        <v>271</v>
      </c>
      <c r="AB14" s="24">
        <v>53</v>
      </c>
      <c r="AC14" s="18">
        <v>22</v>
      </c>
      <c r="AD14" s="28">
        <v>4.6</v>
      </c>
      <c r="AE14" s="29">
        <v>0.0044</v>
      </c>
      <c r="AF14" s="25">
        <v>6.53</v>
      </c>
      <c r="AG14" s="19">
        <v>0.6079</v>
      </c>
      <c r="AI14" s="1" t="s">
        <v>272</v>
      </c>
      <c r="AJ14" s="24">
        <v>131</v>
      </c>
      <c r="AK14" s="1" t="s">
        <v>71</v>
      </c>
      <c r="AL14" s="24">
        <v>10</v>
      </c>
      <c r="AM14" s="24">
        <v>1</v>
      </c>
      <c r="AN14" s="15" t="s">
        <v>263</v>
      </c>
      <c r="AO14" s="1" t="s">
        <v>71</v>
      </c>
      <c r="AP14" s="1" t="s">
        <v>73</v>
      </c>
      <c r="AQ14" s="15" t="s">
        <v>273</v>
      </c>
      <c r="AR14" s="1" t="s">
        <v>274</v>
      </c>
      <c r="AS14" s="1" t="s">
        <v>77</v>
      </c>
      <c r="AT14" s="1" t="s">
        <v>77</v>
      </c>
      <c r="AU14" s="1" t="s">
        <v>76</v>
      </c>
      <c r="AV14" s="1" t="s">
        <v>76</v>
      </c>
      <c r="AW14" s="1" t="s">
        <v>76</v>
      </c>
      <c r="AX14" s="1" t="s">
        <v>77</v>
      </c>
      <c r="AY14" s="1" t="s">
        <v>76</v>
      </c>
      <c r="AZ14" s="1" t="s">
        <v>77</v>
      </c>
      <c r="BA14" s="15" t="s">
        <v>77</v>
      </c>
      <c r="BC14" s="23" t="s">
        <v>275</v>
      </c>
      <c r="BD14" s="23" t="s">
        <v>276</v>
      </c>
      <c r="BE14" s="23" t="s">
        <v>277</v>
      </c>
      <c r="BF14" s="1" t="s">
        <v>278</v>
      </c>
    </row>
    <row r="15" ht="24" customHeight="1" spans="1:58">
      <c r="A15" s="1" t="str">
        <f>_xlfn.DISPIMG("ID_350893B233E54119BE48FB39FBBB26D2",1)</f>
        <v>=DISPIMG("ID_350893B233E54119BE48FB39FBBB26D2",1)</v>
      </c>
      <c r="B15" s="15" t="s">
        <v>279</v>
      </c>
      <c r="C15" s="15" t="s">
        <v>83</v>
      </c>
      <c r="D15" s="15" t="s">
        <v>280</v>
      </c>
      <c r="E15" s="15" t="s">
        <v>211</v>
      </c>
      <c r="F15" s="15" t="s">
        <v>212</v>
      </c>
      <c r="G15" s="15" t="s">
        <v>281</v>
      </c>
      <c r="H15" s="15" t="s">
        <v>282</v>
      </c>
      <c r="I15" s="15" t="s">
        <v>283</v>
      </c>
      <c r="J15" s="15" t="s">
        <v>284</v>
      </c>
      <c r="K15" s="15" t="s">
        <v>65</v>
      </c>
      <c r="L15" s="15" t="s">
        <v>66</v>
      </c>
      <c r="M15" s="18">
        <v>3310</v>
      </c>
      <c r="N15" s="18">
        <v>-746</v>
      </c>
      <c r="O15" s="19">
        <v>-0.291</v>
      </c>
      <c r="P15" s="20" t="s">
        <v>67</v>
      </c>
      <c r="Q15" s="22" t="s">
        <v>285</v>
      </c>
      <c r="R15" s="18">
        <v>9948</v>
      </c>
      <c r="S15" s="19">
        <v>0.6132</v>
      </c>
      <c r="T15" s="18">
        <v>427664.53</v>
      </c>
      <c r="U15" s="23" t="s">
        <v>69</v>
      </c>
      <c r="V15" s="18">
        <v>42990</v>
      </c>
      <c r="W15" s="24">
        <v>72</v>
      </c>
      <c r="X15" s="25">
        <v>42.99</v>
      </c>
      <c r="Z15" s="8"/>
      <c r="AA15" s="18">
        <v>4</v>
      </c>
      <c r="AB15" s="24">
        <v>861</v>
      </c>
      <c r="AC15" s="18">
        <v>139</v>
      </c>
      <c r="AD15" s="28">
        <v>4.3</v>
      </c>
      <c r="AE15" s="29">
        <v>0.014</v>
      </c>
      <c r="AF15" s="25">
        <v>7.75</v>
      </c>
      <c r="AG15" s="19">
        <v>0.6197</v>
      </c>
      <c r="AI15" s="1" t="s">
        <v>286</v>
      </c>
      <c r="AJ15" s="24">
        <v>418</v>
      </c>
      <c r="AK15" s="1" t="s">
        <v>71</v>
      </c>
      <c r="AL15" s="24">
        <v>9</v>
      </c>
      <c r="AM15" s="24">
        <v>1</v>
      </c>
      <c r="AN15" s="15" t="s">
        <v>211</v>
      </c>
      <c r="AO15" s="1" t="s">
        <v>71</v>
      </c>
      <c r="AP15" s="1" t="s">
        <v>73</v>
      </c>
      <c r="AQ15" s="15" t="s">
        <v>219</v>
      </c>
      <c r="AR15" s="1" t="s">
        <v>220</v>
      </c>
      <c r="AS15" s="1" t="s">
        <v>77</v>
      </c>
      <c r="AT15" s="1" t="s">
        <v>77</v>
      </c>
      <c r="AU15" s="1" t="s">
        <v>77</v>
      </c>
      <c r="AV15" s="1" t="s">
        <v>76</v>
      </c>
      <c r="AW15" s="1" t="s">
        <v>76</v>
      </c>
      <c r="AX15" s="1" t="s">
        <v>77</v>
      </c>
      <c r="AY15" s="1" t="s">
        <v>76</v>
      </c>
      <c r="AZ15" s="1" t="s">
        <v>77</v>
      </c>
      <c r="BA15" s="15" t="s">
        <v>77</v>
      </c>
      <c r="BC15" s="23" t="s">
        <v>221</v>
      </c>
      <c r="BD15" s="23" t="s">
        <v>222</v>
      </c>
      <c r="BE15" s="23" t="s">
        <v>223</v>
      </c>
      <c r="BF15" s="1" t="s">
        <v>224</v>
      </c>
    </row>
    <row r="16" ht="24" customHeight="1" spans="1:58">
      <c r="A16" s="1" t="str">
        <f>_xlfn.DISPIMG("ID_2DDC1B823D454E038D182DD3D2A568F7",1)</f>
        <v>=DISPIMG("ID_2DDC1B823D454E038D182DD3D2A568F7",1)</v>
      </c>
      <c r="B16" s="15" t="s">
        <v>287</v>
      </c>
      <c r="C16" s="15" t="s">
        <v>288</v>
      </c>
      <c r="D16" s="15" t="s">
        <v>289</v>
      </c>
      <c r="E16" s="15" t="s">
        <v>290</v>
      </c>
      <c r="F16" s="15" t="s">
        <v>291</v>
      </c>
      <c r="G16" s="15" t="s">
        <v>292</v>
      </c>
      <c r="H16" s="15" t="s">
        <v>293</v>
      </c>
      <c r="I16" s="15" t="s">
        <v>294</v>
      </c>
      <c r="J16" s="15" t="s">
        <v>295</v>
      </c>
      <c r="K16" s="15" t="s">
        <v>65</v>
      </c>
      <c r="L16" s="15" t="s">
        <v>66</v>
      </c>
      <c r="M16" s="18">
        <v>3657</v>
      </c>
      <c r="N16" s="18">
        <v>-1012</v>
      </c>
      <c r="O16" s="19">
        <v>-0.395</v>
      </c>
      <c r="P16" s="20" t="s">
        <v>67</v>
      </c>
      <c r="Q16" s="22" t="s">
        <v>296</v>
      </c>
      <c r="R16" s="18">
        <v>6846</v>
      </c>
      <c r="S16" s="19">
        <v>2.5071</v>
      </c>
      <c r="T16" s="18">
        <v>273771.56</v>
      </c>
      <c r="U16" s="23" t="s">
        <v>182</v>
      </c>
      <c r="V16" s="18">
        <v>15996</v>
      </c>
      <c r="W16" s="24">
        <v>146</v>
      </c>
      <c r="X16" s="25">
        <v>39.99</v>
      </c>
      <c r="Z16" s="8"/>
      <c r="AA16" s="18">
        <v>63</v>
      </c>
      <c r="AB16" s="24">
        <v>6067</v>
      </c>
      <c r="AC16" s="18">
        <v>113</v>
      </c>
      <c r="AD16" s="28">
        <v>4.1</v>
      </c>
      <c r="AE16" s="29">
        <v>0.0165</v>
      </c>
      <c r="AF16" s="25">
        <v>7.85</v>
      </c>
      <c r="AG16" s="19">
        <v>0.6037</v>
      </c>
      <c r="AI16" s="1" t="s">
        <v>297</v>
      </c>
      <c r="AJ16" s="24">
        <v>2187</v>
      </c>
      <c r="AK16" s="1" t="s">
        <v>71</v>
      </c>
      <c r="AL16" s="24">
        <v>8.1</v>
      </c>
      <c r="AM16" s="24">
        <v>1</v>
      </c>
      <c r="AN16" s="15" t="s">
        <v>298</v>
      </c>
      <c r="AO16" s="1" t="s">
        <v>71</v>
      </c>
      <c r="AP16" s="1" t="s">
        <v>73</v>
      </c>
      <c r="AQ16" s="15" t="s">
        <v>299</v>
      </c>
      <c r="AR16" s="1" t="s">
        <v>300</v>
      </c>
      <c r="AS16" s="1" t="s">
        <v>77</v>
      </c>
      <c r="AT16" s="1" t="s">
        <v>76</v>
      </c>
      <c r="AU16" s="1" t="s">
        <v>77</v>
      </c>
      <c r="AV16" s="1" t="s">
        <v>76</v>
      </c>
      <c r="AW16" s="1" t="s">
        <v>76</v>
      </c>
      <c r="AX16" s="1" t="s">
        <v>77</v>
      </c>
      <c r="AY16" s="1" t="s">
        <v>76</v>
      </c>
      <c r="AZ16" s="1" t="s">
        <v>77</v>
      </c>
      <c r="BA16" s="15" t="s">
        <v>77</v>
      </c>
      <c r="BB16" s="23" t="s">
        <v>77</v>
      </c>
      <c r="BC16" s="23" t="s">
        <v>301</v>
      </c>
      <c r="BD16" s="23" t="s">
        <v>302</v>
      </c>
      <c r="BE16" s="23" t="s">
        <v>303</v>
      </c>
      <c r="BF16" s="1" t="s">
        <v>304</v>
      </c>
    </row>
    <row r="17" ht="24" customHeight="1" spans="1:58">
      <c r="A17" s="1" t="str">
        <f>_xlfn.DISPIMG("ID_B24B58BCE6544D14AC8E7EEAA0DEECA6",1)</f>
        <v>=DISPIMG("ID_B24B58BCE6544D14AC8E7EEAA0DEECA6",1)</v>
      </c>
      <c r="B17" s="15" t="s">
        <v>305</v>
      </c>
      <c r="C17" s="15" t="s">
        <v>306</v>
      </c>
      <c r="D17" s="15" t="s">
        <v>307</v>
      </c>
      <c r="E17" s="15" t="s">
        <v>308</v>
      </c>
      <c r="F17" s="15" t="s">
        <v>309</v>
      </c>
      <c r="G17" s="15" t="s">
        <v>310</v>
      </c>
      <c r="H17" s="15" t="s">
        <v>311</v>
      </c>
      <c r="I17" s="15" t="s">
        <v>312</v>
      </c>
      <c r="J17" s="15" t="s">
        <v>313</v>
      </c>
      <c r="K17" s="15" t="s">
        <v>65</v>
      </c>
      <c r="L17" s="15" t="s">
        <v>66</v>
      </c>
      <c r="M17" s="18">
        <v>4786</v>
      </c>
      <c r="N17" s="18">
        <v>2199</v>
      </c>
      <c r="O17" s="19">
        <v>0.2958</v>
      </c>
      <c r="P17" s="20" t="s">
        <v>67</v>
      </c>
      <c r="Q17" s="22" t="s">
        <v>314</v>
      </c>
      <c r="R17" s="18">
        <v>3847</v>
      </c>
      <c r="S17" s="19">
        <v>3.8205</v>
      </c>
      <c r="T17" s="18">
        <v>76901.53</v>
      </c>
      <c r="U17" s="23" t="s">
        <v>245</v>
      </c>
      <c r="V17" s="18">
        <v>1999</v>
      </c>
      <c r="W17" s="24">
        <v>87</v>
      </c>
      <c r="X17" s="25">
        <v>19.99</v>
      </c>
      <c r="Z17" s="8"/>
      <c r="AB17" s="24">
        <v>50</v>
      </c>
      <c r="AC17" s="18">
        <v>25</v>
      </c>
      <c r="AD17" s="28">
        <v>4.2</v>
      </c>
      <c r="AE17" s="29">
        <v>0.0065</v>
      </c>
      <c r="AF17" s="25">
        <v>7.27</v>
      </c>
      <c r="AG17" s="19">
        <v>0.4363</v>
      </c>
      <c r="AI17" s="1" t="s">
        <v>315</v>
      </c>
      <c r="AJ17" s="24">
        <v>128</v>
      </c>
      <c r="AK17" s="1" t="s">
        <v>71</v>
      </c>
      <c r="AL17" s="24">
        <v>9.9</v>
      </c>
      <c r="AM17" s="24">
        <v>1</v>
      </c>
      <c r="AN17" s="15" t="s">
        <v>308</v>
      </c>
      <c r="AO17" s="1" t="s">
        <v>71</v>
      </c>
      <c r="AP17" s="1" t="s">
        <v>73</v>
      </c>
      <c r="AQ17" s="15" t="s">
        <v>316</v>
      </c>
      <c r="AR17" s="1" t="s">
        <v>317</v>
      </c>
      <c r="AS17" s="1" t="s">
        <v>77</v>
      </c>
      <c r="AT17" s="1" t="s">
        <v>77</v>
      </c>
      <c r="AU17" s="1" t="s">
        <v>77</v>
      </c>
      <c r="AV17" s="1" t="s">
        <v>76</v>
      </c>
      <c r="AW17" s="1" t="s">
        <v>76</v>
      </c>
      <c r="AX17" s="1" t="s">
        <v>77</v>
      </c>
      <c r="AY17" s="1" t="s">
        <v>77</v>
      </c>
      <c r="AZ17" s="1" t="s">
        <v>77</v>
      </c>
      <c r="BA17" s="15" t="s">
        <v>77</v>
      </c>
      <c r="BC17" s="23" t="s">
        <v>318</v>
      </c>
      <c r="BD17" s="23" t="s">
        <v>319</v>
      </c>
      <c r="BE17" s="23" t="s">
        <v>320</v>
      </c>
      <c r="BF17" s="1" t="s">
        <v>321</v>
      </c>
    </row>
    <row r="18" ht="24" customHeight="1" spans="1:58">
      <c r="A18" s="1" t="str">
        <f>_xlfn.DISPIMG("ID_4339F78E0F5742BBB03C2C3205B4D8A2",1)</f>
        <v>=DISPIMG("ID_4339F78E0F5742BBB03C2C3205B4D8A2",1)</v>
      </c>
      <c r="B18" s="15" t="s">
        <v>322</v>
      </c>
      <c r="C18" s="15" t="s">
        <v>323</v>
      </c>
      <c r="D18" s="15" t="s">
        <v>324</v>
      </c>
      <c r="E18" s="15" t="s">
        <v>325</v>
      </c>
      <c r="F18" s="15" t="s">
        <v>326</v>
      </c>
      <c r="G18" s="15" t="s">
        <v>327</v>
      </c>
      <c r="H18" s="15" t="s">
        <v>328</v>
      </c>
      <c r="I18" s="15" t="s">
        <v>329</v>
      </c>
      <c r="J18" s="15" t="s">
        <v>330</v>
      </c>
      <c r="K18" s="15" t="s">
        <v>65</v>
      </c>
      <c r="L18" s="15" t="s">
        <v>66</v>
      </c>
      <c r="M18" s="18">
        <v>3768</v>
      </c>
      <c r="N18" s="18">
        <v>3952</v>
      </c>
      <c r="O18" s="19">
        <v>0.5043</v>
      </c>
      <c r="P18" s="20" t="s">
        <v>67</v>
      </c>
      <c r="Q18" s="22" t="s">
        <v>331</v>
      </c>
      <c r="R18" s="18">
        <v>5966</v>
      </c>
      <c r="S18" s="19">
        <v>0.3758</v>
      </c>
      <c r="T18" s="18">
        <v>238520.67</v>
      </c>
      <c r="U18" s="23" t="s">
        <v>332</v>
      </c>
      <c r="V18" s="18">
        <v>11994</v>
      </c>
      <c r="W18" s="24">
        <v>63</v>
      </c>
      <c r="X18" s="25">
        <v>39.98</v>
      </c>
      <c r="Z18" s="8"/>
      <c r="AA18" s="18">
        <v>4</v>
      </c>
      <c r="AB18" s="24">
        <v>434</v>
      </c>
      <c r="AC18" s="18">
        <v>37</v>
      </c>
      <c r="AD18" s="28">
        <v>4</v>
      </c>
      <c r="AE18" s="29">
        <v>0.0062</v>
      </c>
      <c r="AF18" s="25">
        <v>7.04</v>
      </c>
      <c r="AG18" s="19">
        <v>0.6239</v>
      </c>
      <c r="AI18" s="1" t="s">
        <v>333</v>
      </c>
      <c r="AJ18" s="24">
        <v>527</v>
      </c>
      <c r="AK18" s="1" t="s">
        <v>71</v>
      </c>
      <c r="AL18" s="24">
        <v>9.6</v>
      </c>
      <c r="AM18" s="24">
        <v>1</v>
      </c>
      <c r="AN18" s="15" t="s">
        <v>334</v>
      </c>
      <c r="AO18" s="1" t="s">
        <v>71</v>
      </c>
      <c r="AP18" s="1" t="s">
        <v>73</v>
      </c>
      <c r="AQ18" s="15" t="s">
        <v>335</v>
      </c>
      <c r="AR18" s="1" t="s">
        <v>336</v>
      </c>
      <c r="AS18" s="1" t="s">
        <v>77</v>
      </c>
      <c r="AT18" s="1" t="s">
        <v>77</v>
      </c>
      <c r="AU18" s="1" t="s">
        <v>77</v>
      </c>
      <c r="AV18" s="1" t="s">
        <v>76</v>
      </c>
      <c r="AW18" s="1" t="s">
        <v>76</v>
      </c>
      <c r="AX18" s="1" t="s">
        <v>77</v>
      </c>
      <c r="AY18" s="1" t="s">
        <v>77</v>
      </c>
      <c r="AZ18" s="1" t="s">
        <v>77</v>
      </c>
      <c r="BA18" s="15" t="s">
        <v>77</v>
      </c>
      <c r="BC18" s="23" t="s">
        <v>116</v>
      </c>
      <c r="BD18" s="23" t="s">
        <v>117</v>
      </c>
      <c r="BE18" s="23" t="s">
        <v>337</v>
      </c>
      <c r="BF18" s="1" t="s">
        <v>338</v>
      </c>
    </row>
    <row r="19" ht="24" customHeight="1" spans="1:58">
      <c r="A19" s="1" t="str">
        <f>_xlfn.DISPIMG("ID_7962F616F2CC4BE291A0FBABBE1186D3",1)</f>
        <v>=DISPIMG("ID_7962F616F2CC4BE291A0FBABBE1186D3",1)</v>
      </c>
      <c r="B19" s="15" t="s">
        <v>339</v>
      </c>
      <c r="C19" s="15" t="s">
        <v>340</v>
      </c>
      <c r="D19" s="15" t="s">
        <v>341</v>
      </c>
      <c r="E19" s="15" t="s">
        <v>342</v>
      </c>
      <c r="F19" s="15" t="s">
        <v>343</v>
      </c>
      <c r="G19" s="15" t="s">
        <v>344</v>
      </c>
      <c r="H19" s="15" t="s">
        <v>345</v>
      </c>
      <c r="I19" s="15" t="s">
        <v>346</v>
      </c>
      <c r="J19" s="15" t="s">
        <v>347</v>
      </c>
      <c r="K19" s="15" t="s">
        <v>65</v>
      </c>
      <c r="L19" s="15" t="s">
        <v>66</v>
      </c>
      <c r="M19" s="18">
        <v>19455</v>
      </c>
      <c r="N19" s="18">
        <v>5065</v>
      </c>
      <c r="O19" s="19">
        <v>0.1942</v>
      </c>
      <c r="P19" s="20" t="s">
        <v>67</v>
      </c>
      <c r="Q19" s="22" t="s">
        <v>348</v>
      </c>
      <c r="R19" s="18">
        <v>2313</v>
      </c>
      <c r="S19" s="19">
        <v>0.8184</v>
      </c>
      <c r="T19" s="18">
        <v>122473.35</v>
      </c>
      <c r="U19" s="23" t="s">
        <v>245</v>
      </c>
      <c r="V19" s="18">
        <v>5295</v>
      </c>
      <c r="W19" s="24">
        <v>55</v>
      </c>
      <c r="X19" s="25">
        <v>52.95</v>
      </c>
      <c r="Z19" s="8"/>
      <c r="AB19" s="24">
        <v>23</v>
      </c>
      <c r="AC19" s="18">
        <v>18</v>
      </c>
      <c r="AD19" s="28">
        <v>4.4</v>
      </c>
      <c r="AE19" s="29">
        <v>0.0078</v>
      </c>
      <c r="AF19" s="25">
        <v>7.91</v>
      </c>
      <c r="AG19" s="19">
        <v>0.6506</v>
      </c>
      <c r="AI19" s="1" t="s">
        <v>349</v>
      </c>
      <c r="AJ19" s="24">
        <v>85</v>
      </c>
      <c r="AK19" s="1" t="s">
        <v>71</v>
      </c>
      <c r="AL19" s="24">
        <v>10</v>
      </c>
      <c r="AM19" s="24">
        <v>1</v>
      </c>
      <c r="AN19" s="15" t="s">
        <v>350</v>
      </c>
      <c r="AO19" s="1" t="s">
        <v>71</v>
      </c>
      <c r="AP19" s="1" t="s">
        <v>73</v>
      </c>
      <c r="AQ19" s="15" t="s">
        <v>351</v>
      </c>
      <c r="AR19" s="1" t="s">
        <v>352</v>
      </c>
      <c r="AS19" s="1" t="s">
        <v>77</v>
      </c>
      <c r="AT19" s="1" t="s">
        <v>77</v>
      </c>
      <c r="AU19" s="1" t="s">
        <v>76</v>
      </c>
      <c r="AV19" s="1" t="s">
        <v>76</v>
      </c>
      <c r="AW19" s="1" t="s">
        <v>77</v>
      </c>
      <c r="AX19" s="1" t="s">
        <v>77</v>
      </c>
      <c r="AY19" s="1" t="s">
        <v>76</v>
      </c>
      <c r="AZ19" s="1" t="s">
        <v>77</v>
      </c>
      <c r="BA19" s="15" t="s">
        <v>77</v>
      </c>
      <c r="BC19" s="23" t="s">
        <v>353</v>
      </c>
      <c r="BD19" s="23" t="s">
        <v>354</v>
      </c>
      <c r="BE19" s="23" t="s">
        <v>355</v>
      </c>
      <c r="BF19" s="1" t="s">
        <v>356</v>
      </c>
    </row>
    <row r="20" ht="24" customHeight="1" spans="1:58">
      <c r="A20" s="1" t="str">
        <f>_xlfn.DISPIMG("ID_15C2BC85865A4D709A0462C2CC95BA8E",1)</f>
        <v>=DISPIMG("ID_15C2BC85865A4D709A0462C2CC95BA8E",1)</v>
      </c>
      <c r="B20" s="15" t="s">
        <v>357</v>
      </c>
      <c r="C20" s="15" t="s">
        <v>209</v>
      </c>
      <c r="D20" s="15" t="s">
        <v>239</v>
      </c>
      <c r="E20" s="15" t="s">
        <v>85</v>
      </c>
      <c r="F20" s="15" t="s">
        <v>86</v>
      </c>
      <c r="G20" s="15" t="s">
        <v>358</v>
      </c>
      <c r="H20" s="15" t="s">
        <v>359</v>
      </c>
      <c r="I20" s="15" t="s">
        <v>360</v>
      </c>
      <c r="J20" s="15" t="s">
        <v>361</v>
      </c>
      <c r="K20" s="15" t="s">
        <v>65</v>
      </c>
      <c r="L20" s="15" t="s">
        <v>66</v>
      </c>
      <c r="M20" s="18">
        <v>4744</v>
      </c>
      <c r="N20" s="18">
        <v>26363</v>
      </c>
      <c r="O20" s="19">
        <v>0.8439</v>
      </c>
      <c r="P20" s="20" t="s">
        <v>67</v>
      </c>
      <c r="Q20" s="22" t="s">
        <v>362</v>
      </c>
      <c r="R20" s="18">
        <v>2943</v>
      </c>
      <c r="S20" s="19">
        <v>0.3147</v>
      </c>
      <c r="T20" s="18">
        <v>126490.14</v>
      </c>
      <c r="U20" s="23" t="s">
        <v>245</v>
      </c>
      <c r="V20" s="18">
        <v>4298</v>
      </c>
      <c r="W20" s="24">
        <v>95</v>
      </c>
      <c r="X20" s="25">
        <v>42.98</v>
      </c>
      <c r="Z20" s="23" t="s">
        <v>93</v>
      </c>
      <c r="AA20" s="18">
        <v>4</v>
      </c>
      <c r="AB20" s="24">
        <v>432</v>
      </c>
      <c r="AC20" s="18">
        <v>23</v>
      </c>
      <c r="AD20" s="28">
        <v>4.1</v>
      </c>
      <c r="AE20" s="29">
        <v>0.0078</v>
      </c>
      <c r="AF20" s="25">
        <v>8.23</v>
      </c>
      <c r="AG20" s="19">
        <v>0.6085</v>
      </c>
      <c r="AI20" s="1" t="s">
        <v>363</v>
      </c>
      <c r="AJ20" s="24">
        <v>502</v>
      </c>
      <c r="AK20" s="1" t="s">
        <v>71</v>
      </c>
      <c r="AL20" s="24">
        <v>10</v>
      </c>
      <c r="AM20" s="24">
        <v>1</v>
      </c>
      <c r="AN20" s="15" t="s">
        <v>85</v>
      </c>
      <c r="AO20" s="1" t="s">
        <v>71</v>
      </c>
      <c r="AP20" s="1" t="s">
        <v>73</v>
      </c>
      <c r="AQ20" s="15" t="s">
        <v>95</v>
      </c>
      <c r="AR20" s="1" t="s">
        <v>96</v>
      </c>
      <c r="AS20" s="1" t="s">
        <v>77</v>
      </c>
      <c r="AT20" s="1" t="s">
        <v>76</v>
      </c>
      <c r="AU20" s="1" t="s">
        <v>77</v>
      </c>
      <c r="AV20" s="1" t="s">
        <v>76</v>
      </c>
      <c r="AW20" s="1" t="s">
        <v>76</v>
      </c>
      <c r="AX20" s="1" t="s">
        <v>77</v>
      </c>
      <c r="AY20" s="1" t="s">
        <v>76</v>
      </c>
      <c r="AZ20" s="1" t="s">
        <v>77</v>
      </c>
      <c r="BA20" s="15" t="s">
        <v>76</v>
      </c>
      <c r="BB20" s="23" t="s">
        <v>77</v>
      </c>
      <c r="BC20" s="23" t="s">
        <v>364</v>
      </c>
      <c r="BD20" s="23" t="s">
        <v>365</v>
      </c>
      <c r="BE20" s="23" t="s">
        <v>366</v>
      </c>
      <c r="BF20" s="1" t="s">
        <v>367</v>
      </c>
    </row>
    <row r="21" ht="24" customHeight="1" spans="1:58">
      <c r="A21" s="1" t="str">
        <f>_xlfn.DISPIMG("ID_B37207925BCD420F8361BAB59617C3CD",1)</f>
        <v>=DISPIMG("ID_B37207925BCD420F8361BAB59617C3CD",1)</v>
      </c>
      <c r="B21" s="15" t="s">
        <v>368</v>
      </c>
      <c r="C21" s="15" t="s">
        <v>369</v>
      </c>
      <c r="D21" s="15" t="s">
        <v>370</v>
      </c>
      <c r="E21" s="15" t="s">
        <v>308</v>
      </c>
      <c r="F21" s="15" t="s">
        <v>309</v>
      </c>
      <c r="G21" s="15" t="s">
        <v>371</v>
      </c>
      <c r="H21" s="15" t="s">
        <v>372</v>
      </c>
      <c r="I21" s="15" t="s">
        <v>373</v>
      </c>
      <c r="J21" s="15" t="s">
        <v>374</v>
      </c>
      <c r="K21" s="15" t="s">
        <v>65</v>
      </c>
      <c r="L21" s="15" t="s">
        <v>66</v>
      </c>
      <c r="M21" s="18">
        <v>4755</v>
      </c>
      <c r="N21" s="18">
        <v>381</v>
      </c>
      <c r="O21" s="19">
        <v>0.0734</v>
      </c>
      <c r="P21" s="20" t="s">
        <v>67</v>
      </c>
      <c r="Q21" s="22" t="s">
        <v>375</v>
      </c>
      <c r="R21" s="18">
        <v>5658</v>
      </c>
      <c r="S21" s="19">
        <v>1.4183</v>
      </c>
      <c r="T21" s="18">
        <v>220605.42</v>
      </c>
      <c r="U21" s="23" t="s">
        <v>245</v>
      </c>
      <c r="V21" s="18">
        <v>1949.5</v>
      </c>
      <c r="W21" s="24">
        <v>126</v>
      </c>
      <c r="X21" s="25">
        <v>38.99</v>
      </c>
      <c r="Z21" s="8"/>
      <c r="AA21" s="18">
        <v>54</v>
      </c>
      <c r="AB21" s="24">
        <v>8880</v>
      </c>
      <c r="AC21" s="18">
        <v>0</v>
      </c>
      <c r="AD21" s="28">
        <v>4.3</v>
      </c>
      <c r="AE21" s="29">
        <v>0</v>
      </c>
      <c r="AF21" s="25">
        <v>7.02</v>
      </c>
      <c r="AG21" s="19">
        <v>0.62</v>
      </c>
      <c r="AI21" s="1" t="s">
        <v>376</v>
      </c>
      <c r="AJ21" s="24">
        <v>120</v>
      </c>
      <c r="AK21" s="1" t="s">
        <v>71</v>
      </c>
      <c r="AL21" s="24">
        <v>9.3</v>
      </c>
      <c r="AM21" s="24">
        <v>1</v>
      </c>
      <c r="AN21" s="15" t="s">
        <v>308</v>
      </c>
      <c r="AO21" s="1" t="s">
        <v>71</v>
      </c>
      <c r="AP21" s="1" t="s">
        <v>73</v>
      </c>
      <c r="AQ21" s="15" t="s">
        <v>316</v>
      </c>
      <c r="AR21" s="1" t="s">
        <v>317</v>
      </c>
      <c r="AS21" s="1" t="s">
        <v>77</v>
      </c>
      <c r="AT21" s="1" t="s">
        <v>76</v>
      </c>
      <c r="AU21" s="1" t="s">
        <v>77</v>
      </c>
      <c r="AV21" s="1" t="s">
        <v>76</v>
      </c>
      <c r="AW21" s="1" t="s">
        <v>76</v>
      </c>
      <c r="AX21" s="1" t="s">
        <v>77</v>
      </c>
      <c r="AY21" s="1" t="s">
        <v>76</v>
      </c>
      <c r="AZ21" s="1" t="s">
        <v>77</v>
      </c>
      <c r="BA21" s="15" t="s">
        <v>77</v>
      </c>
      <c r="BB21" s="23" t="s">
        <v>77</v>
      </c>
      <c r="BC21" s="23" t="s">
        <v>377</v>
      </c>
      <c r="BD21" s="23" t="s">
        <v>378</v>
      </c>
      <c r="BE21" s="23" t="s">
        <v>379</v>
      </c>
      <c r="BF21" s="1" t="s">
        <v>380</v>
      </c>
    </row>
    <row r="22" ht="24" customHeight="1" spans="1:58">
      <c r="A22" s="1" t="str">
        <f>_xlfn.DISPIMG("ID_7EC23E60FCCC470A9F3502AF991C8B5C",1)</f>
        <v>=DISPIMG("ID_7EC23E60FCCC470A9F3502AF991C8B5C",1)</v>
      </c>
      <c r="B22" s="15" t="s">
        <v>381</v>
      </c>
      <c r="C22" s="15" t="s">
        <v>382</v>
      </c>
      <c r="D22" s="15" t="s">
        <v>383</v>
      </c>
      <c r="E22" s="15" t="s">
        <v>384</v>
      </c>
      <c r="F22" s="15" t="s">
        <v>385</v>
      </c>
      <c r="G22" s="15" t="s">
        <v>386</v>
      </c>
      <c r="H22" s="15" t="s">
        <v>387</v>
      </c>
      <c r="I22" s="15" t="s">
        <v>388</v>
      </c>
      <c r="J22" s="15" t="s">
        <v>389</v>
      </c>
      <c r="K22" s="15" t="s">
        <v>65</v>
      </c>
      <c r="L22" s="15" t="s">
        <v>66</v>
      </c>
      <c r="M22" s="18">
        <v>4998</v>
      </c>
      <c r="N22" s="18">
        <v>66</v>
      </c>
      <c r="O22" s="19">
        <v>0.0148</v>
      </c>
      <c r="P22" s="20" t="s">
        <v>67</v>
      </c>
      <c r="Q22" s="22" t="s">
        <v>390</v>
      </c>
      <c r="R22" s="18">
        <v>9289</v>
      </c>
      <c r="S22" s="19">
        <v>0.1861</v>
      </c>
      <c r="T22" s="18">
        <v>445779.12</v>
      </c>
      <c r="U22" s="23" t="s">
        <v>69</v>
      </c>
      <c r="V22" s="18">
        <v>47990</v>
      </c>
      <c r="W22" s="24">
        <v>79</v>
      </c>
      <c r="X22" s="25">
        <v>46.99</v>
      </c>
      <c r="Z22" s="8"/>
      <c r="AB22" s="24">
        <v>267</v>
      </c>
      <c r="AC22" s="18">
        <v>136</v>
      </c>
      <c r="AD22" s="28">
        <v>4.5</v>
      </c>
      <c r="AE22" s="29">
        <v>0.0146</v>
      </c>
      <c r="AF22" s="25">
        <v>7.91</v>
      </c>
      <c r="AG22" s="19">
        <v>0.6352</v>
      </c>
      <c r="AI22" s="1" t="s">
        <v>391</v>
      </c>
      <c r="AJ22" s="24">
        <v>109</v>
      </c>
      <c r="AK22" s="1" t="s">
        <v>71</v>
      </c>
      <c r="AL22" s="24">
        <v>9</v>
      </c>
      <c r="AM22" s="24">
        <v>1</v>
      </c>
      <c r="AN22" s="15" t="s">
        <v>384</v>
      </c>
      <c r="AO22" s="1" t="s">
        <v>71</v>
      </c>
      <c r="AP22" s="1" t="s">
        <v>73</v>
      </c>
      <c r="AQ22" s="15" t="s">
        <v>392</v>
      </c>
      <c r="AR22" s="1" t="s">
        <v>393</v>
      </c>
      <c r="AS22" s="1" t="s">
        <v>77</v>
      </c>
      <c r="AT22" s="1" t="s">
        <v>77</v>
      </c>
      <c r="AU22" s="1" t="s">
        <v>77</v>
      </c>
      <c r="AV22" s="1" t="s">
        <v>76</v>
      </c>
      <c r="AW22" s="1" t="s">
        <v>76</v>
      </c>
      <c r="AX22" s="1" t="s">
        <v>77</v>
      </c>
      <c r="AY22" s="1" t="s">
        <v>76</v>
      </c>
      <c r="AZ22" s="1" t="s">
        <v>77</v>
      </c>
      <c r="BA22" s="15" t="s">
        <v>77</v>
      </c>
      <c r="BC22" s="23" t="s">
        <v>394</v>
      </c>
      <c r="BD22" s="23" t="s">
        <v>395</v>
      </c>
      <c r="BE22" s="23" t="s">
        <v>396</v>
      </c>
      <c r="BF22" s="1" t="s">
        <v>397</v>
      </c>
    </row>
    <row r="23" ht="24" customHeight="1" spans="1:58">
      <c r="A23" s="1" t="str">
        <f>_xlfn.DISPIMG("ID_6FDBA9B1541B49AD847967B0EB94F52A",1)</f>
        <v>=DISPIMG("ID_6FDBA9B1541B49AD847967B0EB94F52A",1)</v>
      </c>
      <c r="B23" s="15" t="s">
        <v>398</v>
      </c>
      <c r="C23" s="15" t="s">
        <v>399</v>
      </c>
      <c r="D23" s="15" t="s">
        <v>307</v>
      </c>
      <c r="E23" s="15" t="s">
        <v>211</v>
      </c>
      <c r="F23" s="15" t="s">
        <v>212</v>
      </c>
      <c r="G23" s="15" t="s">
        <v>400</v>
      </c>
      <c r="H23" s="15" t="s">
        <v>401</v>
      </c>
      <c r="I23" s="15" t="s">
        <v>402</v>
      </c>
      <c r="J23" s="15" t="s">
        <v>403</v>
      </c>
      <c r="K23" s="15" t="s">
        <v>65</v>
      </c>
      <c r="L23" s="15" t="s">
        <v>66</v>
      </c>
      <c r="M23" s="18">
        <v>8850</v>
      </c>
      <c r="N23" s="18">
        <v>1607</v>
      </c>
      <c r="O23" s="19">
        <v>0.1188</v>
      </c>
      <c r="P23" s="20" t="s">
        <v>67</v>
      </c>
      <c r="Q23" s="22" t="s">
        <v>404</v>
      </c>
      <c r="R23" s="18">
        <v>3052</v>
      </c>
      <c r="S23" s="19">
        <v>0.2527</v>
      </c>
      <c r="T23" s="18">
        <v>118997.484</v>
      </c>
      <c r="U23" s="23" t="s">
        <v>245</v>
      </c>
      <c r="V23" s="18">
        <v>3899</v>
      </c>
      <c r="W23" s="24">
        <v>60</v>
      </c>
      <c r="X23" s="25">
        <v>38.99</v>
      </c>
      <c r="Z23" s="8"/>
      <c r="AB23" s="24">
        <v>120</v>
      </c>
      <c r="AC23" s="18">
        <v>37</v>
      </c>
      <c r="AD23" s="28">
        <v>4.2</v>
      </c>
      <c r="AE23" s="29">
        <v>0.0121</v>
      </c>
      <c r="AF23" s="25">
        <v>6.53</v>
      </c>
      <c r="AG23" s="19">
        <v>0.6325</v>
      </c>
      <c r="AI23" s="1" t="s">
        <v>405</v>
      </c>
      <c r="AJ23" s="24">
        <v>222</v>
      </c>
      <c r="AK23" s="1" t="s">
        <v>71</v>
      </c>
      <c r="AL23" s="24">
        <v>10</v>
      </c>
      <c r="AM23" s="24">
        <v>1</v>
      </c>
      <c r="AN23" s="15" t="s">
        <v>211</v>
      </c>
      <c r="AO23" s="1" t="s">
        <v>71</v>
      </c>
      <c r="AP23" s="1" t="s">
        <v>73</v>
      </c>
      <c r="AQ23" s="15" t="s">
        <v>219</v>
      </c>
      <c r="AR23" s="1" t="s">
        <v>220</v>
      </c>
      <c r="AS23" s="1" t="s">
        <v>77</v>
      </c>
      <c r="AT23" s="1" t="s">
        <v>77</v>
      </c>
      <c r="AU23" s="1" t="s">
        <v>77</v>
      </c>
      <c r="AV23" s="1" t="s">
        <v>76</v>
      </c>
      <c r="AW23" s="1" t="s">
        <v>76</v>
      </c>
      <c r="AX23" s="1" t="s">
        <v>77</v>
      </c>
      <c r="AY23" s="1" t="s">
        <v>76</v>
      </c>
      <c r="AZ23" s="1" t="s">
        <v>77</v>
      </c>
      <c r="BA23" s="15" t="s">
        <v>77</v>
      </c>
      <c r="BC23" s="23" t="s">
        <v>221</v>
      </c>
      <c r="BD23" s="23" t="s">
        <v>222</v>
      </c>
      <c r="BE23" s="23" t="s">
        <v>223</v>
      </c>
      <c r="BF23" s="1" t="s">
        <v>224</v>
      </c>
    </row>
    <row r="24" ht="24" customHeight="1" spans="1:58">
      <c r="A24" s="1" t="str">
        <f>_xlfn.DISPIMG("ID_99151A3C0EB54943B1EAE48682CC4B9F",1)</f>
        <v>=DISPIMG("ID_99151A3C0EB54943B1EAE48682CC4B9F",1)</v>
      </c>
      <c r="B24" s="15" t="s">
        <v>406</v>
      </c>
      <c r="C24" s="15" t="s">
        <v>192</v>
      </c>
      <c r="D24" s="15" t="s">
        <v>407</v>
      </c>
      <c r="E24" s="15" t="s">
        <v>408</v>
      </c>
      <c r="F24" s="15" t="s">
        <v>409</v>
      </c>
      <c r="G24" s="15" t="s">
        <v>410</v>
      </c>
      <c r="H24" s="15" t="s">
        <v>411</v>
      </c>
      <c r="I24" s="15" t="s">
        <v>412</v>
      </c>
      <c r="J24" s="15" t="s">
        <v>413</v>
      </c>
      <c r="K24" s="15" t="s">
        <v>65</v>
      </c>
      <c r="L24" s="15" t="s">
        <v>66</v>
      </c>
      <c r="M24" s="18">
        <v>2084</v>
      </c>
      <c r="N24" s="18">
        <v>48641</v>
      </c>
      <c r="O24" s="19">
        <v>0.9812</v>
      </c>
      <c r="P24" s="20" t="s">
        <v>67</v>
      </c>
      <c r="Q24" s="22" t="s">
        <v>414</v>
      </c>
      <c r="R24" s="18">
        <v>2018</v>
      </c>
      <c r="S24" s="19">
        <v>0.0919</v>
      </c>
      <c r="T24" s="18">
        <v>92807.82</v>
      </c>
      <c r="U24" s="23" t="s">
        <v>162</v>
      </c>
      <c r="V24" s="18">
        <v>2299.5</v>
      </c>
      <c r="W24" s="24">
        <v>103</v>
      </c>
      <c r="X24" s="25">
        <v>45.99</v>
      </c>
      <c r="Z24" s="23" t="s">
        <v>415</v>
      </c>
      <c r="AA24" s="18">
        <v>10</v>
      </c>
      <c r="AB24" s="24">
        <v>727</v>
      </c>
      <c r="AC24" s="18">
        <v>27</v>
      </c>
      <c r="AD24" s="28">
        <v>4.2</v>
      </c>
      <c r="AE24" s="29">
        <v>0.0134</v>
      </c>
      <c r="AF24" s="25">
        <v>7.18</v>
      </c>
      <c r="AG24" s="19">
        <v>0.6205</v>
      </c>
      <c r="AI24" s="1" t="s">
        <v>416</v>
      </c>
      <c r="AJ24" s="24">
        <v>219</v>
      </c>
      <c r="AK24" s="1" t="s">
        <v>71</v>
      </c>
      <c r="AL24" s="24">
        <v>9</v>
      </c>
      <c r="AM24" s="24">
        <v>1</v>
      </c>
      <c r="AN24" s="15" t="s">
        <v>417</v>
      </c>
      <c r="AO24" s="1" t="s">
        <v>71</v>
      </c>
      <c r="AP24" s="1" t="s">
        <v>73</v>
      </c>
      <c r="AQ24" s="15" t="s">
        <v>418</v>
      </c>
      <c r="AR24" s="1" t="s">
        <v>419</v>
      </c>
      <c r="AS24" s="1" t="s">
        <v>77</v>
      </c>
      <c r="AT24" s="1" t="s">
        <v>76</v>
      </c>
      <c r="AU24" s="1" t="s">
        <v>77</v>
      </c>
      <c r="AV24" s="1" t="s">
        <v>76</v>
      </c>
      <c r="AW24" s="1" t="s">
        <v>76</v>
      </c>
      <c r="AX24" s="1" t="s">
        <v>77</v>
      </c>
      <c r="AY24" s="1" t="s">
        <v>76</v>
      </c>
      <c r="AZ24" s="1" t="s">
        <v>77</v>
      </c>
      <c r="BA24" s="15" t="s">
        <v>77</v>
      </c>
      <c r="BB24" s="23" t="s">
        <v>77</v>
      </c>
      <c r="BC24" s="23" t="s">
        <v>420</v>
      </c>
      <c r="BD24" s="23" t="s">
        <v>421</v>
      </c>
      <c r="BE24" s="23" t="s">
        <v>422</v>
      </c>
      <c r="BF24" s="1" t="s">
        <v>423</v>
      </c>
    </row>
    <row r="25" ht="24" customHeight="1" spans="1:58">
      <c r="A25" s="1" t="str">
        <f>_xlfn.DISPIMG("ID_9CF097CAA4054475B9CDA400313F1E2A",1)</f>
        <v>=DISPIMG("ID_9CF097CAA4054475B9CDA400313F1E2A",1)</v>
      </c>
      <c r="B25" s="15" t="s">
        <v>424</v>
      </c>
      <c r="C25" s="15" t="s">
        <v>425</v>
      </c>
      <c r="D25" s="15" t="s">
        <v>426</v>
      </c>
      <c r="E25" s="15" t="s">
        <v>211</v>
      </c>
      <c r="F25" s="15" t="s">
        <v>212</v>
      </c>
      <c r="G25" s="15" t="s">
        <v>427</v>
      </c>
      <c r="H25" s="15" t="s">
        <v>428</v>
      </c>
      <c r="I25" s="15" t="s">
        <v>429</v>
      </c>
      <c r="J25" s="15" t="s">
        <v>430</v>
      </c>
      <c r="K25" s="15" t="s">
        <v>65</v>
      </c>
      <c r="L25" s="15" t="s">
        <v>66</v>
      </c>
      <c r="M25" s="18">
        <v>5320</v>
      </c>
      <c r="N25" s="18">
        <v>2184</v>
      </c>
      <c r="O25" s="19">
        <v>0.2651</v>
      </c>
      <c r="P25" s="20" t="s">
        <v>67</v>
      </c>
      <c r="Q25" s="22" t="s">
        <v>431</v>
      </c>
      <c r="R25" s="18">
        <v>5224</v>
      </c>
      <c r="S25" s="19">
        <v>0.5093</v>
      </c>
      <c r="T25" s="18">
        <v>219355.77</v>
      </c>
      <c r="U25" s="23" t="s">
        <v>270</v>
      </c>
      <c r="V25" s="18">
        <v>8398</v>
      </c>
      <c r="W25" s="24">
        <v>72</v>
      </c>
      <c r="X25" s="25">
        <v>41.99</v>
      </c>
      <c r="Z25" s="8"/>
      <c r="AA25" s="18">
        <v>27</v>
      </c>
      <c r="AB25" s="24">
        <v>3923</v>
      </c>
      <c r="AC25" s="18">
        <v>111</v>
      </c>
      <c r="AD25" s="28">
        <v>4.2</v>
      </c>
      <c r="AE25" s="29">
        <v>0.0212</v>
      </c>
      <c r="AF25" s="25">
        <v>6.44</v>
      </c>
      <c r="AG25" s="19">
        <v>0.6466</v>
      </c>
      <c r="AI25" s="1" t="s">
        <v>432</v>
      </c>
      <c r="AJ25" s="24">
        <v>1082</v>
      </c>
      <c r="AK25" s="1" t="s">
        <v>71</v>
      </c>
      <c r="AL25" s="24">
        <v>8.8</v>
      </c>
      <c r="AM25" s="24">
        <v>1</v>
      </c>
      <c r="AN25" s="15" t="s">
        <v>211</v>
      </c>
      <c r="AO25" s="1" t="s">
        <v>71</v>
      </c>
      <c r="AP25" s="1" t="s">
        <v>73</v>
      </c>
      <c r="AQ25" s="15" t="s">
        <v>219</v>
      </c>
      <c r="AR25" s="1" t="s">
        <v>220</v>
      </c>
      <c r="AS25" s="1" t="s">
        <v>77</v>
      </c>
      <c r="AT25" s="1" t="s">
        <v>76</v>
      </c>
      <c r="AU25" s="1" t="s">
        <v>77</v>
      </c>
      <c r="AV25" s="1" t="s">
        <v>76</v>
      </c>
      <c r="AW25" s="1" t="s">
        <v>76</v>
      </c>
      <c r="AX25" s="1" t="s">
        <v>77</v>
      </c>
      <c r="AY25" s="1" t="s">
        <v>76</v>
      </c>
      <c r="AZ25" s="1" t="s">
        <v>77</v>
      </c>
      <c r="BA25" s="15" t="s">
        <v>77</v>
      </c>
      <c r="BB25" s="23" t="s">
        <v>77</v>
      </c>
      <c r="BC25" s="23" t="s">
        <v>221</v>
      </c>
      <c r="BD25" s="23" t="s">
        <v>222</v>
      </c>
      <c r="BE25" s="23" t="s">
        <v>223</v>
      </c>
      <c r="BF25" s="1" t="s">
        <v>224</v>
      </c>
    </row>
    <row r="26" ht="24" customHeight="1" spans="1:58">
      <c r="A26" s="1" t="str">
        <f>_xlfn.DISPIMG("ID_AC7D3EE6AF9A4C708343892AEA810C2A",1)</f>
        <v>=DISPIMG("ID_AC7D3EE6AF9A4C708343892AEA810C2A",1)</v>
      </c>
      <c r="B26" s="15" t="s">
        <v>433</v>
      </c>
      <c r="C26" s="15" t="s">
        <v>83</v>
      </c>
      <c r="D26" s="15" t="s">
        <v>434</v>
      </c>
      <c r="E26" s="15" t="s">
        <v>211</v>
      </c>
      <c r="F26" s="15" t="s">
        <v>212</v>
      </c>
      <c r="G26" s="15" t="s">
        <v>435</v>
      </c>
      <c r="H26" s="15" t="s">
        <v>436</v>
      </c>
      <c r="I26" s="15" t="s">
        <v>437</v>
      </c>
      <c r="J26" s="15" t="s">
        <v>438</v>
      </c>
      <c r="K26" s="15" t="s">
        <v>65</v>
      </c>
      <c r="L26" s="15" t="s">
        <v>66</v>
      </c>
      <c r="M26" s="18">
        <v>4903</v>
      </c>
      <c r="N26" s="18">
        <v>19408</v>
      </c>
      <c r="O26" s="19">
        <v>0.7983</v>
      </c>
      <c r="P26" s="20" t="s">
        <v>67</v>
      </c>
      <c r="Q26" s="22" t="s">
        <v>439</v>
      </c>
      <c r="R26" s="18">
        <v>3612</v>
      </c>
      <c r="S26" s="19">
        <v>-0.0097</v>
      </c>
      <c r="T26" s="18">
        <v>151667.89</v>
      </c>
      <c r="U26" s="23" t="s">
        <v>245</v>
      </c>
      <c r="V26" s="18">
        <v>4199</v>
      </c>
      <c r="W26" s="24">
        <v>98</v>
      </c>
      <c r="X26" s="25">
        <v>41.99</v>
      </c>
      <c r="Z26" s="23" t="s">
        <v>246</v>
      </c>
      <c r="AA26" s="18">
        <v>4</v>
      </c>
      <c r="AB26" s="24">
        <v>558</v>
      </c>
      <c r="AC26" s="18">
        <v>58</v>
      </c>
      <c r="AD26" s="28">
        <v>4.2</v>
      </c>
      <c r="AE26" s="29">
        <v>0.0161</v>
      </c>
      <c r="AF26" s="25">
        <v>7.13</v>
      </c>
      <c r="AG26" s="19">
        <v>0.6302</v>
      </c>
      <c r="AI26" s="1" t="s">
        <v>440</v>
      </c>
      <c r="AJ26" s="24">
        <v>451</v>
      </c>
      <c r="AK26" s="1" t="s">
        <v>71</v>
      </c>
      <c r="AL26" s="24">
        <v>10</v>
      </c>
      <c r="AM26" s="24">
        <v>1</v>
      </c>
      <c r="AN26" s="15" t="s">
        <v>211</v>
      </c>
      <c r="AO26" s="1" t="s">
        <v>71</v>
      </c>
      <c r="AP26" s="1" t="s">
        <v>73</v>
      </c>
      <c r="AQ26" s="15" t="s">
        <v>219</v>
      </c>
      <c r="AR26" s="1" t="s">
        <v>220</v>
      </c>
      <c r="AS26" s="1" t="s">
        <v>77</v>
      </c>
      <c r="AT26" s="1" t="s">
        <v>76</v>
      </c>
      <c r="AU26" s="1" t="s">
        <v>77</v>
      </c>
      <c r="AV26" s="1" t="s">
        <v>76</v>
      </c>
      <c r="AW26" s="1" t="s">
        <v>76</v>
      </c>
      <c r="AX26" s="1" t="s">
        <v>77</v>
      </c>
      <c r="AY26" s="1" t="s">
        <v>76</v>
      </c>
      <c r="AZ26" s="1" t="s">
        <v>77</v>
      </c>
      <c r="BA26" s="15" t="s">
        <v>77</v>
      </c>
      <c r="BB26" s="23" t="s">
        <v>77</v>
      </c>
      <c r="BC26" s="23" t="s">
        <v>221</v>
      </c>
      <c r="BD26" s="23" t="s">
        <v>222</v>
      </c>
      <c r="BE26" s="23" t="s">
        <v>223</v>
      </c>
      <c r="BF26" s="1" t="s">
        <v>224</v>
      </c>
    </row>
    <row r="27" ht="24" customHeight="1" spans="1:58">
      <c r="A27" s="1" t="str">
        <f>_xlfn.DISPIMG("ID_EE6913334A7E47B7AC37B29603DBC6F6",1)</f>
        <v>=DISPIMG("ID_EE6913334A7E47B7AC37B29603DBC6F6",1)</v>
      </c>
      <c r="B27" s="15" t="s">
        <v>441</v>
      </c>
      <c r="C27" s="15" t="s">
        <v>83</v>
      </c>
      <c r="D27" s="15" t="s">
        <v>442</v>
      </c>
      <c r="E27" s="15" t="s">
        <v>443</v>
      </c>
      <c r="F27" s="15" t="s">
        <v>444</v>
      </c>
      <c r="G27" s="15" t="s">
        <v>445</v>
      </c>
      <c r="H27" s="15" t="s">
        <v>446</v>
      </c>
      <c r="I27" s="15" t="s">
        <v>447</v>
      </c>
      <c r="J27" s="15" t="s">
        <v>448</v>
      </c>
      <c r="K27" s="15" t="s">
        <v>65</v>
      </c>
      <c r="L27" s="15" t="s">
        <v>66</v>
      </c>
      <c r="M27" s="18">
        <v>6117</v>
      </c>
      <c r="N27" s="18">
        <v>1610</v>
      </c>
      <c r="O27" s="19">
        <v>0.237</v>
      </c>
      <c r="P27" s="20" t="s">
        <v>67</v>
      </c>
      <c r="Q27" s="22" t="s">
        <v>449</v>
      </c>
      <c r="R27" s="18">
        <v>4789</v>
      </c>
      <c r="S27" s="19">
        <v>0.0537</v>
      </c>
      <c r="T27" s="18">
        <v>196301.12</v>
      </c>
      <c r="U27" s="23" t="s">
        <v>245</v>
      </c>
      <c r="V27" s="18">
        <v>4099</v>
      </c>
      <c r="W27" s="24">
        <v>175</v>
      </c>
      <c r="X27" s="25">
        <v>40.99</v>
      </c>
      <c r="Z27" s="23" t="s">
        <v>112</v>
      </c>
      <c r="AA27" s="18">
        <v>6</v>
      </c>
      <c r="AB27" s="24">
        <v>2005</v>
      </c>
      <c r="AC27" s="18">
        <v>89</v>
      </c>
      <c r="AD27" s="28">
        <v>4.1</v>
      </c>
      <c r="AE27" s="29">
        <v>0.0186</v>
      </c>
      <c r="AF27" s="25">
        <v>7.05</v>
      </c>
      <c r="AG27" s="19">
        <v>0.628</v>
      </c>
      <c r="AI27" s="1" t="s">
        <v>450</v>
      </c>
      <c r="AJ27" s="24">
        <v>806</v>
      </c>
      <c r="AK27" s="1" t="s">
        <v>71</v>
      </c>
      <c r="AL27" s="24">
        <v>10</v>
      </c>
      <c r="AM27" s="24">
        <v>1</v>
      </c>
      <c r="AN27" s="15" t="s">
        <v>451</v>
      </c>
      <c r="AO27" s="1" t="s">
        <v>71</v>
      </c>
      <c r="AP27" s="1" t="s">
        <v>73</v>
      </c>
      <c r="AQ27" s="15" t="s">
        <v>452</v>
      </c>
      <c r="AR27" s="1" t="s">
        <v>453</v>
      </c>
      <c r="AS27" s="1" t="s">
        <v>77</v>
      </c>
      <c r="AT27" s="1" t="s">
        <v>77</v>
      </c>
      <c r="AU27" s="1" t="s">
        <v>77</v>
      </c>
      <c r="AV27" s="1" t="s">
        <v>76</v>
      </c>
      <c r="AW27" s="1" t="s">
        <v>76</v>
      </c>
      <c r="AX27" s="1" t="s">
        <v>77</v>
      </c>
      <c r="AY27" s="1" t="s">
        <v>76</v>
      </c>
      <c r="AZ27" s="1" t="s">
        <v>77</v>
      </c>
      <c r="BA27" s="15" t="s">
        <v>77</v>
      </c>
      <c r="BC27" s="23" t="s">
        <v>454</v>
      </c>
      <c r="BD27" s="23" t="s">
        <v>455</v>
      </c>
      <c r="BE27" s="23" t="s">
        <v>456</v>
      </c>
      <c r="BF27" s="1" t="s">
        <v>457</v>
      </c>
    </row>
    <row r="28" ht="24" customHeight="1" spans="1:58">
      <c r="A28" s="1" t="str">
        <f>_xlfn.DISPIMG("ID_8FB0922C5EEA452B99D2FA0DAC310A9E",1)</f>
        <v>=DISPIMG("ID_8FB0922C5EEA452B99D2FA0DAC310A9E",1)</v>
      </c>
      <c r="B28" s="15" t="s">
        <v>458</v>
      </c>
      <c r="C28" s="15" t="s">
        <v>459</v>
      </c>
      <c r="D28" s="15" t="s">
        <v>460</v>
      </c>
      <c r="E28" s="15" t="s">
        <v>211</v>
      </c>
      <c r="F28" s="15" t="s">
        <v>212</v>
      </c>
      <c r="G28" s="15" t="s">
        <v>461</v>
      </c>
      <c r="H28" s="15" t="s">
        <v>462</v>
      </c>
      <c r="I28" s="15" t="s">
        <v>463</v>
      </c>
      <c r="J28" s="15" t="s">
        <v>464</v>
      </c>
      <c r="K28" s="15" t="s">
        <v>65</v>
      </c>
      <c r="L28" s="15" t="s">
        <v>66</v>
      </c>
      <c r="M28" s="18">
        <v>7067</v>
      </c>
      <c r="N28" s="18">
        <v>19980</v>
      </c>
      <c r="O28" s="19">
        <v>0.757</v>
      </c>
      <c r="P28" s="20" t="s">
        <v>67</v>
      </c>
      <c r="Q28" s="22" t="s">
        <v>465</v>
      </c>
      <c r="R28" s="18">
        <v>2076</v>
      </c>
      <c r="S28" s="19">
        <v>-0.3748</v>
      </c>
      <c r="T28" s="18">
        <v>110007.24</v>
      </c>
      <c r="U28" s="23" t="s">
        <v>245</v>
      </c>
      <c r="V28" s="18">
        <v>5299</v>
      </c>
      <c r="W28" s="24">
        <v>62</v>
      </c>
      <c r="X28" s="25">
        <v>52.99</v>
      </c>
      <c r="Z28" s="23" t="s">
        <v>466</v>
      </c>
      <c r="AB28" s="24">
        <v>121</v>
      </c>
      <c r="AC28" s="18">
        <v>36</v>
      </c>
      <c r="AD28" s="28">
        <v>4.1</v>
      </c>
      <c r="AE28" s="29">
        <v>0.0173</v>
      </c>
      <c r="AF28" s="25">
        <v>7.91</v>
      </c>
      <c r="AG28" s="19">
        <v>0.6507</v>
      </c>
      <c r="AI28" s="1" t="s">
        <v>467</v>
      </c>
      <c r="AJ28" s="24">
        <v>206</v>
      </c>
      <c r="AK28" s="1" t="s">
        <v>71</v>
      </c>
      <c r="AL28" s="24">
        <v>10</v>
      </c>
      <c r="AM28" s="24">
        <v>2</v>
      </c>
      <c r="AN28" s="15" t="s">
        <v>211</v>
      </c>
      <c r="AO28" s="1" t="s">
        <v>71</v>
      </c>
      <c r="AP28" s="1" t="s">
        <v>73</v>
      </c>
      <c r="AQ28" s="15" t="s">
        <v>219</v>
      </c>
      <c r="AR28" s="1" t="s">
        <v>220</v>
      </c>
      <c r="AS28" s="1" t="s">
        <v>77</v>
      </c>
      <c r="AT28" s="1" t="s">
        <v>77</v>
      </c>
      <c r="AU28" s="1" t="s">
        <v>77</v>
      </c>
      <c r="AV28" s="1" t="s">
        <v>76</v>
      </c>
      <c r="AW28" s="1" t="s">
        <v>76</v>
      </c>
      <c r="AX28" s="1" t="s">
        <v>77</v>
      </c>
      <c r="AY28" s="1" t="s">
        <v>76</v>
      </c>
      <c r="AZ28" s="1" t="s">
        <v>77</v>
      </c>
      <c r="BA28" s="15" t="s">
        <v>77</v>
      </c>
      <c r="BC28" s="23" t="s">
        <v>221</v>
      </c>
      <c r="BD28" s="23" t="s">
        <v>222</v>
      </c>
      <c r="BE28" s="23" t="s">
        <v>223</v>
      </c>
      <c r="BF28" s="1" t="s">
        <v>224</v>
      </c>
    </row>
    <row r="29" ht="24" hidden="1" customHeight="1" spans="1:58">
      <c r="A29" s="1" t="str">
        <f>_xlfn.DISPIMG("ID_B44E0099ECCE4DF09138E60132870E2A",1)</f>
        <v>=DISPIMG("ID_B44E0099ECCE4DF09138E60132870E2A",1)</v>
      </c>
      <c r="B29" s="15" t="s">
        <v>468</v>
      </c>
      <c r="C29" s="15" t="s">
        <v>469</v>
      </c>
      <c r="D29" s="15" t="s">
        <v>470</v>
      </c>
      <c r="E29" s="15" t="s">
        <v>471</v>
      </c>
      <c r="F29" s="15" t="s">
        <v>472</v>
      </c>
      <c r="G29" s="15" t="s">
        <v>473</v>
      </c>
      <c r="H29" s="15" t="s">
        <v>474</v>
      </c>
      <c r="I29" s="15" t="s">
        <v>475</v>
      </c>
      <c r="J29" s="15" t="s">
        <v>476</v>
      </c>
      <c r="K29" s="15" t="s">
        <v>65</v>
      </c>
      <c r="L29" s="15" t="s">
        <v>66</v>
      </c>
      <c r="M29" s="18">
        <v>6514</v>
      </c>
      <c r="N29" s="18">
        <v>2583</v>
      </c>
      <c r="O29" s="19">
        <v>0.2815</v>
      </c>
      <c r="P29" s="20" t="s">
        <v>67</v>
      </c>
      <c r="Q29" s="22" t="s">
        <v>477</v>
      </c>
      <c r="R29" s="18">
        <v>6370</v>
      </c>
      <c r="S29" s="19">
        <v>1.1151</v>
      </c>
      <c r="T29" s="18">
        <v>299326.3</v>
      </c>
      <c r="U29" s="23" t="s">
        <v>245</v>
      </c>
      <c r="V29" s="18">
        <v>4699</v>
      </c>
      <c r="W29" s="24">
        <v>176</v>
      </c>
      <c r="X29" s="25">
        <v>46.99</v>
      </c>
      <c r="Z29" s="23" t="s">
        <v>466</v>
      </c>
      <c r="AB29" s="24">
        <v>168</v>
      </c>
      <c r="AC29" s="18">
        <v>88</v>
      </c>
      <c r="AD29" s="28">
        <v>4.3</v>
      </c>
      <c r="AE29" s="29">
        <v>0.0138</v>
      </c>
      <c r="AF29" s="25">
        <v>6.14</v>
      </c>
      <c r="AG29" s="19">
        <v>0.6367</v>
      </c>
      <c r="AI29" s="1" t="s">
        <v>478</v>
      </c>
      <c r="AJ29" s="24">
        <v>148</v>
      </c>
      <c r="AK29" s="1" t="s">
        <v>71</v>
      </c>
      <c r="AL29" s="24">
        <v>10</v>
      </c>
      <c r="AM29" s="24">
        <v>1</v>
      </c>
      <c r="AN29" s="15" t="s">
        <v>471</v>
      </c>
      <c r="AO29" s="1" t="s">
        <v>71</v>
      </c>
      <c r="AP29" s="1" t="s">
        <v>73</v>
      </c>
      <c r="AQ29" s="15" t="s">
        <v>479</v>
      </c>
      <c r="AR29" s="1" t="s">
        <v>480</v>
      </c>
      <c r="AS29" s="1" t="s">
        <v>77</v>
      </c>
      <c r="AT29" s="1" t="s">
        <v>77</v>
      </c>
      <c r="AU29" s="1" t="s">
        <v>76</v>
      </c>
      <c r="AV29" s="1" t="s">
        <v>76</v>
      </c>
      <c r="AW29" s="1" t="s">
        <v>76</v>
      </c>
      <c r="AX29" s="1" t="s">
        <v>77</v>
      </c>
      <c r="AY29" s="1" t="s">
        <v>76</v>
      </c>
      <c r="AZ29" s="1" t="s">
        <v>77</v>
      </c>
      <c r="BA29" s="15" t="s">
        <v>77</v>
      </c>
      <c r="BC29" s="23" t="s">
        <v>481</v>
      </c>
      <c r="BD29" s="23" t="s">
        <v>482</v>
      </c>
      <c r="BE29" s="23" t="s">
        <v>483</v>
      </c>
      <c r="BF29" s="1" t="s">
        <v>484</v>
      </c>
    </row>
    <row r="30" ht="24" customHeight="1" spans="1:58">
      <c r="A30" s="1" t="str">
        <f>_xlfn.DISPIMG("ID_BE442C1CDB0345AA9872AD57B6CA8C27",1)</f>
        <v>=DISPIMG("ID_BE442C1CDB0345AA9872AD57B6CA8C27",1)</v>
      </c>
      <c r="B30" s="15" t="s">
        <v>485</v>
      </c>
      <c r="C30" s="15" t="s">
        <v>486</v>
      </c>
      <c r="D30" s="15" t="s">
        <v>487</v>
      </c>
      <c r="E30" s="15" t="s">
        <v>488</v>
      </c>
      <c r="F30" s="15" t="s">
        <v>489</v>
      </c>
      <c r="G30" s="15" t="s">
        <v>490</v>
      </c>
      <c r="H30" s="15" t="s">
        <v>491</v>
      </c>
      <c r="I30" s="15" t="s">
        <v>492</v>
      </c>
      <c r="J30" s="15" t="s">
        <v>493</v>
      </c>
      <c r="K30" s="15" t="s">
        <v>65</v>
      </c>
      <c r="L30" s="15" t="s">
        <v>66</v>
      </c>
      <c r="M30" s="18">
        <v>6353</v>
      </c>
      <c r="N30" s="18">
        <v>126627</v>
      </c>
      <c r="O30" s="19">
        <v>0.954</v>
      </c>
      <c r="P30" s="20" t="s">
        <v>67</v>
      </c>
      <c r="Q30" s="22" t="s">
        <v>494</v>
      </c>
      <c r="R30" s="18">
        <v>294</v>
      </c>
      <c r="S30" s="19">
        <v>0.0698</v>
      </c>
      <c r="T30" s="18">
        <v>8817.06</v>
      </c>
      <c r="U30" s="23" t="s">
        <v>77</v>
      </c>
      <c r="V30" s="18" t="s">
        <v>77</v>
      </c>
      <c r="W30" s="24">
        <v>20</v>
      </c>
      <c r="X30" s="25">
        <v>29.99</v>
      </c>
      <c r="Z30" s="8"/>
      <c r="AB30" s="24">
        <v>76</v>
      </c>
      <c r="AC30" s="18">
        <v>5</v>
      </c>
      <c r="AD30" s="28">
        <v>4.2</v>
      </c>
      <c r="AE30" s="29">
        <v>0.017</v>
      </c>
      <c r="AF30" s="25">
        <v>7.18</v>
      </c>
      <c r="AG30" s="19">
        <v>0.6439</v>
      </c>
      <c r="AI30" s="1" t="s">
        <v>495</v>
      </c>
      <c r="AJ30" s="24">
        <v>365</v>
      </c>
      <c r="AK30" s="1" t="s">
        <v>71</v>
      </c>
      <c r="AL30" s="24">
        <v>10</v>
      </c>
      <c r="AM30" s="24">
        <v>1</v>
      </c>
      <c r="AN30" s="15" t="s">
        <v>488</v>
      </c>
      <c r="AO30" s="1" t="s">
        <v>71</v>
      </c>
      <c r="AP30" s="1" t="s">
        <v>73</v>
      </c>
      <c r="AQ30" s="15" t="s">
        <v>496</v>
      </c>
      <c r="AR30" s="1" t="s">
        <v>497</v>
      </c>
      <c r="AS30" s="1" t="s">
        <v>77</v>
      </c>
      <c r="AT30" s="1" t="s">
        <v>77</v>
      </c>
      <c r="AU30" s="1" t="s">
        <v>77</v>
      </c>
      <c r="AV30" s="1" t="s">
        <v>76</v>
      </c>
      <c r="AW30" s="1" t="s">
        <v>77</v>
      </c>
      <c r="AX30" s="1" t="s">
        <v>77</v>
      </c>
      <c r="AY30" s="1" t="s">
        <v>76</v>
      </c>
      <c r="AZ30" s="1" t="s">
        <v>77</v>
      </c>
      <c r="BA30" s="15" t="s">
        <v>77</v>
      </c>
      <c r="BC30" s="23" t="s">
        <v>498</v>
      </c>
      <c r="BD30" s="23" t="s">
        <v>499</v>
      </c>
      <c r="BE30" s="23" t="s">
        <v>500</v>
      </c>
      <c r="BF30" s="1" t="s">
        <v>501</v>
      </c>
    </row>
    <row r="31" ht="24" hidden="1" customHeight="1" spans="1:58">
      <c r="A31" s="1" t="str">
        <f>_xlfn.DISPIMG("ID_CDF186A7D6044172B61655AA0C437008",1)</f>
        <v>=DISPIMG("ID_CDF186A7D6044172B61655AA0C437008",1)</v>
      </c>
      <c r="B31" s="15" t="s">
        <v>502</v>
      </c>
      <c r="C31" s="15" t="s">
        <v>503</v>
      </c>
      <c r="D31" s="15" t="s">
        <v>504</v>
      </c>
      <c r="E31" s="15" t="s">
        <v>471</v>
      </c>
      <c r="F31" s="15" t="s">
        <v>472</v>
      </c>
      <c r="G31" s="15" t="s">
        <v>505</v>
      </c>
      <c r="H31" s="15" t="s">
        <v>506</v>
      </c>
      <c r="I31" s="15" t="s">
        <v>507</v>
      </c>
      <c r="J31" s="15" t="s">
        <v>508</v>
      </c>
      <c r="K31" s="15" t="s">
        <v>65</v>
      </c>
      <c r="L31" s="15" t="s">
        <v>66</v>
      </c>
      <c r="M31" s="18">
        <v>5743</v>
      </c>
      <c r="N31" s="18">
        <v>-2389</v>
      </c>
      <c r="O31" s="19">
        <v>-0.5998</v>
      </c>
      <c r="P31" s="20" t="s">
        <v>67</v>
      </c>
      <c r="Q31" s="22" t="s">
        <v>509</v>
      </c>
      <c r="R31" s="18">
        <v>6630</v>
      </c>
      <c r="S31" s="19">
        <v>1.2213</v>
      </c>
      <c r="T31" s="18">
        <v>318173.72</v>
      </c>
      <c r="U31" s="23" t="s">
        <v>270</v>
      </c>
      <c r="V31" s="18">
        <v>9598</v>
      </c>
      <c r="W31" s="24">
        <v>93</v>
      </c>
      <c r="X31" s="25">
        <v>47.99</v>
      </c>
      <c r="Z31" s="23" t="s">
        <v>93</v>
      </c>
      <c r="AB31" s="24">
        <v>91</v>
      </c>
      <c r="AC31" s="18">
        <v>57</v>
      </c>
      <c r="AD31" s="28">
        <v>4.6</v>
      </c>
      <c r="AE31" s="29">
        <v>0.0086</v>
      </c>
      <c r="AF31" s="25">
        <v>6.92</v>
      </c>
      <c r="AG31" s="19">
        <v>0.6558</v>
      </c>
      <c r="AI31" s="1" t="s">
        <v>510</v>
      </c>
      <c r="AJ31" s="24">
        <v>71</v>
      </c>
      <c r="AK31" s="1" t="s">
        <v>71</v>
      </c>
      <c r="AL31" s="24">
        <v>9</v>
      </c>
      <c r="AM31" s="24">
        <v>1</v>
      </c>
      <c r="AN31" s="15" t="s">
        <v>471</v>
      </c>
      <c r="AO31" s="1" t="s">
        <v>71</v>
      </c>
      <c r="AP31" s="1" t="s">
        <v>73</v>
      </c>
      <c r="AQ31" s="15" t="s">
        <v>479</v>
      </c>
      <c r="AR31" s="1" t="s">
        <v>480</v>
      </c>
      <c r="AS31" s="1" t="s">
        <v>77</v>
      </c>
      <c r="AT31" s="1" t="s">
        <v>76</v>
      </c>
      <c r="AU31" s="1" t="s">
        <v>76</v>
      </c>
      <c r="AV31" s="1" t="s">
        <v>76</v>
      </c>
      <c r="AW31" s="1" t="s">
        <v>76</v>
      </c>
      <c r="AX31" s="1" t="s">
        <v>77</v>
      </c>
      <c r="AY31" s="1" t="s">
        <v>76</v>
      </c>
      <c r="AZ31" s="1" t="s">
        <v>77</v>
      </c>
      <c r="BA31" s="15" t="s">
        <v>77</v>
      </c>
      <c r="BB31" s="23" t="s">
        <v>77</v>
      </c>
      <c r="BC31" s="23" t="s">
        <v>511</v>
      </c>
      <c r="BD31" s="23" t="s">
        <v>512</v>
      </c>
      <c r="BE31" s="23" t="s">
        <v>513</v>
      </c>
      <c r="BF31" s="1" t="s">
        <v>514</v>
      </c>
    </row>
    <row r="32" ht="24" customHeight="1" spans="1:58">
      <c r="A32" s="1" t="str">
        <f>_xlfn.DISPIMG("ID_DD908389575B446690C9794BDDCE7ABF",1)</f>
        <v>=DISPIMG("ID_DD908389575B446690C9794BDDCE7ABF",1)</v>
      </c>
      <c r="B32" s="15" t="s">
        <v>515</v>
      </c>
      <c r="C32" s="15" t="s">
        <v>516</v>
      </c>
      <c r="D32" s="15" t="s">
        <v>517</v>
      </c>
      <c r="E32" s="15" t="s">
        <v>211</v>
      </c>
      <c r="F32" s="15" t="s">
        <v>212</v>
      </c>
      <c r="G32" s="15" t="s">
        <v>518</v>
      </c>
      <c r="H32" s="15" t="s">
        <v>519</v>
      </c>
      <c r="I32" s="15" t="s">
        <v>520</v>
      </c>
      <c r="J32" s="15" t="s">
        <v>521</v>
      </c>
      <c r="K32" s="15" t="s">
        <v>65</v>
      </c>
      <c r="L32" s="15" t="s">
        <v>66</v>
      </c>
      <c r="M32" s="18">
        <v>6893</v>
      </c>
      <c r="N32" s="18">
        <v>10318</v>
      </c>
      <c r="O32" s="19">
        <v>0.6663</v>
      </c>
      <c r="P32" s="20" t="s">
        <v>67</v>
      </c>
      <c r="Q32" s="22" t="s">
        <v>522</v>
      </c>
      <c r="R32" s="18">
        <v>4364</v>
      </c>
      <c r="S32" s="19">
        <v>1.1101</v>
      </c>
      <c r="T32" s="18">
        <v>209428.38</v>
      </c>
      <c r="U32" s="23" t="s">
        <v>245</v>
      </c>
      <c r="V32" s="18">
        <v>4799</v>
      </c>
      <c r="W32" s="24">
        <v>70</v>
      </c>
      <c r="X32" s="25">
        <v>47.99</v>
      </c>
      <c r="Z32" s="8"/>
      <c r="AB32" s="24">
        <v>123</v>
      </c>
      <c r="AC32" s="18">
        <v>47</v>
      </c>
      <c r="AD32" s="28">
        <v>4.4</v>
      </c>
      <c r="AE32" s="29">
        <v>0.0108</v>
      </c>
      <c r="AF32" s="25">
        <v>7.27</v>
      </c>
      <c r="AG32" s="19">
        <v>0.6485</v>
      </c>
      <c r="AI32" s="1" t="s">
        <v>523</v>
      </c>
      <c r="AJ32" s="24">
        <v>208</v>
      </c>
      <c r="AK32" s="1" t="s">
        <v>71</v>
      </c>
      <c r="AL32" s="24">
        <v>10</v>
      </c>
      <c r="AM32" s="24">
        <v>1</v>
      </c>
      <c r="AN32" s="15" t="s">
        <v>211</v>
      </c>
      <c r="AO32" s="1" t="s">
        <v>71</v>
      </c>
      <c r="AP32" s="1" t="s">
        <v>73</v>
      </c>
      <c r="AQ32" s="15" t="s">
        <v>219</v>
      </c>
      <c r="AR32" s="1" t="s">
        <v>220</v>
      </c>
      <c r="AS32" s="1" t="s">
        <v>77</v>
      </c>
      <c r="AT32" s="1" t="s">
        <v>77</v>
      </c>
      <c r="AU32" s="1" t="s">
        <v>77</v>
      </c>
      <c r="AV32" s="1" t="s">
        <v>76</v>
      </c>
      <c r="AW32" s="1" t="s">
        <v>76</v>
      </c>
      <c r="AX32" s="1" t="s">
        <v>77</v>
      </c>
      <c r="AY32" s="1" t="s">
        <v>76</v>
      </c>
      <c r="AZ32" s="1" t="s">
        <v>77</v>
      </c>
      <c r="BA32" s="15" t="s">
        <v>77</v>
      </c>
      <c r="BC32" s="23" t="s">
        <v>221</v>
      </c>
      <c r="BD32" s="23" t="s">
        <v>222</v>
      </c>
      <c r="BE32" s="23" t="s">
        <v>223</v>
      </c>
      <c r="BF32" s="1" t="s">
        <v>224</v>
      </c>
    </row>
    <row r="33" ht="24" customHeight="1" spans="1:58">
      <c r="A33" s="1" t="str">
        <f>_xlfn.DISPIMG("ID_4764690224E94C5A9652F08C2ACED4FF",1)</f>
        <v>=DISPIMG("ID_4764690224E94C5A9652F08C2ACED4FF",1)</v>
      </c>
      <c r="B33" s="15" t="s">
        <v>524</v>
      </c>
      <c r="C33" s="15" t="s">
        <v>525</v>
      </c>
      <c r="D33" s="15" t="s">
        <v>526</v>
      </c>
      <c r="E33" s="15" t="s">
        <v>527</v>
      </c>
      <c r="F33" s="15" t="s">
        <v>528</v>
      </c>
      <c r="G33" s="15" t="s">
        <v>529</v>
      </c>
      <c r="H33" s="15" t="s">
        <v>530</v>
      </c>
      <c r="I33" s="15" t="s">
        <v>531</v>
      </c>
      <c r="J33" s="15" t="s">
        <v>532</v>
      </c>
      <c r="K33" s="15" t="s">
        <v>65</v>
      </c>
      <c r="L33" s="15" t="s">
        <v>66</v>
      </c>
      <c r="M33" s="18">
        <v>8490</v>
      </c>
      <c r="N33" s="18">
        <v>153</v>
      </c>
      <c r="O33" s="19">
        <v>0.0173</v>
      </c>
      <c r="P33" s="20" t="s">
        <v>67</v>
      </c>
      <c r="Q33" s="22" t="s">
        <v>533</v>
      </c>
      <c r="R33" s="18">
        <v>4113</v>
      </c>
      <c r="S33" s="19">
        <v>0.0869</v>
      </c>
      <c r="T33" s="18">
        <v>193269.88</v>
      </c>
      <c r="U33" s="23" t="s">
        <v>270</v>
      </c>
      <c r="V33" s="18">
        <v>9198</v>
      </c>
      <c r="W33" s="24">
        <v>57</v>
      </c>
      <c r="X33" s="25">
        <v>46.99</v>
      </c>
      <c r="Z33" s="23" t="s">
        <v>534</v>
      </c>
      <c r="AA33" s="18">
        <v>3</v>
      </c>
      <c r="AB33" s="24">
        <v>258</v>
      </c>
      <c r="AC33" s="18">
        <v>37</v>
      </c>
      <c r="AD33" s="28">
        <v>4.3</v>
      </c>
      <c r="AE33" s="29">
        <v>0.009</v>
      </c>
      <c r="AF33" s="25">
        <v>7.53</v>
      </c>
      <c r="AG33" s="19">
        <v>0.6398</v>
      </c>
      <c r="AI33" s="1" t="s">
        <v>535</v>
      </c>
      <c r="AJ33" s="24">
        <v>415</v>
      </c>
      <c r="AK33" s="1" t="s">
        <v>71</v>
      </c>
      <c r="AL33" s="24">
        <v>10</v>
      </c>
      <c r="AM33" s="24">
        <v>2</v>
      </c>
      <c r="AN33" s="15" t="s">
        <v>527</v>
      </c>
      <c r="AO33" s="1" t="s">
        <v>71</v>
      </c>
      <c r="AP33" s="1" t="s">
        <v>73</v>
      </c>
      <c r="AQ33" s="15" t="s">
        <v>536</v>
      </c>
      <c r="AR33" s="1" t="s">
        <v>537</v>
      </c>
      <c r="AS33" s="1" t="s">
        <v>77</v>
      </c>
      <c r="AT33" s="1" t="s">
        <v>77</v>
      </c>
      <c r="AU33" s="1" t="s">
        <v>77</v>
      </c>
      <c r="AV33" s="1" t="s">
        <v>76</v>
      </c>
      <c r="AW33" s="1" t="s">
        <v>76</v>
      </c>
      <c r="AX33" s="1" t="s">
        <v>77</v>
      </c>
      <c r="AY33" s="1" t="s">
        <v>76</v>
      </c>
      <c r="AZ33" s="1" t="s">
        <v>77</v>
      </c>
      <c r="BA33" s="15" t="s">
        <v>77</v>
      </c>
      <c r="BC33" s="23" t="s">
        <v>248</v>
      </c>
      <c r="BD33" s="23" t="s">
        <v>249</v>
      </c>
      <c r="BE33" s="23" t="s">
        <v>538</v>
      </c>
      <c r="BF33" s="1" t="s">
        <v>539</v>
      </c>
    </row>
    <row r="34" ht="24" customHeight="1" spans="1:58">
      <c r="A34" s="1" t="str">
        <f>_xlfn.DISPIMG("ID_2D60AA4402B24A9E8FB0EF74F65CBBE8",1)</f>
        <v>=DISPIMG("ID_2D60AA4402B24A9E8FB0EF74F65CBBE8",1)</v>
      </c>
      <c r="B34" s="15" t="s">
        <v>540</v>
      </c>
      <c r="C34" s="15" t="s">
        <v>541</v>
      </c>
      <c r="D34" s="15" t="s">
        <v>542</v>
      </c>
      <c r="E34" s="15" t="s">
        <v>85</v>
      </c>
      <c r="F34" s="15" t="s">
        <v>86</v>
      </c>
      <c r="G34" s="15" t="s">
        <v>543</v>
      </c>
      <c r="H34" s="15" t="s">
        <v>544</v>
      </c>
      <c r="I34" s="15" t="s">
        <v>545</v>
      </c>
      <c r="J34" s="15" t="s">
        <v>546</v>
      </c>
      <c r="K34" s="15" t="s">
        <v>65</v>
      </c>
      <c r="L34" s="15" t="s">
        <v>66</v>
      </c>
      <c r="M34" s="18">
        <v>6075</v>
      </c>
      <c r="N34" s="18">
        <v>63586</v>
      </c>
      <c r="O34" s="19">
        <v>0.8888</v>
      </c>
      <c r="P34" s="20" t="s">
        <v>67</v>
      </c>
      <c r="Q34" s="22" t="s">
        <v>547</v>
      </c>
      <c r="R34" s="18">
        <v>1087</v>
      </c>
      <c r="S34" s="19">
        <v>0.2032</v>
      </c>
      <c r="T34" s="18">
        <v>19555.129</v>
      </c>
      <c r="U34" s="23" t="s">
        <v>162</v>
      </c>
      <c r="V34" s="18">
        <v>899.5</v>
      </c>
      <c r="W34" s="24">
        <v>55</v>
      </c>
      <c r="X34" s="25">
        <v>17.99</v>
      </c>
      <c r="Z34" s="8"/>
      <c r="AA34" s="18">
        <v>3</v>
      </c>
      <c r="AB34" s="24">
        <v>145</v>
      </c>
      <c r="AC34" s="18">
        <v>6</v>
      </c>
      <c r="AD34" s="28">
        <v>4.3</v>
      </c>
      <c r="AE34" s="29">
        <v>0.0055</v>
      </c>
      <c r="AF34" s="25">
        <v>8.33</v>
      </c>
      <c r="AG34" s="19">
        <v>0.337</v>
      </c>
      <c r="AI34" s="1" t="s">
        <v>548</v>
      </c>
      <c r="AJ34" s="24">
        <v>423</v>
      </c>
      <c r="AK34" s="1" t="s">
        <v>71</v>
      </c>
      <c r="AL34" s="24">
        <v>10</v>
      </c>
      <c r="AM34" s="24">
        <v>1</v>
      </c>
      <c r="AN34" s="15" t="s">
        <v>85</v>
      </c>
      <c r="AO34" s="1" t="s">
        <v>71</v>
      </c>
      <c r="AP34" s="1" t="s">
        <v>73</v>
      </c>
      <c r="AQ34" s="15" t="s">
        <v>95</v>
      </c>
      <c r="AR34" s="1" t="s">
        <v>96</v>
      </c>
      <c r="AS34" s="1" t="s">
        <v>77</v>
      </c>
      <c r="AT34" s="1" t="s">
        <v>77</v>
      </c>
      <c r="AU34" s="1" t="s">
        <v>77</v>
      </c>
      <c r="AV34" s="1" t="s">
        <v>76</v>
      </c>
      <c r="AW34" s="1" t="s">
        <v>76</v>
      </c>
      <c r="AX34" s="1" t="s">
        <v>77</v>
      </c>
      <c r="AY34" s="1" t="s">
        <v>76</v>
      </c>
      <c r="AZ34" s="1" t="s">
        <v>77</v>
      </c>
      <c r="BA34" s="15" t="s">
        <v>76</v>
      </c>
      <c r="BC34" s="23" t="s">
        <v>364</v>
      </c>
      <c r="BD34" s="23" t="s">
        <v>365</v>
      </c>
      <c r="BE34" s="23" t="s">
        <v>549</v>
      </c>
      <c r="BF34" s="1" t="s">
        <v>550</v>
      </c>
    </row>
    <row r="35" ht="24" customHeight="1" spans="1:58">
      <c r="A35" s="1" t="str">
        <f>_xlfn.DISPIMG("ID_BCCBB93B83BA423E86CA39E3F20D041D",1)</f>
        <v>=DISPIMG("ID_BCCBB93B83BA423E86CA39E3F20D041D",1)</v>
      </c>
      <c r="B35" s="15" t="s">
        <v>551</v>
      </c>
      <c r="C35" s="15" t="s">
        <v>552</v>
      </c>
      <c r="D35" s="15" t="s">
        <v>553</v>
      </c>
      <c r="E35" s="15" t="s">
        <v>342</v>
      </c>
      <c r="F35" s="15" t="s">
        <v>343</v>
      </c>
      <c r="G35" s="15" t="s">
        <v>554</v>
      </c>
      <c r="H35" s="15" t="s">
        <v>555</v>
      </c>
      <c r="I35" s="15" t="s">
        <v>556</v>
      </c>
      <c r="J35" s="15" t="s">
        <v>557</v>
      </c>
      <c r="K35" s="15" t="s">
        <v>65</v>
      </c>
      <c r="L35" s="15" t="s">
        <v>66</v>
      </c>
      <c r="M35" s="18">
        <v>7322</v>
      </c>
      <c r="N35" s="18">
        <v>28553</v>
      </c>
      <c r="O35" s="19">
        <v>0.8122</v>
      </c>
      <c r="P35" s="20" t="s">
        <v>67</v>
      </c>
      <c r="Q35" s="22" t="s">
        <v>558</v>
      </c>
      <c r="R35" s="18">
        <v>1147</v>
      </c>
      <c r="S35" s="19" t="s">
        <v>77</v>
      </c>
      <c r="T35" s="18">
        <v>48586.92</v>
      </c>
      <c r="U35" s="23" t="s">
        <v>162</v>
      </c>
      <c r="V35" s="18">
        <v>2118</v>
      </c>
      <c r="W35" s="24">
        <v>42</v>
      </c>
      <c r="X35" s="25">
        <v>42.36</v>
      </c>
      <c r="Z35" s="8"/>
      <c r="AB35" s="24">
        <v>3</v>
      </c>
      <c r="AC35" s="18">
        <v>2</v>
      </c>
      <c r="AD35" s="28">
        <v>5</v>
      </c>
      <c r="AE35" s="29">
        <v>0.0017</v>
      </c>
      <c r="AF35" s="25">
        <v>9.03</v>
      </c>
      <c r="AG35" s="19">
        <v>0.5868</v>
      </c>
      <c r="AI35" s="1" t="s">
        <v>559</v>
      </c>
      <c r="AJ35" s="24">
        <v>65</v>
      </c>
      <c r="AK35" s="1" t="s">
        <v>71</v>
      </c>
      <c r="AL35" s="24">
        <v>8</v>
      </c>
      <c r="AM35" s="24">
        <v>1</v>
      </c>
      <c r="AN35" s="15" t="s">
        <v>350</v>
      </c>
      <c r="AO35" s="1" t="s">
        <v>71</v>
      </c>
      <c r="AP35" s="1" t="s">
        <v>73</v>
      </c>
      <c r="AQ35" s="15" t="s">
        <v>351</v>
      </c>
      <c r="AR35" s="1" t="s">
        <v>352</v>
      </c>
      <c r="AS35" s="1" t="s">
        <v>77</v>
      </c>
      <c r="AT35" s="1" t="s">
        <v>77</v>
      </c>
      <c r="AU35" s="1" t="s">
        <v>76</v>
      </c>
      <c r="AV35" s="1" t="s">
        <v>76</v>
      </c>
      <c r="AW35" s="1" t="s">
        <v>77</v>
      </c>
      <c r="AX35" s="1" t="s">
        <v>77</v>
      </c>
      <c r="AY35" s="1" t="s">
        <v>76</v>
      </c>
      <c r="AZ35" s="1" t="s">
        <v>77</v>
      </c>
      <c r="BA35" s="15" t="s">
        <v>76</v>
      </c>
      <c r="BC35" s="23" t="s">
        <v>560</v>
      </c>
      <c r="BD35" s="23" t="s">
        <v>561</v>
      </c>
      <c r="BE35" s="23" t="s">
        <v>562</v>
      </c>
      <c r="BF35" s="1" t="s">
        <v>563</v>
      </c>
    </row>
    <row r="36" ht="24" customHeight="1" spans="1:58">
      <c r="A36" s="1" t="str">
        <f>_xlfn.DISPIMG("ID_2C5BB409C4664E27904925F0F400C946",1)</f>
        <v>=DISPIMG("ID_2C5BB409C4664E27904925F0F400C946",1)</v>
      </c>
      <c r="B36" s="15" t="s">
        <v>564</v>
      </c>
      <c r="C36" s="15" t="s">
        <v>565</v>
      </c>
      <c r="D36" s="15" t="s">
        <v>566</v>
      </c>
      <c r="E36" s="15" t="s">
        <v>567</v>
      </c>
      <c r="F36" s="15" t="s">
        <v>568</v>
      </c>
      <c r="G36" s="15" t="s">
        <v>569</v>
      </c>
      <c r="H36" s="15" t="s">
        <v>570</v>
      </c>
      <c r="I36" s="15" t="s">
        <v>571</v>
      </c>
      <c r="J36" s="15" t="s">
        <v>572</v>
      </c>
      <c r="K36" s="15" t="s">
        <v>65</v>
      </c>
      <c r="L36" s="15" t="s">
        <v>66</v>
      </c>
      <c r="M36" s="18">
        <v>7152</v>
      </c>
      <c r="N36" s="18">
        <v>2174</v>
      </c>
      <c r="O36" s="19">
        <v>0.2378</v>
      </c>
      <c r="P36" s="20" t="s">
        <v>67</v>
      </c>
      <c r="Q36" s="22" t="s">
        <v>573</v>
      </c>
      <c r="R36" s="18">
        <v>4203</v>
      </c>
      <c r="S36" s="19">
        <v>1.1312</v>
      </c>
      <c r="T36" s="18">
        <v>159671.98</v>
      </c>
      <c r="U36" s="23" t="s">
        <v>332</v>
      </c>
      <c r="V36" s="18">
        <v>11397</v>
      </c>
      <c r="W36" s="24">
        <v>54</v>
      </c>
      <c r="X36" s="25">
        <v>37.99</v>
      </c>
      <c r="Z36" s="8"/>
      <c r="AA36" s="18">
        <v>7</v>
      </c>
      <c r="AB36" s="24">
        <v>1113</v>
      </c>
      <c r="AC36" s="18">
        <v>38</v>
      </c>
      <c r="AD36" s="28">
        <v>4.4</v>
      </c>
      <c r="AE36" s="29">
        <v>0.009</v>
      </c>
      <c r="AF36" s="25">
        <v>6.92</v>
      </c>
      <c r="AG36" s="19">
        <v>0.6179</v>
      </c>
      <c r="AI36" s="1" t="s">
        <v>574</v>
      </c>
      <c r="AJ36" s="24">
        <v>416</v>
      </c>
      <c r="AK36" s="1" t="s">
        <v>71</v>
      </c>
      <c r="AL36" s="24">
        <v>9.8</v>
      </c>
      <c r="AM36" s="24">
        <v>1</v>
      </c>
      <c r="AN36" s="15" t="s">
        <v>575</v>
      </c>
      <c r="AO36" s="1" t="s">
        <v>71</v>
      </c>
      <c r="AP36" s="1" t="s">
        <v>73</v>
      </c>
      <c r="AQ36" s="15" t="s">
        <v>576</v>
      </c>
      <c r="AR36" s="1" t="s">
        <v>577</v>
      </c>
      <c r="AS36" s="1" t="s">
        <v>77</v>
      </c>
      <c r="AT36" s="1" t="s">
        <v>76</v>
      </c>
      <c r="AU36" s="1" t="s">
        <v>77</v>
      </c>
      <c r="AV36" s="1" t="s">
        <v>76</v>
      </c>
      <c r="AW36" s="1" t="s">
        <v>76</v>
      </c>
      <c r="AX36" s="1" t="s">
        <v>77</v>
      </c>
      <c r="AY36" s="1" t="s">
        <v>76</v>
      </c>
      <c r="AZ36" s="1" t="s">
        <v>77</v>
      </c>
      <c r="BA36" s="15" t="s">
        <v>77</v>
      </c>
      <c r="BB36" s="23" t="s">
        <v>77</v>
      </c>
      <c r="BC36" s="23" t="s">
        <v>578</v>
      </c>
      <c r="BD36" s="23" t="s">
        <v>579</v>
      </c>
      <c r="BE36" s="23" t="s">
        <v>580</v>
      </c>
      <c r="BF36" s="1" t="s">
        <v>581</v>
      </c>
    </row>
    <row r="37" ht="24" customHeight="1" spans="1:58">
      <c r="A37" s="1" t="str">
        <f>_xlfn.DISPIMG("ID_F887AFC850AD477D998B354C3E0CB088",1)</f>
        <v>=DISPIMG("ID_F887AFC850AD477D998B354C3E0CB088",1)</v>
      </c>
      <c r="B37" s="15" t="s">
        <v>582</v>
      </c>
      <c r="C37" s="15" t="s">
        <v>583</v>
      </c>
      <c r="D37" s="15" t="s">
        <v>584</v>
      </c>
      <c r="E37" s="15" t="s">
        <v>585</v>
      </c>
      <c r="F37" s="15" t="s">
        <v>586</v>
      </c>
      <c r="G37" s="15" t="s">
        <v>587</v>
      </c>
      <c r="H37" s="15" t="s">
        <v>588</v>
      </c>
      <c r="I37" s="15" t="s">
        <v>589</v>
      </c>
      <c r="J37" s="15" t="s">
        <v>590</v>
      </c>
      <c r="K37" s="15" t="s">
        <v>65</v>
      </c>
      <c r="L37" s="15" t="s">
        <v>66</v>
      </c>
      <c r="M37" s="18">
        <v>7932</v>
      </c>
      <c r="N37" s="18">
        <v>7599</v>
      </c>
      <c r="O37" s="19">
        <v>0.4872</v>
      </c>
      <c r="P37" s="20" t="s">
        <v>67</v>
      </c>
      <c r="Q37" s="22" t="s">
        <v>591</v>
      </c>
      <c r="R37" s="18">
        <v>4959</v>
      </c>
      <c r="S37" s="19">
        <v>-0.31</v>
      </c>
      <c r="T37" s="18">
        <v>170540</v>
      </c>
      <c r="U37" s="23" t="s">
        <v>162</v>
      </c>
      <c r="V37" s="18">
        <v>1719.5</v>
      </c>
      <c r="W37" s="24">
        <v>72</v>
      </c>
      <c r="X37" s="25">
        <v>34.39</v>
      </c>
      <c r="Z37" s="8"/>
      <c r="AB37" s="24">
        <v>136</v>
      </c>
      <c r="AC37" s="18">
        <v>107</v>
      </c>
      <c r="AD37" s="28">
        <v>4.3</v>
      </c>
      <c r="AE37" s="29">
        <v>0.0216</v>
      </c>
      <c r="AF37" s="25">
        <v>7.27</v>
      </c>
      <c r="AG37" s="19">
        <v>0.5886</v>
      </c>
      <c r="AI37" s="1" t="s">
        <v>592</v>
      </c>
      <c r="AJ37" s="24">
        <v>59</v>
      </c>
      <c r="AK37" s="1" t="s">
        <v>71</v>
      </c>
      <c r="AL37" s="24">
        <v>9.8</v>
      </c>
      <c r="AM37" s="24">
        <v>1</v>
      </c>
      <c r="AN37" s="15" t="s">
        <v>593</v>
      </c>
      <c r="AO37" s="1" t="s">
        <v>71</v>
      </c>
      <c r="AP37" s="1" t="s">
        <v>73</v>
      </c>
      <c r="AQ37" s="15" t="s">
        <v>594</v>
      </c>
      <c r="AR37" s="1" t="s">
        <v>595</v>
      </c>
      <c r="AS37" s="1" t="s">
        <v>77</v>
      </c>
      <c r="AT37" s="1" t="s">
        <v>77</v>
      </c>
      <c r="AU37" s="1" t="s">
        <v>76</v>
      </c>
      <c r="AV37" s="1" t="s">
        <v>76</v>
      </c>
      <c r="AW37" s="1" t="s">
        <v>76</v>
      </c>
      <c r="AX37" s="1" t="s">
        <v>77</v>
      </c>
      <c r="AY37" s="1" t="s">
        <v>77</v>
      </c>
      <c r="AZ37" s="1" t="s">
        <v>77</v>
      </c>
      <c r="BA37" s="15" t="s">
        <v>76</v>
      </c>
      <c r="BC37" s="23" t="s">
        <v>596</v>
      </c>
      <c r="BD37" s="23" t="s">
        <v>597</v>
      </c>
      <c r="BE37" s="23" t="s">
        <v>598</v>
      </c>
      <c r="BF37" s="1" t="s">
        <v>599</v>
      </c>
    </row>
    <row r="38" ht="24" customHeight="1" spans="1:58">
      <c r="A38" s="1" t="str">
        <f>_xlfn.DISPIMG("ID_A4BD95FC30BE48F7994AE33CB4B929AF",1)</f>
        <v>=DISPIMG("ID_A4BD95FC30BE48F7994AE33CB4B929AF",1)</v>
      </c>
      <c r="B38" s="15" t="s">
        <v>600</v>
      </c>
      <c r="C38" s="15" t="s">
        <v>601</v>
      </c>
      <c r="D38" s="15" t="s">
        <v>602</v>
      </c>
      <c r="E38" s="15" t="s">
        <v>85</v>
      </c>
      <c r="F38" s="15" t="s">
        <v>86</v>
      </c>
      <c r="G38" s="15" t="s">
        <v>603</v>
      </c>
      <c r="H38" s="15" t="s">
        <v>604</v>
      </c>
      <c r="I38" s="15" t="s">
        <v>605</v>
      </c>
      <c r="J38" s="15" t="s">
        <v>606</v>
      </c>
      <c r="K38" s="15" t="s">
        <v>65</v>
      </c>
      <c r="L38" s="15" t="s">
        <v>66</v>
      </c>
      <c r="M38" s="18">
        <v>8825</v>
      </c>
      <c r="N38" s="18">
        <v>44458</v>
      </c>
      <c r="O38" s="19">
        <v>0.8431</v>
      </c>
      <c r="P38" s="20" t="s">
        <v>67</v>
      </c>
      <c r="Q38" s="22" t="s">
        <v>607</v>
      </c>
      <c r="R38" s="18">
        <v>1223</v>
      </c>
      <c r="S38" s="19">
        <v>-0.2723</v>
      </c>
      <c r="T38" s="18">
        <v>44015.773</v>
      </c>
      <c r="U38" s="23" t="s">
        <v>77</v>
      </c>
      <c r="V38" s="18" t="s">
        <v>77</v>
      </c>
      <c r="W38" s="24">
        <v>45</v>
      </c>
      <c r="X38" s="25">
        <v>29.98</v>
      </c>
      <c r="Z38" s="8"/>
      <c r="AB38" s="24">
        <v>46</v>
      </c>
      <c r="AC38" s="18">
        <v>17</v>
      </c>
      <c r="AD38" s="28">
        <v>4</v>
      </c>
      <c r="AE38" s="29">
        <v>0.0139</v>
      </c>
      <c r="AF38" s="25">
        <v>7.04</v>
      </c>
      <c r="AG38" s="19">
        <v>0.6044</v>
      </c>
      <c r="AI38" s="1" t="s">
        <v>608</v>
      </c>
      <c r="AJ38" s="24">
        <v>157</v>
      </c>
      <c r="AK38" s="1" t="s">
        <v>71</v>
      </c>
      <c r="AL38" s="24">
        <v>7.8</v>
      </c>
      <c r="AM38" s="24">
        <v>1</v>
      </c>
      <c r="AN38" s="15" t="s">
        <v>85</v>
      </c>
      <c r="AO38" s="1" t="s">
        <v>71</v>
      </c>
      <c r="AP38" s="1" t="s">
        <v>73</v>
      </c>
      <c r="AQ38" s="15" t="s">
        <v>95</v>
      </c>
      <c r="AR38" s="1" t="s">
        <v>96</v>
      </c>
      <c r="AS38" s="1" t="s">
        <v>77</v>
      </c>
      <c r="AT38" s="1" t="s">
        <v>77</v>
      </c>
      <c r="AU38" s="1" t="s">
        <v>77</v>
      </c>
      <c r="AV38" s="1" t="s">
        <v>76</v>
      </c>
      <c r="AW38" s="1" t="s">
        <v>76</v>
      </c>
      <c r="AX38" s="1" t="s">
        <v>77</v>
      </c>
      <c r="AY38" s="1" t="s">
        <v>76</v>
      </c>
      <c r="AZ38" s="1" t="s">
        <v>77</v>
      </c>
      <c r="BA38" s="15" t="s">
        <v>76</v>
      </c>
      <c r="BD38" s="23" t="s">
        <v>77</v>
      </c>
      <c r="BF38" s="1" t="s">
        <v>77</v>
      </c>
    </row>
    <row r="39" ht="24" customHeight="1" spans="1:58">
      <c r="A39" s="1" t="str">
        <f>_xlfn.DISPIMG("ID_7D3C7D4FE79F4F059397FDFA51FA80FC",1)</f>
        <v>=DISPIMG("ID_7D3C7D4FE79F4F059397FDFA51FA80FC",1)</v>
      </c>
      <c r="B39" s="15" t="s">
        <v>609</v>
      </c>
      <c r="C39" s="15" t="s">
        <v>192</v>
      </c>
      <c r="D39" s="15" t="s">
        <v>610</v>
      </c>
      <c r="E39" s="15" t="s">
        <v>211</v>
      </c>
      <c r="F39" s="15" t="s">
        <v>212</v>
      </c>
      <c r="G39" s="15" t="s">
        <v>611</v>
      </c>
      <c r="H39" s="15" t="s">
        <v>612</v>
      </c>
      <c r="I39" s="15" t="s">
        <v>613</v>
      </c>
      <c r="J39" s="15" t="s">
        <v>614</v>
      </c>
      <c r="K39" s="15" t="s">
        <v>65</v>
      </c>
      <c r="L39" s="15" t="s">
        <v>66</v>
      </c>
      <c r="M39" s="18">
        <v>5689</v>
      </c>
      <c r="N39" s="18">
        <v>1891</v>
      </c>
      <c r="O39" s="19">
        <v>0.2495</v>
      </c>
      <c r="P39" s="20" t="s">
        <v>67</v>
      </c>
      <c r="Q39" s="22" t="s">
        <v>615</v>
      </c>
      <c r="R39" s="18">
        <v>8870</v>
      </c>
      <c r="S39" s="19">
        <v>0.0543</v>
      </c>
      <c r="T39" s="18">
        <v>381321.3</v>
      </c>
      <c r="U39" s="23" t="s">
        <v>111</v>
      </c>
      <c r="V39" s="18">
        <v>25794</v>
      </c>
      <c r="W39" s="24">
        <v>135</v>
      </c>
      <c r="X39" s="25">
        <v>42.99</v>
      </c>
      <c r="Z39" s="8"/>
      <c r="AB39" s="24">
        <v>872</v>
      </c>
      <c r="AC39" s="18">
        <v>103</v>
      </c>
      <c r="AD39" s="28">
        <v>4.3</v>
      </c>
      <c r="AE39" s="29">
        <v>0.0116</v>
      </c>
      <c r="AF39" s="25">
        <v>5.9</v>
      </c>
      <c r="AG39" s="19">
        <v>0.6628</v>
      </c>
      <c r="AI39" s="1" t="s">
        <v>616</v>
      </c>
      <c r="AJ39" s="24">
        <v>302</v>
      </c>
      <c r="AK39" s="1" t="s">
        <v>71</v>
      </c>
      <c r="AL39" s="24">
        <v>10</v>
      </c>
      <c r="AM39" s="24">
        <v>1</v>
      </c>
      <c r="AN39" s="15" t="s">
        <v>211</v>
      </c>
      <c r="AO39" s="1" t="s">
        <v>71</v>
      </c>
      <c r="AP39" s="1" t="s">
        <v>73</v>
      </c>
      <c r="AQ39" s="15" t="s">
        <v>219</v>
      </c>
      <c r="AR39" s="1" t="s">
        <v>220</v>
      </c>
      <c r="AS39" s="1" t="s">
        <v>76</v>
      </c>
      <c r="AT39" s="1" t="s">
        <v>77</v>
      </c>
      <c r="AU39" s="1" t="s">
        <v>76</v>
      </c>
      <c r="AV39" s="1" t="s">
        <v>76</v>
      </c>
      <c r="AW39" s="1" t="s">
        <v>76</v>
      </c>
      <c r="AX39" s="1" t="s">
        <v>77</v>
      </c>
      <c r="AY39" s="1" t="s">
        <v>76</v>
      </c>
      <c r="AZ39" s="1" t="s">
        <v>77</v>
      </c>
      <c r="BA39" s="15" t="s">
        <v>77</v>
      </c>
      <c r="BC39" s="23" t="s">
        <v>221</v>
      </c>
      <c r="BD39" s="23" t="s">
        <v>222</v>
      </c>
      <c r="BE39" s="23" t="s">
        <v>223</v>
      </c>
      <c r="BF39" s="1" t="s">
        <v>224</v>
      </c>
    </row>
    <row r="40" ht="24" customHeight="1" spans="1:58">
      <c r="A40" s="1" t="str">
        <f>_xlfn.DISPIMG("ID_85A7E0A0B8BF46EFB8C58CC782AB1EF0",1)</f>
        <v>=DISPIMG("ID_85A7E0A0B8BF46EFB8C58CC782AB1EF0",1)</v>
      </c>
      <c r="B40" s="15" t="s">
        <v>617</v>
      </c>
      <c r="C40" s="15" t="s">
        <v>83</v>
      </c>
      <c r="D40" s="15" t="s">
        <v>618</v>
      </c>
      <c r="E40" s="15" t="s">
        <v>85</v>
      </c>
      <c r="F40" s="15" t="s">
        <v>86</v>
      </c>
      <c r="G40" s="15" t="s">
        <v>619</v>
      </c>
      <c r="H40" s="15" t="s">
        <v>620</v>
      </c>
      <c r="I40" s="15" t="s">
        <v>621</v>
      </c>
      <c r="J40" s="15" t="s">
        <v>622</v>
      </c>
      <c r="K40" s="15" t="s">
        <v>65</v>
      </c>
      <c r="L40" s="15" t="s">
        <v>66</v>
      </c>
      <c r="M40" s="18">
        <v>7027</v>
      </c>
      <c r="N40" s="18">
        <v>54203</v>
      </c>
      <c r="O40" s="19">
        <v>0.8852</v>
      </c>
      <c r="P40" s="20" t="s">
        <v>67</v>
      </c>
      <c r="Q40" s="22" t="s">
        <v>623</v>
      </c>
      <c r="R40" s="18">
        <v>1204</v>
      </c>
      <c r="S40" s="19">
        <v>0.0169</v>
      </c>
      <c r="T40" s="18">
        <v>36107.96</v>
      </c>
      <c r="U40" s="23" t="s">
        <v>162</v>
      </c>
      <c r="V40" s="18">
        <v>1499.5</v>
      </c>
      <c r="W40" s="24">
        <v>32</v>
      </c>
      <c r="X40" s="25">
        <v>29.99</v>
      </c>
      <c r="Z40" s="23" t="s">
        <v>93</v>
      </c>
      <c r="AB40" s="24">
        <v>37</v>
      </c>
      <c r="AC40" s="18">
        <v>14</v>
      </c>
      <c r="AD40" s="28">
        <v>4.3</v>
      </c>
      <c r="AE40" s="29">
        <v>0.0116</v>
      </c>
      <c r="AF40" s="25">
        <v>7.85</v>
      </c>
      <c r="AG40" s="19">
        <v>0.5383</v>
      </c>
      <c r="AI40" s="1" t="s">
        <v>624</v>
      </c>
      <c r="AJ40" s="24">
        <v>137</v>
      </c>
      <c r="AK40" s="1" t="s">
        <v>71</v>
      </c>
      <c r="AL40" s="24">
        <v>10</v>
      </c>
      <c r="AM40" s="24">
        <v>1</v>
      </c>
      <c r="AN40" s="15" t="s">
        <v>85</v>
      </c>
      <c r="AO40" s="1" t="s">
        <v>71</v>
      </c>
      <c r="AP40" s="1" t="s">
        <v>73</v>
      </c>
      <c r="AQ40" s="15" t="s">
        <v>95</v>
      </c>
      <c r="AR40" s="1" t="s">
        <v>96</v>
      </c>
      <c r="AS40" s="1" t="s">
        <v>77</v>
      </c>
      <c r="AT40" s="1" t="s">
        <v>77</v>
      </c>
      <c r="AU40" s="1" t="s">
        <v>77</v>
      </c>
      <c r="AV40" s="1" t="s">
        <v>76</v>
      </c>
      <c r="AW40" s="1" t="s">
        <v>76</v>
      </c>
      <c r="AX40" s="1" t="s">
        <v>77</v>
      </c>
      <c r="AY40" s="1" t="s">
        <v>76</v>
      </c>
      <c r="AZ40" s="1" t="s">
        <v>77</v>
      </c>
      <c r="BA40" s="15" t="s">
        <v>76</v>
      </c>
      <c r="BC40" s="23" t="s">
        <v>625</v>
      </c>
      <c r="BD40" s="23" t="s">
        <v>626</v>
      </c>
      <c r="BE40" s="23" t="s">
        <v>627</v>
      </c>
      <c r="BF40" s="1" t="s">
        <v>628</v>
      </c>
    </row>
    <row r="41" ht="24" customHeight="1" spans="1:58">
      <c r="A41" s="1" t="str">
        <f>_xlfn.DISPIMG("ID_585AE393698841E38FE901DABAAFB8FC",1)</f>
        <v>=DISPIMG("ID_585AE393698841E38FE901DABAAFB8FC",1)</v>
      </c>
      <c r="B41" s="15" t="s">
        <v>629</v>
      </c>
      <c r="C41" s="15" t="s">
        <v>516</v>
      </c>
      <c r="D41" s="15" t="s">
        <v>630</v>
      </c>
      <c r="E41" s="15" t="s">
        <v>631</v>
      </c>
      <c r="F41" s="15" t="s">
        <v>632</v>
      </c>
      <c r="G41" s="15" t="s">
        <v>633</v>
      </c>
      <c r="H41" s="15" t="s">
        <v>634</v>
      </c>
      <c r="I41" s="15" t="s">
        <v>635</v>
      </c>
      <c r="J41" s="15" t="s">
        <v>636</v>
      </c>
      <c r="K41" s="15" t="s">
        <v>65</v>
      </c>
      <c r="L41" s="15" t="s">
        <v>66</v>
      </c>
      <c r="M41" s="18">
        <v>9890</v>
      </c>
      <c r="N41" s="18">
        <v>329633</v>
      </c>
      <c r="O41" s="19">
        <v>0.9709</v>
      </c>
      <c r="P41" s="20" t="s">
        <v>67</v>
      </c>
      <c r="Q41" s="22" t="s">
        <v>637</v>
      </c>
      <c r="R41" s="18">
        <v>185</v>
      </c>
      <c r="S41" s="19" t="s">
        <v>77</v>
      </c>
      <c r="T41" s="18">
        <v>9248.15</v>
      </c>
      <c r="U41" s="23" t="s">
        <v>77</v>
      </c>
      <c r="V41" s="18" t="s">
        <v>77</v>
      </c>
      <c r="W41" s="24">
        <v>53</v>
      </c>
      <c r="X41" s="25">
        <v>49.99</v>
      </c>
      <c r="Z41" s="23" t="s">
        <v>246</v>
      </c>
      <c r="AB41" s="24">
        <v>6</v>
      </c>
      <c r="AC41" s="18">
        <v>3</v>
      </c>
      <c r="AD41" s="28">
        <v>4.6</v>
      </c>
      <c r="AE41" s="29">
        <v>0.0162</v>
      </c>
      <c r="AG41" s="19">
        <v>0</v>
      </c>
      <c r="AI41" s="1" t="s">
        <v>592</v>
      </c>
      <c r="AJ41" s="24">
        <v>59</v>
      </c>
      <c r="AK41" s="1" t="s">
        <v>71</v>
      </c>
      <c r="AL41" s="24">
        <v>9.8</v>
      </c>
      <c r="AM41" s="24">
        <v>1</v>
      </c>
      <c r="AN41" s="15" t="s">
        <v>638</v>
      </c>
      <c r="AO41" s="1" t="s">
        <v>71</v>
      </c>
      <c r="AP41" s="1" t="s">
        <v>73</v>
      </c>
      <c r="AQ41" s="15" t="s">
        <v>639</v>
      </c>
      <c r="AR41" s="1" t="s">
        <v>640</v>
      </c>
      <c r="AS41" s="1" t="s">
        <v>77</v>
      </c>
      <c r="AT41" s="1" t="s">
        <v>77</v>
      </c>
      <c r="AU41" s="1" t="s">
        <v>77</v>
      </c>
      <c r="AV41" s="1" t="s">
        <v>76</v>
      </c>
      <c r="AW41" s="1" t="s">
        <v>76</v>
      </c>
      <c r="AX41" s="1" t="s">
        <v>77</v>
      </c>
      <c r="AY41" s="1" t="s">
        <v>77</v>
      </c>
      <c r="AZ41" s="1" t="s">
        <v>77</v>
      </c>
      <c r="BA41" s="15" t="s">
        <v>77</v>
      </c>
      <c r="BD41" s="23" t="s">
        <v>77</v>
      </c>
      <c r="BF41" s="1" t="s">
        <v>77</v>
      </c>
    </row>
    <row r="42" ht="24" customHeight="1" spans="1:58">
      <c r="A42" s="1" t="str">
        <f>_xlfn.DISPIMG("ID_0C03FD57A8D148E28177CB8FD76DCC92",1)</f>
        <v>=DISPIMG("ID_0C03FD57A8D148E28177CB8FD76DCC92",1)</v>
      </c>
      <c r="B42" s="15" t="s">
        <v>641</v>
      </c>
      <c r="C42" s="15" t="s">
        <v>642</v>
      </c>
      <c r="D42" s="15" t="s">
        <v>643</v>
      </c>
      <c r="E42" s="15" t="s">
        <v>308</v>
      </c>
      <c r="F42" s="15" t="s">
        <v>309</v>
      </c>
      <c r="G42" s="15" t="s">
        <v>644</v>
      </c>
      <c r="H42" s="15" t="s">
        <v>645</v>
      </c>
      <c r="I42" s="15" t="s">
        <v>646</v>
      </c>
      <c r="J42" s="15" t="s">
        <v>647</v>
      </c>
      <c r="K42" s="15" t="s">
        <v>65</v>
      </c>
      <c r="L42" s="15" t="s">
        <v>66</v>
      </c>
      <c r="M42" s="18">
        <v>10534</v>
      </c>
      <c r="N42" s="18">
        <v>11497</v>
      </c>
      <c r="O42" s="19">
        <v>0.5422</v>
      </c>
      <c r="P42" s="20" t="s">
        <v>67</v>
      </c>
      <c r="Q42" s="22" t="s">
        <v>162</v>
      </c>
      <c r="R42" s="18">
        <v>2086</v>
      </c>
      <c r="S42" s="19">
        <v>3.1941</v>
      </c>
      <c r="T42" s="18">
        <v>41699.14</v>
      </c>
      <c r="U42" s="23" t="s">
        <v>162</v>
      </c>
      <c r="V42" s="18">
        <v>999.5</v>
      </c>
      <c r="W42" s="24">
        <v>47</v>
      </c>
      <c r="X42" s="25">
        <v>19.99</v>
      </c>
      <c r="Z42" s="8"/>
      <c r="AB42" s="24">
        <v>43</v>
      </c>
      <c r="AC42" s="18">
        <v>18</v>
      </c>
      <c r="AD42" s="28">
        <v>4.3</v>
      </c>
      <c r="AE42" s="29">
        <v>0.0086</v>
      </c>
      <c r="AF42" s="25">
        <v>6.53</v>
      </c>
      <c r="AG42" s="19">
        <v>0.4733</v>
      </c>
      <c r="AI42" s="1" t="s">
        <v>478</v>
      </c>
      <c r="AJ42" s="24">
        <v>148</v>
      </c>
      <c r="AK42" s="1" t="s">
        <v>71</v>
      </c>
      <c r="AL42" s="24">
        <v>9.5</v>
      </c>
      <c r="AM42" s="24">
        <v>1</v>
      </c>
      <c r="AN42" s="15" t="s">
        <v>308</v>
      </c>
      <c r="AO42" s="1" t="s">
        <v>71</v>
      </c>
      <c r="AP42" s="1" t="s">
        <v>73</v>
      </c>
      <c r="AQ42" s="15" t="s">
        <v>316</v>
      </c>
      <c r="AR42" s="1" t="s">
        <v>317</v>
      </c>
      <c r="AS42" s="1" t="s">
        <v>77</v>
      </c>
      <c r="AT42" s="1" t="s">
        <v>77</v>
      </c>
      <c r="AU42" s="1" t="s">
        <v>77</v>
      </c>
      <c r="AV42" s="1" t="s">
        <v>76</v>
      </c>
      <c r="AW42" s="1" t="s">
        <v>76</v>
      </c>
      <c r="AX42" s="1" t="s">
        <v>77</v>
      </c>
      <c r="AY42" s="1" t="s">
        <v>77</v>
      </c>
      <c r="AZ42" s="1" t="s">
        <v>77</v>
      </c>
      <c r="BA42" s="15" t="s">
        <v>77</v>
      </c>
      <c r="BC42" s="23" t="s">
        <v>648</v>
      </c>
      <c r="BD42" s="23" t="s">
        <v>649</v>
      </c>
      <c r="BE42" s="23" t="s">
        <v>650</v>
      </c>
      <c r="BF42" s="1" t="s">
        <v>651</v>
      </c>
    </row>
    <row r="43" ht="24" customHeight="1" spans="1:58">
      <c r="A43" s="1" t="str">
        <f>_xlfn.DISPIMG("ID_E898478B338D4FA485AB807B033EECBE",1)</f>
        <v>=DISPIMG("ID_E898478B338D4FA485AB807B033EECBE",1)</v>
      </c>
      <c r="B43" s="15" t="s">
        <v>652</v>
      </c>
      <c r="C43" s="15" t="s">
        <v>653</v>
      </c>
      <c r="D43" s="15" t="s">
        <v>654</v>
      </c>
      <c r="E43" s="15" t="s">
        <v>585</v>
      </c>
      <c r="F43" s="15" t="s">
        <v>586</v>
      </c>
      <c r="G43" s="15" t="s">
        <v>655</v>
      </c>
      <c r="H43" s="15" t="s">
        <v>656</v>
      </c>
      <c r="I43" s="15" t="s">
        <v>657</v>
      </c>
      <c r="J43" s="15" t="s">
        <v>658</v>
      </c>
      <c r="K43" s="15" t="s">
        <v>65</v>
      </c>
      <c r="L43" s="15" t="s">
        <v>66</v>
      </c>
      <c r="M43" s="18">
        <v>8237</v>
      </c>
      <c r="N43" s="18">
        <v>3602</v>
      </c>
      <c r="O43" s="19">
        <v>0.4494</v>
      </c>
      <c r="P43" s="20" t="s">
        <v>67</v>
      </c>
      <c r="Q43" s="22" t="s">
        <v>659</v>
      </c>
      <c r="R43" s="18">
        <v>4885</v>
      </c>
      <c r="S43" s="19">
        <v>4.0246</v>
      </c>
      <c r="T43" s="18">
        <v>195351.16</v>
      </c>
      <c r="U43" s="23" t="s">
        <v>332</v>
      </c>
      <c r="V43" s="18">
        <v>11997</v>
      </c>
      <c r="W43" s="24">
        <v>85</v>
      </c>
      <c r="X43" s="25">
        <v>39.99</v>
      </c>
      <c r="Z43" s="8"/>
      <c r="AB43" s="24">
        <v>107</v>
      </c>
      <c r="AC43" s="18">
        <v>52</v>
      </c>
      <c r="AD43" s="28">
        <v>4.2</v>
      </c>
      <c r="AE43" s="29">
        <v>0.0106</v>
      </c>
      <c r="AF43" s="25">
        <v>6.53</v>
      </c>
      <c r="AG43" s="19">
        <v>0.6367</v>
      </c>
      <c r="AI43" s="1" t="s">
        <v>660</v>
      </c>
      <c r="AJ43" s="24">
        <v>149</v>
      </c>
      <c r="AK43" s="1" t="s">
        <v>71</v>
      </c>
      <c r="AL43" s="24">
        <v>9</v>
      </c>
      <c r="AM43" s="24">
        <v>1</v>
      </c>
      <c r="AN43" s="15" t="s">
        <v>593</v>
      </c>
      <c r="AO43" s="1" t="s">
        <v>71</v>
      </c>
      <c r="AP43" s="1" t="s">
        <v>73</v>
      </c>
      <c r="AQ43" s="15" t="s">
        <v>594</v>
      </c>
      <c r="AR43" s="1" t="s">
        <v>595</v>
      </c>
      <c r="AS43" s="1" t="s">
        <v>77</v>
      </c>
      <c r="AT43" s="1" t="s">
        <v>77</v>
      </c>
      <c r="AU43" s="1" t="s">
        <v>76</v>
      </c>
      <c r="AV43" s="1" t="s">
        <v>76</v>
      </c>
      <c r="AW43" s="1" t="s">
        <v>76</v>
      </c>
      <c r="AX43" s="1" t="s">
        <v>77</v>
      </c>
      <c r="AY43" s="1" t="s">
        <v>76</v>
      </c>
      <c r="AZ43" s="1" t="s">
        <v>77</v>
      </c>
      <c r="BA43" s="15" t="s">
        <v>77</v>
      </c>
      <c r="BC43" s="23" t="s">
        <v>168</v>
      </c>
      <c r="BD43" s="23" t="s">
        <v>169</v>
      </c>
      <c r="BE43" s="23" t="s">
        <v>661</v>
      </c>
      <c r="BF43" s="1" t="s">
        <v>662</v>
      </c>
    </row>
    <row r="44" ht="24" customHeight="1" spans="1:58">
      <c r="A44" s="1" t="str">
        <f>_xlfn.DISPIMG("ID_426530DDE2464F3DBB6A793F4AE0F1E7",1)</f>
        <v>=DISPIMG("ID_426530DDE2464F3DBB6A793F4AE0F1E7",1)</v>
      </c>
      <c r="B44" s="15" t="s">
        <v>663</v>
      </c>
      <c r="C44" s="15" t="s">
        <v>664</v>
      </c>
      <c r="D44" s="15" t="s">
        <v>665</v>
      </c>
      <c r="E44" s="15" t="s">
        <v>308</v>
      </c>
      <c r="F44" s="15" t="s">
        <v>309</v>
      </c>
      <c r="G44" s="15" t="s">
        <v>666</v>
      </c>
      <c r="H44" s="15" t="s">
        <v>667</v>
      </c>
      <c r="I44" s="15" t="s">
        <v>668</v>
      </c>
      <c r="J44" s="15" t="s">
        <v>669</v>
      </c>
      <c r="K44" s="15" t="s">
        <v>65</v>
      </c>
      <c r="L44" s="15" t="s">
        <v>66</v>
      </c>
      <c r="M44" s="18">
        <v>3241</v>
      </c>
      <c r="N44" s="18">
        <v>1363</v>
      </c>
      <c r="O44" s="19">
        <v>0.2912</v>
      </c>
      <c r="P44" s="20" t="s">
        <v>67</v>
      </c>
      <c r="Q44" s="22" t="s">
        <v>670</v>
      </c>
      <c r="R44" s="18">
        <v>5426</v>
      </c>
      <c r="S44" s="19">
        <v>2.4292</v>
      </c>
      <c r="T44" s="18">
        <v>108465.74</v>
      </c>
      <c r="U44" s="23" t="s">
        <v>245</v>
      </c>
      <c r="V44" s="18">
        <v>1999</v>
      </c>
      <c r="W44" s="24">
        <v>169</v>
      </c>
      <c r="X44" s="25">
        <v>19.99</v>
      </c>
      <c r="Z44" s="8"/>
      <c r="AA44" s="18">
        <v>9</v>
      </c>
      <c r="AB44" s="24">
        <v>1791</v>
      </c>
      <c r="AC44" s="18">
        <v>0</v>
      </c>
      <c r="AD44" s="28">
        <v>4.3</v>
      </c>
      <c r="AE44" s="29">
        <v>0</v>
      </c>
      <c r="AF44" s="25">
        <v>5.46</v>
      </c>
      <c r="AG44" s="19">
        <v>0.5269</v>
      </c>
      <c r="AI44" s="1" t="s">
        <v>671</v>
      </c>
      <c r="AJ44" s="24">
        <v>886</v>
      </c>
      <c r="AK44" s="1" t="s">
        <v>71</v>
      </c>
      <c r="AL44" s="24">
        <v>7.7</v>
      </c>
      <c r="AM44" s="24">
        <v>1</v>
      </c>
      <c r="AN44" s="15" t="s">
        <v>308</v>
      </c>
      <c r="AO44" s="1" t="s">
        <v>71</v>
      </c>
      <c r="AP44" s="1" t="s">
        <v>73</v>
      </c>
      <c r="AQ44" s="15" t="s">
        <v>316</v>
      </c>
      <c r="AR44" s="1" t="s">
        <v>317</v>
      </c>
      <c r="AS44" s="1" t="s">
        <v>77</v>
      </c>
      <c r="AT44" s="1" t="s">
        <v>76</v>
      </c>
      <c r="AU44" s="1" t="s">
        <v>77</v>
      </c>
      <c r="AV44" s="1" t="s">
        <v>77</v>
      </c>
      <c r="AW44" s="1" t="s">
        <v>77</v>
      </c>
      <c r="AX44" s="1" t="s">
        <v>77</v>
      </c>
      <c r="AY44" s="1" t="s">
        <v>76</v>
      </c>
      <c r="AZ44" s="1" t="s">
        <v>77</v>
      </c>
      <c r="BA44" s="15" t="s">
        <v>77</v>
      </c>
      <c r="BB44" s="23" t="s">
        <v>77</v>
      </c>
      <c r="BC44" s="23" t="s">
        <v>318</v>
      </c>
      <c r="BD44" s="23" t="s">
        <v>319</v>
      </c>
      <c r="BE44" s="23" t="s">
        <v>672</v>
      </c>
      <c r="BF44" s="1" t="s">
        <v>673</v>
      </c>
    </row>
    <row r="45" ht="24" customHeight="1" spans="1:58">
      <c r="A45" s="1" t="str">
        <f>_xlfn.DISPIMG("ID_1F3111EFE1834636B948270338089084",1)</f>
        <v>=DISPIMG("ID_1F3111EFE1834636B948270338089084",1)</v>
      </c>
      <c r="B45" s="15" t="s">
        <v>674</v>
      </c>
      <c r="C45" s="15" t="s">
        <v>675</v>
      </c>
      <c r="D45" s="15" t="s">
        <v>676</v>
      </c>
      <c r="E45" s="15" t="s">
        <v>677</v>
      </c>
      <c r="F45" s="15" t="s">
        <v>678</v>
      </c>
      <c r="G45" s="15" t="s">
        <v>679</v>
      </c>
      <c r="H45" s="15" t="s">
        <v>680</v>
      </c>
      <c r="I45" s="15" t="s">
        <v>681</v>
      </c>
      <c r="J45" s="15" t="s">
        <v>682</v>
      </c>
      <c r="K45" s="15" t="s">
        <v>65</v>
      </c>
      <c r="L45" s="15" t="s">
        <v>66</v>
      </c>
      <c r="M45" s="18">
        <v>9404</v>
      </c>
      <c r="N45" s="18">
        <v>1387</v>
      </c>
      <c r="O45" s="19">
        <v>0.1228</v>
      </c>
      <c r="P45" s="20" t="s">
        <v>67</v>
      </c>
      <c r="Q45" s="22" t="s">
        <v>683</v>
      </c>
      <c r="R45" s="18">
        <v>5606</v>
      </c>
      <c r="S45" s="19">
        <v>1.46</v>
      </c>
      <c r="T45" s="18">
        <v>224183.95</v>
      </c>
      <c r="U45" s="23" t="s">
        <v>245</v>
      </c>
      <c r="V45" s="18">
        <v>3999</v>
      </c>
      <c r="W45" s="24">
        <v>80</v>
      </c>
      <c r="X45" s="25">
        <v>39.99</v>
      </c>
      <c r="Z45" s="8"/>
      <c r="AB45" s="24">
        <v>114</v>
      </c>
      <c r="AC45" s="18">
        <v>70</v>
      </c>
      <c r="AD45" s="28">
        <v>4.4</v>
      </c>
      <c r="AE45" s="29">
        <v>0.0125</v>
      </c>
      <c r="AF45" s="25">
        <v>7.27</v>
      </c>
      <c r="AG45" s="19">
        <v>0.6182</v>
      </c>
      <c r="AI45" s="1" t="s">
        <v>684</v>
      </c>
      <c r="AJ45" s="24">
        <v>50</v>
      </c>
      <c r="AK45" s="1" t="s">
        <v>71</v>
      </c>
      <c r="AL45" s="24">
        <v>9</v>
      </c>
      <c r="AM45" s="24">
        <v>1</v>
      </c>
      <c r="AN45" s="15" t="s">
        <v>677</v>
      </c>
      <c r="AO45" s="1" t="s">
        <v>71</v>
      </c>
      <c r="AP45" s="1" t="s">
        <v>73</v>
      </c>
      <c r="AQ45" s="15" t="s">
        <v>685</v>
      </c>
      <c r="AR45" s="1" t="s">
        <v>686</v>
      </c>
      <c r="AS45" s="1" t="s">
        <v>77</v>
      </c>
      <c r="AT45" s="1" t="s">
        <v>77</v>
      </c>
      <c r="AU45" s="1" t="s">
        <v>76</v>
      </c>
      <c r="AV45" s="1" t="s">
        <v>76</v>
      </c>
      <c r="AW45" s="1" t="s">
        <v>76</v>
      </c>
      <c r="AX45" s="1" t="s">
        <v>77</v>
      </c>
      <c r="AY45" s="1" t="s">
        <v>76</v>
      </c>
      <c r="AZ45" s="1" t="s">
        <v>77</v>
      </c>
      <c r="BA45" s="15" t="s">
        <v>77</v>
      </c>
      <c r="BC45" s="23" t="s">
        <v>687</v>
      </c>
      <c r="BD45" s="23" t="s">
        <v>688</v>
      </c>
      <c r="BE45" s="23" t="s">
        <v>689</v>
      </c>
      <c r="BF45" s="1" t="s">
        <v>690</v>
      </c>
    </row>
    <row r="46" ht="24" customHeight="1" spans="1:58">
      <c r="A46" s="1" t="str">
        <f>_xlfn.DISPIMG("ID_DCA78E78950045DE9294494BBEDBC33C",1)</f>
        <v>=DISPIMG("ID_DCA78E78950045DE9294494BBEDBC33C",1)</v>
      </c>
      <c r="B46" s="15" t="s">
        <v>691</v>
      </c>
      <c r="C46" s="15" t="s">
        <v>323</v>
      </c>
      <c r="D46" s="15" t="s">
        <v>692</v>
      </c>
      <c r="E46" s="15" t="s">
        <v>211</v>
      </c>
      <c r="F46" s="15" t="s">
        <v>212</v>
      </c>
      <c r="G46" s="15" t="s">
        <v>693</v>
      </c>
      <c r="H46" s="15" t="s">
        <v>694</v>
      </c>
      <c r="I46" s="15" t="s">
        <v>695</v>
      </c>
      <c r="J46" s="15" t="s">
        <v>696</v>
      </c>
      <c r="K46" s="15" t="s">
        <v>65</v>
      </c>
      <c r="L46" s="15" t="s">
        <v>66</v>
      </c>
      <c r="M46" s="18">
        <v>10791</v>
      </c>
      <c r="N46" s="18">
        <v>21663</v>
      </c>
      <c r="O46" s="19">
        <v>0.6911</v>
      </c>
      <c r="P46" s="20" t="s">
        <v>67</v>
      </c>
      <c r="Q46" s="22" t="s">
        <v>697</v>
      </c>
      <c r="R46" s="18">
        <v>2804</v>
      </c>
      <c r="S46" s="19">
        <v>0.3204</v>
      </c>
      <c r="T46" s="18">
        <v>76521.164</v>
      </c>
      <c r="U46" s="23" t="s">
        <v>245</v>
      </c>
      <c r="V46" s="18">
        <v>2729</v>
      </c>
      <c r="W46" s="24">
        <v>213</v>
      </c>
      <c r="X46" s="25">
        <v>27.29</v>
      </c>
      <c r="Z46" s="8"/>
      <c r="AA46" s="18">
        <v>52</v>
      </c>
      <c r="AB46" s="24">
        <v>9656</v>
      </c>
      <c r="AC46" s="18">
        <v>67</v>
      </c>
      <c r="AD46" s="28">
        <v>4.2</v>
      </c>
      <c r="AE46" s="29">
        <v>0.0239</v>
      </c>
      <c r="AF46" s="25">
        <v>6.05</v>
      </c>
      <c r="AG46" s="19">
        <v>0.6448</v>
      </c>
      <c r="AI46" s="1" t="s">
        <v>698</v>
      </c>
      <c r="AJ46" s="24">
        <v>1432</v>
      </c>
      <c r="AK46" s="1" t="s">
        <v>71</v>
      </c>
      <c r="AL46" s="24">
        <v>10</v>
      </c>
      <c r="AM46" s="24">
        <v>1</v>
      </c>
      <c r="AN46" s="15" t="s">
        <v>211</v>
      </c>
      <c r="AO46" s="1" t="s">
        <v>71</v>
      </c>
      <c r="AP46" s="1" t="s">
        <v>73</v>
      </c>
      <c r="AQ46" s="15" t="s">
        <v>219</v>
      </c>
      <c r="AR46" s="1" t="s">
        <v>220</v>
      </c>
      <c r="AS46" s="1" t="s">
        <v>76</v>
      </c>
      <c r="AT46" s="1" t="s">
        <v>76</v>
      </c>
      <c r="AU46" s="1" t="s">
        <v>77</v>
      </c>
      <c r="AV46" s="1" t="s">
        <v>76</v>
      </c>
      <c r="AW46" s="1" t="s">
        <v>76</v>
      </c>
      <c r="AX46" s="1" t="s">
        <v>77</v>
      </c>
      <c r="AY46" s="1" t="s">
        <v>76</v>
      </c>
      <c r="AZ46" s="1" t="s">
        <v>77</v>
      </c>
      <c r="BA46" s="15" t="s">
        <v>76</v>
      </c>
      <c r="BB46" s="23" t="s">
        <v>77</v>
      </c>
      <c r="BC46" s="23" t="s">
        <v>221</v>
      </c>
      <c r="BD46" s="23" t="s">
        <v>222</v>
      </c>
      <c r="BE46" s="23" t="s">
        <v>223</v>
      </c>
      <c r="BF46" s="1" t="s">
        <v>224</v>
      </c>
    </row>
    <row r="47" ht="24" customHeight="1" spans="1:58">
      <c r="A47" s="1" t="str">
        <f>_xlfn.DISPIMG("ID_E5BF230EFE8444D9BD6DF8E911B7FB2F",1)</f>
        <v>=DISPIMG("ID_E5BF230EFE8444D9BD6DF8E911B7FB2F",1)</v>
      </c>
      <c r="B47" s="15" t="s">
        <v>699</v>
      </c>
      <c r="C47" s="15" t="s">
        <v>209</v>
      </c>
      <c r="D47" s="15" t="s">
        <v>700</v>
      </c>
      <c r="E47" s="15" t="s">
        <v>85</v>
      </c>
      <c r="F47" s="15" t="s">
        <v>86</v>
      </c>
      <c r="G47" s="15" t="s">
        <v>701</v>
      </c>
      <c r="H47" s="15" t="s">
        <v>702</v>
      </c>
      <c r="I47" s="15" t="s">
        <v>703</v>
      </c>
      <c r="J47" s="15" t="s">
        <v>704</v>
      </c>
      <c r="K47" s="15" t="s">
        <v>65</v>
      </c>
      <c r="L47" s="15" t="s">
        <v>66</v>
      </c>
      <c r="M47" s="18">
        <v>8772</v>
      </c>
      <c r="N47" s="18">
        <v>142197</v>
      </c>
      <c r="O47" s="19">
        <v>0.9424</v>
      </c>
      <c r="P47" s="20" t="s">
        <v>67</v>
      </c>
      <c r="Q47" s="22" t="s">
        <v>705</v>
      </c>
      <c r="R47" s="18">
        <v>689</v>
      </c>
      <c r="S47" s="19">
        <v>1.2601</v>
      </c>
      <c r="T47" s="18">
        <v>27553.111</v>
      </c>
      <c r="U47" s="23" t="s">
        <v>162</v>
      </c>
      <c r="V47" s="18" t="s">
        <v>77</v>
      </c>
      <c r="W47" s="24">
        <v>23</v>
      </c>
      <c r="X47" s="25">
        <v>39.99</v>
      </c>
      <c r="Z47" s="23" t="s">
        <v>415</v>
      </c>
      <c r="AB47" s="24">
        <v>29</v>
      </c>
      <c r="AC47" s="18">
        <v>10</v>
      </c>
      <c r="AD47" s="28">
        <v>4.3</v>
      </c>
      <c r="AE47" s="29">
        <v>0.0145</v>
      </c>
      <c r="AF47" s="25">
        <v>8.39</v>
      </c>
      <c r="AG47" s="19">
        <v>0.5902</v>
      </c>
      <c r="AI47" s="1" t="s">
        <v>706</v>
      </c>
      <c r="AJ47" s="24">
        <v>175</v>
      </c>
      <c r="AK47" s="1" t="s">
        <v>71</v>
      </c>
      <c r="AL47" s="24">
        <v>9.8</v>
      </c>
      <c r="AM47" s="24">
        <v>1</v>
      </c>
      <c r="AN47" s="15" t="s">
        <v>85</v>
      </c>
      <c r="AO47" s="1" t="s">
        <v>71</v>
      </c>
      <c r="AP47" s="1" t="s">
        <v>73</v>
      </c>
      <c r="AQ47" s="15" t="s">
        <v>95</v>
      </c>
      <c r="AR47" s="1" t="s">
        <v>96</v>
      </c>
      <c r="AS47" s="1" t="s">
        <v>77</v>
      </c>
      <c r="AT47" s="1" t="s">
        <v>77</v>
      </c>
      <c r="AU47" s="1" t="s">
        <v>77</v>
      </c>
      <c r="AV47" s="1" t="s">
        <v>76</v>
      </c>
      <c r="AW47" s="1" t="s">
        <v>76</v>
      </c>
      <c r="AX47" s="1" t="s">
        <v>77</v>
      </c>
      <c r="AY47" s="1" t="s">
        <v>76</v>
      </c>
      <c r="AZ47" s="1" t="s">
        <v>77</v>
      </c>
      <c r="BA47" s="15" t="s">
        <v>77</v>
      </c>
      <c r="BD47" s="23" t="s">
        <v>77</v>
      </c>
      <c r="BF47" s="1" t="s">
        <v>77</v>
      </c>
    </row>
    <row r="48" ht="24" customHeight="1" spans="1:58">
      <c r="A48" s="1" t="str">
        <f>_xlfn.DISPIMG("ID_F114FB6E47D044198503C6CF4F20AB4C",1)</f>
        <v>=DISPIMG("ID_F114FB6E47D044198503C6CF4F20AB4C",1)</v>
      </c>
      <c r="B48" s="15" t="s">
        <v>707</v>
      </c>
      <c r="C48" s="15" t="s">
        <v>708</v>
      </c>
      <c r="D48" s="15" t="s">
        <v>709</v>
      </c>
      <c r="E48" s="15" t="s">
        <v>710</v>
      </c>
      <c r="F48" s="15" t="s">
        <v>711</v>
      </c>
      <c r="G48" s="15" t="s">
        <v>712</v>
      </c>
      <c r="H48" s="15" t="s">
        <v>713</v>
      </c>
      <c r="I48" s="15" t="s">
        <v>714</v>
      </c>
      <c r="J48" s="15" t="s">
        <v>715</v>
      </c>
      <c r="K48" s="15" t="s">
        <v>65</v>
      </c>
      <c r="L48" s="15" t="s">
        <v>66</v>
      </c>
      <c r="M48" s="18">
        <v>9854</v>
      </c>
      <c r="N48" s="18">
        <v>-4147</v>
      </c>
      <c r="O48" s="19">
        <v>-0.949</v>
      </c>
      <c r="P48" s="20" t="s">
        <v>67</v>
      </c>
      <c r="Q48" s="22" t="s">
        <v>716</v>
      </c>
      <c r="R48" s="18">
        <v>3267</v>
      </c>
      <c r="S48" s="19">
        <v>1.2131</v>
      </c>
      <c r="T48" s="18">
        <v>130647.336</v>
      </c>
      <c r="U48" s="23" t="s">
        <v>332</v>
      </c>
      <c r="V48" s="18">
        <v>11997</v>
      </c>
      <c r="W48" s="24">
        <v>139</v>
      </c>
      <c r="X48" s="25">
        <v>39.99</v>
      </c>
      <c r="Z48" s="8"/>
      <c r="AA48" s="18">
        <v>23</v>
      </c>
      <c r="AB48" s="24">
        <v>4393</v>
      </c>
      <c r="AC48" s="18">
        <v>16</v>
      </c>
      <c r="AD48" s="28">
        <v>4</v>
      </c>
      <c r="AE48" s="29">
        <v>0.0049</v>
      </c>
      <c r="AF48" s="25">
        <v>6.92</v>
      </c>
      <c r="AG48" s="19">
        <v>0.627</v>
      </c>
      <c r="AI48" s="1" t="s">
        <v>717</v>
      </c>
      <c r="AJ48" s="24">
        <v>1884</v>
      </c>
      <c r="AK48" s="1" t="s">
        <v>71</v>
      </c>
      <c r="AL48" s="24">
        <v>10</v>
      </c>
      <c r="AM48" s="24">
        <v>1</v>
      </c>
      <c r="AN48" s="15" t="s">
        <v>718</v>
      </c>
      <c r="AO48" s="1" t="s">
        <v>71</v>
      </c>
      <c r="AP48" s="1" t="s">
        <v>73</v>
      </c>
      <c r="AQ48" s="15" t="s">
        <v>719</v>
      </c>
      <c r="AR48" s="1" t="s">
        <v>720</v>
      </c>
      <c r="AS48" s="1" t="s">
        <v>76</v>
      </c>
      <c r="AT48" s="1" t="s">
        <v>77</v>
      </c>
      <c r="AU48" s="1" t="s">
        <v>77</v>
      </c>
      <c r="AV48" s="1" t="s">
        <v>76</v>
      </c>
      <c r="AW48" s="1" t="s">
        <v>76</v>
      </c>
      <c r="AX48" s="1" t="s">
        <v>77</v>
      </c>
      <c r="AY48" s="1" t="s">
        <v>77</v>
      </c>
      <c r="AZ48" s="1" t="s">
        <v>77</v>
      </c>
      <c r="BA48" s="15" t="s">
        <v>77</v>
      </c>
      <c r="BC48" s="23" t="s">
        <v>721</v>
      </c>
      <c r="BD48" s="23" t="s">
        <v>722</v>
      </c>
      <c r="BE48" s="23" t="s">
        <v>723</v>
      </c>
      <c r="BF48" s="1" t="s">
        <v>724</v>
      </c>
    </row>
    <row r="49" ht="24" customHeight="1" spans="1:58">
      <c r="A49" s="1" t="str">
        <f>_xlfn.DISPIMG("ID_928FBAACBB09488382C7758833B67DB5",1)</f>
        <v>=DISPIMG("ID_928FBAACBB09488382C7758833B67DB5",1)</v>
      </c>
      <c r="B49" s="15" t="s">
        <v>725</v>
      </c>
      <c r="C49" s="15" t="s">
        <v>399</v>
      </c>
      <c r="D49" s="15" t="s">
        <v>726</v>
      </c>
      <c r="E49" s="15" t="s">
        <v>727</v>
      </c>
      <c r="F49" s="15" t="s">
        <v>728</v>
      </c>
      <c r="G49" s="15" t="s">
        <v>729</v>
      </c>
      <c r="H49" s="15" t="s">
        <v>730</v>
      </c>
      <c r="I49" s="15" t="s">
        <v>731</v>
      </c>
      <c r="J49" s="15" t="s">
        <v>732</v>
      </c>
      <c r="K49" s="15" t="s">
        <v>65</v>
      </c>
      <c r="L49" s="15" t="s">
        <v>66</v>
      </c>
      <c r="M49" s="18">
        <v>7368</v>
      </c>
      <c r="N49" s="18">
        <v>10034</v>
      </c>
      <c r="O49" s="19">
        <v>0.5557</v>
      </c>
      <c r="P49" s="20" t="s">
        <v>67</v>
      </c>
      <c r="Q49" s="22" t="s">
        <v>733</v>
      </c>
      <c r="R49" s="18">
        <v>3730</v>
      </c>
      <c r="S49" s="19">
        <v>0.7621</v>
      </c>
      <c r="T49" s="18">
        <v>167066.7</v>
      </c>
      <c r="U49" s="23" t="s">
        <v>182</v>
      </c>
      <c r="V49" s="18">
        <v>17916</v>
      </c>
      <c r="W49" s="24">
        <v>25</v>
      </c>
      <c r="X49" s="25">
        <v>44.79</v>
      </c>
      <c r="Z49" s="8"/>
      <c r="AB49" s="24">
        <v>45</v>
      </c>
      <c r="AC49" s="18">
        <v>25</v>
      </c>
      <c r="AD49" s="28">
        <v>4.1</v>
      </c>
      <c r="AE49" s="29">
        <v>0.0067</v>
      </c>
      <c r="AF49" s="25">
        <v>6.53</v>
      </c>
      <c r="AG49" s="19">
        <v>0.6542</v>
      </c>
      <c r="AI49" s="1" t="s">
        <v>734</v>
      </c>
      <c r="AJ49" s="24">
        <v>103</v>
      </c>
      <c r="AK49" s="1" t="s">
        <v>71</v>
      </c>
      <c r="AL49" s="24">
        <v>9</v>
      </c>
      <c r="AM49" s="24">
        <v>2</v>
      </c>
      <c r="AN49" s="15" t="s">
        <v>735</v>
      </c>
      <c r="AO49" s="1" t="s">
        <v>71</v>
      </c>
      <c r="AP49" s="1" t="s">
        <v>73</v>
      </c>
      <c r="AQ49" s="15" t="s">
        <v>736</v>
      </c>
      <c r="AR49" s="1" t="s">
        <v>737</v>
      </c>
      <c r="AS49" s="1" t="s">
        <v>77</v>
      </c>
      <c r="AT49" s="1" t="s">
        <v>77</v>
      </c>
      <c r="AU49" s="1" t="s">
        <v>76</v>
      </c>
      <c r="AV49" s="1" t="s">
        <v>76</v>
      </c>
      <c r="AW49" s="1" t="s">
        <v>76</v>
      </c>
      <c r="AX49" s="1" t="s">
        <v>77</v>
      </c>
      <c r="AY49" s="1" t="s">
        <v>76</v>
      </c>
      <c r="AZ49" s="1" t="s">
        <v>77</v>
      </c>
      <c r="BA49" s="15" t="s">
        <v>76</v>
      </c>
      <c r="BC49" s="23" t="s">
        <v>301</v>
      </c>
      <c r="BD49" s="23" t="s">
        <v>302</v>
      </c>
      <c r="BE49" s="23" t="s">
        <v>738</v>
      </c>
      <c r="BF49" s="1" t="s">
        <v>739</v>
      </c>
    </row>
    <row r="50" ht="24" customHeight="1" spans="1:58">
      <c r="A50" s="1" t="str">
        <f>_xlfn.DISPIMG("ID_6542334331654E45A36CA8FA605CA550",1)</f>
        <v>=DISPIMG("ID_6542334331654E45A36CA8FA605CA550",1)</v>
      </c>
      <c r="B50" s="15" t="s">
        <v>740</v>
      </c>
      <c r="C50" s="15" t="s">
        <v>741</v>
      </c>
      <c r="D50" s="15" t="s">
        <v>742</v>
      </c>
      <c r="E50" s="15" t="s">
        <v>743</v>
      </c>
      <c r="F50" s="15" t="s">
        <v>744</v>
      </c>
      <c r="G50" s="15" t="s">
        <v>745</v>
      </c>
      <c r="H50" s="15" t="s">
        <v>746</v>
      </c>
      <c r="I50" s="15" t="s">
        <v>747</v>
      </c>
      <c r="J50" s="15" t="s">
        <v>748</v>
      </c>
      <c r="K50" s="15" t="s">
        <v>65</v>
      </c>
      <c r="L50" s="15" t="s">
        <v>66</v>
      </c>
      <c r="M50" s="18">
        <v>9198</v>
      </c>
      <c r="N50" s="18">
        <v>17185</v>
      </c>
      <c r="O50" s="19">
        <v>0.6398</v>
      </c>
      <c r="P50" s="20" t="s">
        <v>67</v>
      </c>
      <c r="Q50" s="22" t="s">
        <v>749</v>
      </c>
      <c r="R50" s="18">
        <v>2972</v>
      </c>
      <c r="S50" s="19">
        <v>0.3913</v>
      </c>
      <c r="T50" s="18">
        <v>73497.56</v>
      </c>
      <c r="U50" s="23" t="s">
        <v>245</v>
      </c>
      <c r="V50" s="18">
        <v>1236.5</v>
      </c>
      <c r="W50" s="24">
        <v>65</v>
      </c>
      <c r="X50" s="25">
        <v>24.73</v>
      </c>
      <c r="Z50" s="8"/>
      <c r="AA50" s="18">
        <v>2</v>
      </c>
      <c r="AB50" s="24">
        <v>373</v>
      </c>
      <c r="AC50" s="18">
        <v>40</v>
      </c>
      <c r="AD50" s="28">
        <v>4.2</v>
      </c>
      <c r="AE50" s="29">
        <v>0.0135</v>
      </c>
      <c r="AF50" s="25">
        <v>6.44</v>
      </c>
      <c r="AG50" s="19">
        <v>0.5396</v>
      </c>
      <c r="AI50" s="1" t="s">
        <v>750</v>
      </c>
      <c r="AJ50" s="24">
        <v>457</v>
      </c>
      <c r="AK50" s="1" t="s">
        <v>71</v>
      </c>
      <c r="AL50" s="24">
        <v>10</v>
      </c>
      <c r="AM50" s="24">
        <v>1</v>
      </c>
      <c r="AN50" s="15" t="s">
        <v>743</v>
      </c>
      <c r="AO50" s="1" t="s">
        <v>71</v>
      </c>
      <c r="AP50" s="1" t="s">
        <v>73</v>
      </c>
      <c r="AQ50" s="15" t="s">
        <v>751</v>
      </c>
      <c r="AR50" s="1" t="s">
        <v>752</v>
      </c>
      <c r="AS50" s="1" t="s">
        <v>77</v>
      </c>
      <c r="AT50" s="1" t="s">
        <v>77</v>
      </c>
      <c r="AU50" s="1" t="s">
        <v>77</v>
      </c>
      <c r="AV50" s="1" t="s">
        <v>76</v>
      </c>
      <c r="AW50" s="1" t="s">
        <v>76</v>
      </c>
      <c r="AX50" s="1" t="s">
        <v>77</v>
      </c>
      <c r="AY50" s="1" t="s">
        <v>76</v>
      </c>
      <c r="AZ50" s="1" t="s">
        <v>77</v>
      </c>
      <c r="BA50" s="15" t="s">
        <v>76</v>
      </c>
      <c r="BC50" s="23" t="s">
        <v>753</v>
      </c>
      <c r="BD50" s="23" t="s">
        <v>754</v>
      </c>
      <c r="BE50" s="23" t="s">
        <v>755</v>
      </c>
      <c r="BF50" s="1" t="s">
        <v>756</v>
      </c>
    </row>
    <row r="51" ht="24" customHeight="1" spans="1:58">
      <c r="A51" s="1" t="str">
        <f>_xlfn.DISPIMG("ID_404381DE8BE940139BFC254F17A37F0F",1)</f>
        <v>=DISPIMG("ID_404381DE8BE940139BFC254F17A37F0F",1)</v>
      </c>
      <c r="B51" s="15" t="s">
        <v>757</v>
      </c>
      <c r="C51" s="15" t="s">
        <v>83</v>
      </c>
      <c r="D51" s="15" t="s">
        <v>262</v>
      </c>
      <c r="E51" s="15" t="s">
        <v>263</v>
      </c>
      <c r="F51" s="15" t="s">
        <v>264</v>
      </c>
      <c r="G51" s="15" t="s">
        <v>758</v>
      </c>
      <c r="H51" s="15" t="s">
        <v>759</v>
      </c>
      <c r="I51" s="15" t="s">
        <v>760</v>
      </c>
      <c r="J51" s="15" t="s">
        <v>761</v>
      </c>
      <c r="K51" s="15" t="s">
        <v>65</v>
      </c>
      <c r="L51" s="15" t="s">
        <v>66</v>
      </c>
      <c r="M51" s="18">
        <v>7567</v>
      </c>
      <c r="N51" s="18">
        <v>-1485</v>
      </c>
      <c r="O51" s="19">
        <v>-0.2442</v>
      </c>
      <c r="P51" s="20" t="s">
        <v>67</v>
      </c>
      <c r="Q51" s="22" t="s">
        <v>762</v>
      </c>
      <c r="R51" s="18">
        <v>3578</v>
      </c>
      <c r="S51" s="19">
        <v>0.4123</v>
      </c>
      <c r="T51" s="18">
        <v>168130.22</v>
      </c>
      <c r="U51" s="23" t="s">
        <v>270</v>
      </c>
      <c r="V51" s="18">
        <v>9398</v>
      </c>
      <c r="W51" s="24">
        <v>120</v>
      </c>
      <c r="X51" s="25">
        <v>46.99</v>
      </c>
      <c r="Z51" s="23" t="s">
        <v>415</v>
      </c>
      <c r="AB51" s="24">
        <v>99</v>
      </c>
      <c r="AC51" s="18">
        <v>50</v>
      </c>
      <c r="AD51" s="28">
        <v>4.4</v>
      </c>
      <c r="AE51" s="29">
        <v>0.014</v>
      </c>
      <c r="AF51" s="25">
        <v>7.04</v>
      </c>
      <c r="AG51" s="19">
        <v>0.6502</v>
      </c>
      <c r="AI51" s="1" t="s">
        <v>763</v>
      </c>
      <c r="AJ51" s="24">
        <v>155</v>
      </c>
      <c r="AK51" s="1" t="s">
        <v>71</v>
      </c>
      <c r="AL51" s="24">
        <v>10</v>
      </c>
      <c r="AM51" s="24">
        <v>1</v>
      </c>
      <c r="AN51" s="15" t="s">
        <v>263</v>
      </c>
      <c r="AO51" s="1" t="s">
        <v>71</v>
      </c>
      <c r="AP51" s="1" t="s">
        <v>73</v>
      </c>
      <c r="AQ51" s="15" t="s">
        <v>273</v>
      </c>
      <c r="AR51" s="1" t="s">
        <v>274</v>
      </c>
      <c r="AS51" s="1" t="s">
        <v>77</v>
      </c>
      <c r="AT51" s="1" t="s">
        <v>76</v>
      </c>
      <c r="AU51" s="1" t="s">
        <v>77</v>
      </c>
      <c r="AV51" s="1" t="s">
        <v>76</v>
      </c>
      <c r="AW51" s="1" t="s">
        <v>76</v>
      </c>
      <c r="AX51" s="1" t="s">
        <v>77</v>
      </c>
      <c r="AY51" s="1" t="s">
        <v>76</v>
      </c>
      <c r="AZ51" s="1" t="s">
        <v>77</v>
      </c>
      <c r="BA51" s="15" t="s">
        <v>77</v>
      </c>
      <c r="BB51" s="23" t="s">
        <v>77</v>
      </c>
      <c r="BC51" s="23" t="s">
        <v>764</v>
      </c>
      <c r="BD51" s="23" t="s">
        <v>765</v>
      </c>
      <c r="BE51" s="23" t="s">
        <v>766</v>
      </c>
      <c r="BF51" s="1" t="s">
        <v>767</v>
      </c>
    </row>
    <row r="52" ht="24" customHeight="1" spans="1:58">
      <c r="A52" s="1" t="str">
        <f>_xlfn.DISPIMG("ID_6E53FEB405BF49FDA766B029E28BC971",1)</f>
        <v>=DISPIMG("ID_6E53FEB405BF49FDA766B029E28BC971",1)</v>
      </c>
      <c r="B52" s="15" t="s">
        <v>768</v>
      </c>
      <c r="C52" s="15" t="s">
        <v>77</v>
      </c>
      <c r="D52" s="15" t="s">
        <v>77</v>
      </c>
      <c r="E52" s="15" t="s">
        <v>85</v>
      </c>
      <c r="F52" s="15" t="s">
        <v>86</v>
      </c>
      <c r="G52" s="15" t="s">
        <v>769</v>
      </c>
      <c r="H52" s="15" t="s">
        <v>770</v>
      </c>
      <c r="I52" s="15" t="s">
        <v>771</v>
      </c>
      <c r="J52" s="15" t="s">
        <v>768</v>
      </c>
      <c r="K52" s="15" t="s">
        <v>65</v>
      </c>
      <c r="L52" s="15" t="s">
        <v>66</v>
      </c>
      <c r="M52" s="18">
        <v>11739</v>
      </c>
      <c r="N52" s="18">
        <v>15673</v>
      </c>
      <c r="O52" s="19">
        <v>0.5718</v>
      </c>
      <c r="P52" s="20" t="s">
        <v>67</v>
      </c>
      <c r="Q52" s="22" t="s">
        <v>772</v>
      </c>
      <c r="R52" s="18">
        <v>1656</v>
      </c>
      <c r="S52" s="19">
        <v>-0.3172</v>
      </c>
      <c r="T52" s="18">
        <v>66223.445</v>
      </c>
      <c r="U52" s="23" t="s">
        <v>245</v>
      </c>
      <c r="V52" s="18">
        <v>3999</v>
      </c>
      <c r="W52" s="24">
        <v>72</v>
      </c>
      <c r="X52" s="25">
        <v>39.99</v>
      </c>
      <c r="AA52" s="18">
        <v>10</v>
      </c>
      <c r="AB52" s="24">
        <v>464</v>
      </c>
      <c r="AC52" s="18">
        <v>14</v>
      </c>
      <c r="AD52" s="28">
        <v>4.4</v>
      </c>
      <c r="AE52" s="29">
        <v>0.0085</v>
      </c>
      <c r="AF52" s="25">
        <v>7.91</v>
      </c>
      <c r="AG52" s="19">
        <v>0.6022</v>
      </c>
      <c r="AI52" s="1" t="s">
        <v>773</v>
      </c>
      <c r="AJ52" s="24">
        <v>769</v>
      </c>
      <c r="AK52" s="1" t="s">
        <v>71</v>
      </c>
      <c r="AL52" s="24">
        <v>10</v>
      </c>
      <c r="AM52" s="24">
        <v>1</v>
      </c>
      <c r="AN52" s="15" t="s">
        <v>774</v>
      </c>
      <c r="AO52" s="1" t="s">
        <v>71</v>
      </c>
      <c r="AP52" s="1" t="s">
        <v>73</v>
      </c>
      <c r="AQ52" s="15" t="s">
        <v>775</v>
      </c>
      <c r="AR52" s="1" t="s">
        <v>776</v>
      </c>
      <c r="AS52" s="1" t="s">
        <v>77</v>
      </c>
      <c r="AT52" s="1" t="s">
        <v>77</v>
      </c>
      <c r="AU52" s="1" t="s">
        <v>77</v>
      </c>
      <c r="AV52" s="1" t="s">
        <v>76</v>
      </c>
      <c r="AW52" s="1" t="s">
        <v>76</v>
      </c>
      <c r="AX52" s="1" t="s">
        <v>77</v>
      </c>
      <c r="AY52" s="1" t="s">
        <v>77</v>
      </c>
      <c r="AZ52" s="1" t="s">
        <v>77</v>
      </c>
      <c r="BA52" s="15" t="s">
        <v>77</v>
      </c>
      <c r="BC52" s="23" t="s">
        <v>777</v>
      </c>
      <c r="BD52" s="23" t="s">
        <v>778</v>
      </c>
      <c r="BE52" s="23" t="s">
        <v>779</v>
      </c>
      <c r="BF52" s="1" t="s">
        <v>780</v>
      </c>
    </row>
    <row r="53" ht="24" customHeight="1" spans="1:58">
      <c r="A53" s="1" t="str">
        <f>_xlfn.DISPIMG("ID_F7B118C1919A4459A02AA34C62FAE403",1)</f>
        <v>=DISPIMG("ID_F7B118C1919A4459A02AA34C62FAE403",1)</v>
      </c>
      <c r="B53" s="15" t="s">
        <v>781</v>
      </c>
      <c r="C53" s="15" t="s">
        <v>77</v>
      </c>
      <c r="D53" s="15" t="s">
        <v>77</v>
      </c>
      <c r="E53" s="15" t="s">
        <v>782</v>
      </c>
      <c r="F53" s="15" t="s">
        <v>783</v>
      </c>
      <c r="G53" s="15" t="s">
        <v>784</v>
      </c>
      <c r="H53" s="15" t="s">
        <v>785</v>
      </c>
      <c r="I53" s="15" t="s">
        <v>786</v>
      </c>
      <c r="J53" s="15" t="s">
        <v>781</v>
      </c>
      <c r="K53" s="15" t="s">
        <v>65</v>
      </c>
      <c r="L53" s="15" t="s">
        <v>66</v>
      </c>
      <c r="M53" s="18">
        <v>11156</v>
      </c>
      <c r="N53" s="18">
        <v>7036</v>
      </c>
      <c r="O53" s="19">
        <v>0.3868</v>
      </c>
      <c r="P53" s="20" t="s">
        <v>67</v>
      </c>
      <c r="Q53" s="22" t="s">
        <v>162</v>
      </c>
      <c r="R53" s="18">
        <v>2551</v>
      </c>
      <c r="S53" s="19">
        <v>52.3542</v>
      </c>
      <c r="T53" s="18">
        <v>50994.49</v>
      </c>
      <c r="U53" s="23" t="s">
        <v>245</v>
      </c>
      <c r="V53" s="18">
        <v>1999</v>
      </c>
      <c r="W53" s="24">
        <v>43</v>
      </c>
      <c r="X53" s="25">
        <v>19.99</v>
      </c>
      <c r="AB53" s="24">
        <v>26</v>
      </c>
      <c r="AC53" s="18">
        <v>21</v>
      </c>
      <c r="AD53" s="28">
        <v>4.2</v>
      </c>
      <c r="AE53" s="29">
        <v>0.0082</v>
      </c>
      <c r="AF53" s="25">
        <v>7.04</v>
      </c>
      <c r="AG53" s="19">
        <v>0.4478</v>
      </c>
      <c r="AI53" s="1" t="s">
        <v>376</v>
      </c>
      <c r="AJ53" s="24">
        <v>120</v>
      </c>
      <c r="AK53" s="1" t="s">
        <v>71</v>
      </c>
      <c r="AL53" s="24">
        <v>9.9</v>
      </c>
      <c r="AM53" s="24">
        <v>1</v>
      </c>
      <c r="AN53" s="15" t="s">
        <v>782</v>
      </c>
      <c r="AO53" s="1" t="s">
        <v>71</v>
      </c>
      <c r="AP53" s="1" t="s">
        <v>73</v>
      </c>
      <c r="AQ53" s="15" t="s">
        <v>787</v>
      </c>
      <c r="AR53" s="1" t="s">
        <v>788</v>
      </c>
      <c r="AS53" s="1" t="s">
        <v>77</v>
      </c>
      <c r="AT53" s="1" t="s">
        <v>77</v>
      </c>
      <c r="AU53" s="1" t="s">
        <v>77</v>
      </c>
      <c r="AV53" s="1" t="s">
        <v>76</v>
      </c>
      <c r="AW53" s="1" t="s">
        <v>76</v>
      </c>
      <c r="AX53" s="1" t="s">
        <v>77</v>
      </c>
      <c r="AY53" s="1" t="s">
        <v>77</v>
      </c>
      <c r="AZ53" s="1" t="s">
        <v>77</v>
      </c>
      <c r="BA53" s="15" t="s">
        <v>77</v>
      </c>
      <c r="BC53" s="23" t="s">
        <v>789</v>
      </c>
      <c r="BD53" s="23" t="s">
        <v>790</v>
      </c>
      <c r="BF53" s="1" t="s">
        <v>77</v>
      </c>
    </row>
    <row r="54" ht="24" customHeight="1" spans="1:58">
      <c r="A54" s="1" t="str">
        <f>_xlfn.DISPIMG("ID_0FED23B694874EBAAEB3C50B413A4927",1)</f>
        <v>=DISPIMG("ID_0FED23B694874EBAAEB3C50B413A4927",1)</v>
      </c>
      <c r="B54" s="15" t="s">
        <v>791</v>
      </c>
      <c r="C54" s="15" t="s">
        <v>77</v>
      </c>
      <c r="D54" s="15" t="s">
        <v>77</v>
      </c>
      <c r="E54" s="15" t="s">
        <v>567</v>
      </c>
      <c r="F54" s="15" t="s">
        <v>568</v>
      </c>
      <c r="G54" s="15" t="s">
        <v>792</v>
      </c>
      <c r="H54" s="15" t="s">
        <v>793</v>
      </c>
      <c r="I54" s="15" t="s">
        <v>794</v>
      </c>
      <c r="J54" s="15" t="s">
        <v>791</v>
      </c>
      <c r="K54" s="15" t="s">
        <v>795</v>
      </c>
      <c r="L54" s="15" t="s">
        <v>66</v>
      </c>
      <c r="M54" s="18">
        <v>9326</v>
      </c>
      <c r="N54" s="18">
        <v>-1820</v>
      </c>
      <c r="O54" s="19">
        <v>-0.2425</v>
      </c>
      <c r="P54" s="20" t="s">
        <v>796</v>
      </c>
      <c r="Q54" s="22" t="s">
        <v>797</v>
      </c>
      <c r="R54" s="18">
        <v>3403</v>
      </c>
      <c r="S54" s="19">
        <v>0.7881</v>
      </c>
      <c r="T54" s="18">
        <v>68025.97</v>
      </c>
      <c r="U54" s="23" t="s">
        <v>245</v>
      </c>
      <c r="V54" s="18">
        <v>1999</v>
      </c>
      <c r="W54" s="24">
        <v>88</v>
      </c>
      <c r="X54" s="25">
        <v>19.99</v>
      </c>
      <c r="AB54" s="24">
        <v>210</v>
      </c>
      <c r="AC54" s="18">
        <v>44</v>
      </c>
      <c r="AD54" s="28">
        <v>4.2</v>
      </c>
      <c r="AE54" s="29">
        <v>0.0129</v>
      </c>
      <c r="AF54" s="25">
        <v>6.27</v>
      </c>
      <c r="AG54" s="19">
        <v>0.4863</v>
      </c>
      <c r="AI54" s="1" t="s">
        <v>798</v>
      </c>
      <c r="AJ54" s="24">
        <v>355</v>
      </c>
      <c r="AK54" s="1" t="s">
        <v>71</v>
      </c>
      <c r="AL54" s="24">
        <v>9.7</v>
      </c>
      <c r="AM54" s="24">
        <v>1</v>
      </c>
      <c r="AN54" s="15" t="s">
        <v>575</v>
      </c>
      <c r="AO54" s="1" t="s">
        <v>71</v>
      </c>
      <c r="AP54" s="1" t="s">
        <v>73</v>
      </c>
      <c r="AQ54" s="15" t="s">
        <v>576</v>
      </c>
      <c r="AR54" s="1" t="s">
        <v>577</v>
      </c>
      <c r="AS54" s="1" t="s">
        <v>77</v>
      </c>
      <c r="AT54" s="1" t="s">
        <v>77</v>
      </c>
      <c r="AU54" s="1" t="s">
        <v>77</v>
      </c>
      <c r="AV54" s="1" t="s">
        <v>76</v>
      </c>
      <c r="AW54" s="1" t="s">
        <v>76</v>
      </c>
      <c r="AX54" s="1" t="s">
        <v>77</v>
      </c>
      <c r="AY54" s="1" t="s">
        <v>77</v>
      </c>
      <c r="AZ54" s="1" t="s">
        <v>77</v>
      </c>
      <c r="BA54" s="15" t="s">
        <v>77</v>
      </c>
      <c r="BC54" s="23" t="s">
        <v>377</v>
      </c>
      <c r="BD54" s="23" t="s">
        <v>378</v>
      </c>
      <c r="BE54" s="23" t="s">
        <v>799</v>
      </c>
      <c r="BF54" s="1" t="s">
        <v>800</v>
      </c>
    </row>
    <row r="55" ht="24" customHeight="1" spans="1:58">
      <c r="A55" s="1" t="str">
        <f>_xlfn.DISPIMG("ID_0913A62199684CC985B9C47A698489E4",1)</f>
        <v>=DISPIMG("ID_0913A62199684CC985B9C47A698489E4",1)</v>
      </c>
      <c r="B55" s="15" t="s">
        <v>801</v>
      </c>
      <c r="C55" s="15" t="s">
        <v>77</v>
      </c>
      <c r="D55" s="15" t="s">
        <v>77</v>
      </c>
      <c r="E55" s="15" t="s">
        <v>175</v>
      </c>
      <c r="F55" s="15" t="s">
        <v>176</v>
      </c>
      <c r="G55" s="15" t="s">
        <v>802</v>
      </c>
      <c r="H55" s="15" t="s">
        <v>803</v>
      </c>
      <c r="I55" s="15" t="s">
        <v>804</v>
      </c>
      <c r="J55" s="15" t="s">
        <v>801</v>
      </c>
      <c r="K55" s="15" t="s">
        <v>65</v>
      </c>
      <c r="L55" s="15" t="s">
        <v>66</v>
      </c>
      <c r="M55" s="18">
        <v>16052</v>
      </c>
      <c r="N55" s="18">
        <v>9528</v>
      </c>
      <c r="O55" s="19">
        <v>0.3725</v>
      </c>
      <c r="P55" s="20" t="s">
        <v>67</v>
      </c>
      <c r="Q55" s="22" t="s">
        <v>805</v>
      </c>
      <c r="R55" s="18">
        <v>2595</v>
      </c>
      <c r="S55" s="19">
        <v>0.4264</v>
      </c>
      <c r="T55" s="18">
        <v>116749.055</v>
      </c>
      <c r="U55" s="23" t="s">
        <v>245</v>
      </c>
      <c r="V55" s="18">
        <v>4499</v>
      </c>
      <c r="W55" s="24">
        <v>49</v>
      </c>
      <c r="X55" s="25">
        <v>44.99</v>
      </c>
      <c r="AA55" s="18">
        <v>1</v>
      </c>
      <c r="AB55" s="24">
        <v>230</v>
      </c>
      <c r="AC55" s="18">
        <v>21</v>
      </c>
      <c r="AD55" s="28">
        <v>4.2</v>
      </c>
      <c r="AE55" s="29">
        <v>0.0081</v>
      </c>
      <c r="AF55" s="25">
        <v>6.92</v>
      </c>
      <c r="AG55" s="19">
        <v>0.6462</v>
      </c>
      <c r="AI55" s="1" t="s">
        <v>806</v>
      </c>
      <c r="AJ55" s="24">
        <v>444</v>
      </c>
      <c r="AK55" s="1" t="s">
        <v>71</v>
      </c>
      <c r="AL55" s="24">
        <v>8.8</v>
      </c>
      <c r="AM55" s="24">
        <v>1</v>
      </c>
      <c r="AN55" s="15" t="s">
        <v>807</v>
      </c>
      <c r="AO55" s="1" t="s">
        <v>71</v>
      </c>
      <c r="AP55" s="1" t="s">
        <v>73</v>
      </c>
      <c r="AQ55" s="15" t="s">
        <v>808</v>
      </c>
      <c r="AR55" s="1" t="s">
        <v>809</v>
      </c>
      <c r="AS55" s="1" t="s">
        <v>77</v>
      </c>
      <c r="AT55" s="1" t="s">
        <v>77</v>
      </c>
      <c r="AU55" s="1" t="s">
        <v>77</v>
      </c>
      <c r="AV55" s="1" t="s">
        <v>76</v>
      </c>
      <c r="AW55" s="1" t="s">
        <v>76</v>
      </c>
      <c r="AX55" s="1" t="s">
        <v>77</v>
      </c>
      <c r="AY55" s="1" t="s">
        <v>77</v>
      </c>
      <c r="AZ55" s="1" t="s">
        <v>77</v>
      </c>
      <c r="BA55" s="15" t="s">
        <v>77</v>
      </c>
      <c r="BC55" s="23" t="s">
        <v>221</v>
      </c>
      <c r="BD55" s="23" t="s">
        <v>222</v>
      </c>
      <c r="BE55" s="23" t="s">
        <v>223</v>
      </c>
      <c r="BF55" s="1" t="s">
        <v>224</v>
      </c>
    </row>
    <row r="56" ht="24" customHeight="1" spans="1:58">
      <c r="A56" s="1" t="str">
        <f>_xlfn.DISPIMG("ID_74596E76856C4959BE98081534CD8C73",1)</f>
        <v>=DISPIMG("ID_74596E76856C4959BE98081534CD8C73",1)</v>
      </c>
      <c r="B56" s="15" t="s">
        <v>810</v>
      </c>
      <c r="C56" s="15" t="s">
        <v>77</v>
      </c>
      <c r="D56" s="15" t="s">
        <v>77</v>
      </c>
      <c r="E56" s="15" t="s">
        <v>811</v>
      </c>
      <c r="F56" s="15" t="s">
        <v>812</v>
      </c>
      <c r="G56" s="15" t="s">
        <v>813</v>
      </c>
      <c r="H56" s="15" t="s">
        <v>814</v>
      </c>
      <c r="I56" s="15" t="s">
        <v>815</v>
      </c>
      <c r="J56" s="15" t="s">
        <v>810</v>
      </c>
      <c r="K56" s="15" t="s">
        <v>65</v>
      </c>
      <c r="L56" s="15" t="s">
        <v>66</v>
      </c>
      <c r="M56" s="18">
        <v>12374</v>
      </c>
      <c r="N56" s="18">
        <v>5122</v>
      </c>
      <c r="O56" s="19">
        <v>0.2928</v>
      </c>
      <c r="P56" s="20" t="s">
        <v>67</v>
      </c>
      <c r="Q56" s="22" t="s">
        <v>659</v>
      </c>
      <c r="R56" s="18">
        <v>3245</v>
      </c>
      <c r="S56" s="19">
        <v>0.8033</v>
      </c>
      <c r="T56" s="18">
        <v>129767.555</v>
      </c>
      <c r="U56" s="23" t="s">
        <v>126</v>
      </c>
      <c r="V56" s="18">
        <v>27993</v>
      </c>
      <c r="W56" s="24">
        <v>25</v>
      </c>
      <c r="X56" s="25">
        <v>39.99</v>
      </c>
      <c r="AB56" s="24">
        <v>297</v>
      </c>
      <c r="AC56" s="18">
        <v>26</v>
      </c>
      <c r="AD56" s="28">
        <v>4.4</v>
      </c>
      <c r="AE56" s="29">
        <v>0.008</v>
      </c>
      <c r="AF56" s="25">
        <v>6.19</v>
      </c>
      <c r="AG56" s="19">
        <v>0.6452</v>
      </c>
      <c r="AI56" s="1" t="s">
        <v>816</v>
      </c>
      <c r="AJ56" s="24">
        <v>303</v>
      </c>
      <c r="AK56" s="1" t="s">
        <v>71</v>
      </c>
      <c r="AL56" s="24">
        <v>10</v>
      </c>
      <c r="AM56" s="24">
        <v>1</v>
      </c>
      <c r="AN56" s="15" t="s">
        <v>811</v>
      </c>
      <c r="AO56" s="1" t="s">
        <v>71</v>
      </c>
      <c r="AP56" s="1" t="s">
        <v>73</v>
      </c>
      <c r="AQ56" s="15" t="s">
        <v>817</v>
      </c>
      <c r="AR56" s="1" t="s">
        <v>818</v>
      </c>
      <c r="AS56" s="1" t="s">
        <v>76</v>
      </c>
      <c r="AT56" s="1" t="s">
        <v>77</v>
      </c>
      <c r="AU56" s="1" t="s">
        <v>76</v>
      </c>
      <c r="AV56" s="1" t="s">
        <v>76</v>
      </c>
      <c r="AW56" s="1" t="s">
        <v>76</v>
      </c>
      <c r="AX56" s="1" t="s">
        <v>77</v>
      </c>
      <c r="AY56" s="1" t="s">
        <v>77</v>
      </c>
      <c r="AZ56" s="1" t="s">
        <v>77</v>
      </c>
      <c r="BA56" s="15" t="s">
        <v>77</v>
      </c>
      <c r="BC56" s="23" t="s">
        <v>819</v>
      </c>
      <c r="BD56" s="23" t="s">
        <v>820</v>
      </c>
      <c r="BE56" s="23" t="s">
        <v>821</v>
      </c>
      <c r="BF56" s="1" t="s">
        <v>822</v>
      </c>
    </row>
    <row r="57" ht="24" customHeight="1" spans="1:58">
      <c r="A57" s="1" t="str">
        <f>_xlfn.DISPIMG("ID_D96F34ED08A74AAC88C3DF40E73EB254",1)</f>
        <v>=DISPIMG("ID_D96F34ED08A74AAC88C3DF40E73EB254",1)</v>
      </c>
      <c r="B57" s="15" t="s">
        <v>823</v>
      </c>
      <c r="C57" s="15" t="s">
        <v>77</v>
      </c>
      <c r="D57" s="15" t="s">
        <v>77</v>
      </c>
      <c r="E57" s="15" t="s">
        <v>59</v>
      </c>
      <c r="F57" s="15" t="s">
        <v>60</v>
      </c>
      <c r="G57" s="15" t="s">
        <v>824</v>
      </c>
      <c r="H57" s="15" t="s">
        <v>825</v>
      </c>
      <c r="I57" s="15" t="s">
        <v>826</v>
      </c>
      <c r="J57" s="15" t="s">
        <v>823</v>
      </c>
      <c r="K57" s="15" t="s">
        <v>65</v>
      </c>
      <c r="L57" s="15" t="s">
        <v>66</v>
      </c>
      <c r="M57" s="18">
        <v>12443</v>
      </c>
      <c r="N57" s="18">
        <v>1467</v>
      </c>
      <c r="O57" s="19">
        <v>0.1055</v>
      </c>
      <c r="P57" s="20" t="s">
        <v>67</v>
      </c>
      <c r="Q57" s="22" t="s">
        <v>827</v>
      </c>
      <c r="R57" s="18">
        <v>3953</v>
      </c>
      <c r="S57" s="19">
        <v>0.3185</v>
      </c>
      <c r="T57" s="18">
        <v>154127.48</v>
      </c>
      <c r="U57" s="23" t="s">
        <v>332</v>
      </c>
      <c r="V57" s="18">
        <v>11697</v>
      </c>
      <c r="W57" s="24">
        <v>44</v>
      </c>
      <c r="X57" s="25">
        <v>38.99</v>
      </c>
      <c r="AA57" s="18">
        <v>4</v>
      </c>
      <c r="AB57" s="24">
        <v>481</v>
      </c>
      <c r="AC57" s="18">
        <v>13</v>
      </c>
      <c r="AD57" s="28">
        <v>3.9</v>
      </c>
      <c r="AE57" s="29">
        <v>0.0033</v>
      </c>
      <c r="AF57" s="25">
        <v>7.53</v>
      </c>
      <c r="AG57" s="19">
        <v>0.6069</v>
      </c>
      <c r="AI57" s="1" t="s">
        <v>201</v>
      </c>
      <c r="AJ57" s="24">
        <v>484</v>
      </c>
      <c r="AK57" s="1" t="s">
        <v>71</v>
      </c>
      <c r="AL57" s="24">
        <v>9.5</v>
      </c>
      <c r="AM57" s="24">
        <v>1</v>
      </c>
      <c r="AN57" s="15" t="s">
        <v>72</v>
      </c>
      <c r="AO57" s="1" t="s">
        <v>71</v>
      </c>
      <c r="AP57" s="1" t="s">
        <v>73</v>
      </c>
      <c r="AQ57" s="15" t="s">
        <v>74</v>
      </c>
      <c r="AR57" s="1" t="s">
        <v>75</v>
      </c>
      <c r="AS57" s="1" t="s">
        <v>77</v>
      </c>
      <c r="AT57" s="1" t="s">
        <v>77</v>
      </c>
      <c r="AU57" s="1" t="s">
        <v>77</v>
      </c>
      <c r="AV57" s="1" t="s">
        <v>76</v>
      </c>
      <c r="AW57" s="1" t="s">
        <v>77</v>
      </c>
      <c r="AX57" s="1" t="s">
        <v>77</v>
      </c>
      <c r="AY57" s="1" t="s">
        <v>77</v>
      </c>
      <c r="AZ57" s="1" t="s">
        <v>77</v>
      </c>
      <c r="BA57" s="15" t="s">
        <v>77</v>
      </c>
      <c r="BC57" s="23" t="s">
        <v>777</v>
      </c>
      <c r="BD57" s="23" t="s">
        <v>778</v>
      </c>
      <c r="BE57" s="23" t="s">
        <v>828</v>
      </c>
      <c r="BF57" s="1" t="s">
        <v>829</v>
      </c>
    </row>
    <row r="58" ht="24" customHeight="1" spans="1:58">
      <c r="A58" s="1" t="str">
        <f>_xlfn.DISPIMG("ID_7BA8B097E3704116A456CAD408F3C56B",1)</f>
        <v>=DISPIMG("ID_7BA8B097E3704116A456CAD408F3C56B",1)</v>
      </c>
      <c r="B58" s="15" t="s">
        <v>830</v>
      </c>
      <c r="C58" s="15" t="s">
        <v>77</v>
      </c>
      <c r="D58" s="15" t="s">
        <v>77</v>
      </c>
      <c r="E58" s="15" t="s">
        <v>831</v>
      </c>
      <c r="F58" s="15" t="s">
        <v>832</v>
      </c>
      <c r="G58" s="15" t="s">
        <v>833</v>
      </c>
      <c r="H58" s="15" t="s">
        <v>834</v>
      </c>
      <c r="I58" s="15" t="s">
        <v>835</v>
      </c>
      <c r="J58" s="15" t="s">
        <v>830</v>
      </c>
      <c r="K58" s="15" t="s">
        <v>65</v>
      </c>
      <c r="L58" s="15" t="s">
        <v>66</v>
      </c>
      <c r="M58" s="18">
        <v>11033</v>
      </c>
      <c r="N58" s="18">
        <v>2417</v>
      </c>
      <c r="O58" s="19">
        <v>0.2563</v>
      </c>
      <c r="P58" s="20" t="s">
        <v>67</v>
      </c>
      <c r="Q58" s="22" t="s">
        <v>836</v>
      </c>
      <c r="R58" s="18">
        <v>3461</v>
      </c>
      <c r="S58" s="19">
        <v>0.1196</v>
      </c>
      <c r="T58" s="18">
        <v>101788.01</v>
      </c>
      <c r="U58" s="23" t="s">
        <v>245</v>
      </c>
      <c r="V58" s="18">
        <v>2941</v>
      </c>
      <c r="W58" s="24">
        <v>73</v>
      </c>
      <c r="X58" s="25">
        <v>40.98</v>
      </c>
      <c r="AB58" s="24">
        <v>58</v>
      </c>
      <c r="AC58" s="18">
        <v>25</v>
      </c>
      <c r="AD58" s="28">
        <v>4.5</v>
      </c>
      <c r="AE58" s="29">
        <v>0.0072</v>
      </c>
      <c r="AF58" s="25">
        <v>6.53</v>
      </c>
      <c r="AG58" s="19">
        <v>0.578</v>
      </c>
      <c r="AI58" s="1" t="s">
        <v>837</v>
      </c>
      <c r="AJ58" s="24">
        <v>134</v>
      </c>
      <c r="AK58" s="1" t="s">
        <v>71</v>
      </c>
      <c r="AL58" s="24">
        <v>9</v>
      </c>
      <c r="AM58" s="24">
        <v>1</v>
      </c>
      <c r="AN58" s="15" t="s">
        <v>831</v>
      </c>
      <c r="AO58" s="1" t="s">
        <v>71</v>
      </c>
      <c r="AP58" s="1" t="s">
        <v>73</v>
      </c>
      <c r="AQ58" s="15" t="s">
        <v>838</v>
      </c>
      <c r="AR58" s="1" t="s">
        <v>839</v>
      </c>
      <c r="AS58" s="1" t="s">
        <v>77</v>
      </c>
      <c r="AT58" s="1" t="s">
        <v>77</v>
      </c>
      <c r="AU58" s="1" t="s">
        <v>76</v>
      </c>
      <c r="AV58" s="1" t="s">
        <v>76</v>
      </c>
      <c r="AW58" s="1" t="s">
        <v>76</v>
      </c>
      <c r="AX58" s="1" t="s">
        <v>77</v>
      </c>
      <c r="AY58" s="1" t="s">
        <v>77</v>
      </c>
      <c r="AZ58" s="1" t="s">
        <v>77</v>
      </c>
      <c r="BA58" s="15" t="s">
        <v>77</v>
      </c>
      <c r="BC58" s="23" t="s">
        <v>481</v>
      </c>
      <c r="BD58" s="23" t="s">
        <v>482</v>
      </c>
      <c r="BE58" s="23" t="s">
        <v>840</v>
      </c>
      <c r="BF58" s="1" t="s">
        <v>841</v>
      </c>
    </row>
    <row r="59" ht="24" customHeight="1" spans="1:58">
      <c r="A59" s="1" t="str">
        <f>_xlfn.DISPIMG("ID_AD38CF5B542744F5A26A3AC50D061651",1)</f>
        <v>=DISPIMG("ID_AD38CF5B542744F5A26A3AC50D061651",1)</v>
      </c>
      <c r="B59" s="15" t="s">
        <v>842</v>
      </c>
      <c r="C59" s="15" t="s">
        <v>77</v>
      </c>
      <c r="D59" s="15" t="s">
        <v>77</v>
      </c>
      <c r="E59" s="15" t="s">
        <v>211</v>
      </c>
      <c r="F59" s="15" t="s">
        <v>212</v>
      </c>
      <c r="G59" s="15" t="s">
        <v>843</v>
      </c>
      <c r="H59" s="15" t="s">
        <v>844</v>
      </c>
      <c r="I59" s="15" t="s">
        <v>845</v>
      </c>
      <c r="J59" s="15" t="s">
        <v>842</v>
      </c>
      <c r="K59" s="15" t="s">
        <v>65</v>
      </c>
      <c r="L59" s="15" t="s">
        <v>66</v>
      </c>
      <c r="M59" s="18">
        <v>10348</v>
      </c>
      <c r="N59" s="18">
        <v>47183</v>
      </c>
      <c r="O59" s="19">
        <v>0.8201</v>
      </c>
      <c r="P59" s="20" t="s">
        <v>67</v>
      </c>
      <c r="Q59" s="22" t="s">
        <v>716</v>
      </c>
      <c r="R59" s="18">
        <v>1735</v>
      </c>
      <c r="S59" s="19">
        <v>-0.1564</v>
      </c>
      <c r="T59" s="18">
        <v>49950.652</v>
      </c>
      <c r="U59" s="23" t="s">
        <v>245</v>
      </c>
      <c r="V59" s="18">
        <v>2879</v>
      </c>
      <c r="W59" s="24">
        <v>80</v>
      </c>
      <c r="X59" s="25">
        <v>28.79</v>
      </c>
      <c r="AB59" s="24">
        <v>97</v>
      </c>
      <c r="AC59" s="18">
        <v>28</v>
      </c>
      <c r="AD59" s="28">
        <v>4.1</v>
      </c>
      <c r="AE59" s="29">
        <v>0.0161</v>
      </c>
      <c r="AF59" s="25">
        <v>7.91</v>
      </c>
      <c r="AG59" s="19">
        <v>0.5253</v>
      </c>
      <c r="AI59" s="1" t="s">
        <v>846</v>
      </c>
      <c r="AJ59" s="24">
        <v>198</v>
      </c>
      <c r="AK59" s="1" t="s">
        <v>71</v>
      </c>
      <c r="AL59" s="24">
        <v>10</v>
      </c>
      <c r="AM59" s="24">
        <v>1</v>
      </c>
      <c r="AN59" s="15" t="s">
        <v>211</v>
      </c>
      <c r="AO59" s="1" t="s">
        <v>71</v>
      </c>
      <c r="AP59" s="1" t="s">
        <v>73</v>
      </c>
      <c r="AQ59" s="15" t="s">
        <v>219</v>
      </c>
      <c r="AR59" s="1" t="s">
        <v>220</v>
      </c>
      <c r="AS59" s="1" t="s">
        <v>77</v>
      </c>
      <c r="AT59" s="1" t="s">
        <v>77</v>
      </c>
      <c r="AU59" s="1" t="s">
        <v>76</v>
      </c>
      <c r="AV59" s="1" t="s">
        <v>76</v>
      </c>
      <c r="AW59" s="1" t="s">
        <v>76</v>
      </c>
      <c r="AX59" s="1" t="s">
        <v>77</v>
      </c>
      <c r="AY59" s="1" t="s">
        <v>77</v>
      </c>
      <c r="AZ59" s="1" t="s">
        <v>77</v>
      </c>
      <c r="BA59" s="15" t="s">
        <v>77</v>
      </c>
      <c r="BC59" s="23" t="s">
        <v>221</v>
      </c>
      <c r="BD59" s="23" t="s">
        <v>222</v>
      </c>
      <c r="BE59" s="23" t="s">
        <v>223</v>
      </c>
      <c r="BF59" s="1" t="s">
        <v>224</v>
      </c>
    </row>
    <row r="60" ht="24" customHeight="1" spans="1:58">
      <c r="A60" s="1" t="str">
        <f>_xlfn.DISPIMG("ID_3081B06DEA6A413F978358DEB8B358EA",1)</f>
        <v>=DISPIMG("ID_3081B06DEA6A413F978358DEB8B358EA",1)</v>
      </c>
      <c r="B60" s="15" t="s">
        <v>847</v>
      </c>
      <c r="C60" s="15" t="s">
        <v>77</v>
      </c>
      <c r="D60" s="15" t="s">
        <v>77</v>
      </c>
      <c r="E60" s="15" t="s">
        <v>175</v>
      </c>
      <c r="F60" s="15" t="s">
        <v>176</v>
      </c>
      <c r="G60" s="15" t="s">
        <v>848</v>
      </c>
      <c r="H60" s="15" t="s">
        <v>849</v>
      </c>
      <c r="I60" s="15" t="s">
        <v>850</v>
      </c>
      <c r="J60" s="15" t="s">
        <v>847</v>
      </c>
      <c r="K60" s="15" t="s">
        <v>65</v>
      </c>
      <c r="L60" s="15" t="s">
        <v>66</v>
      </c>
      <c r="M60" s="18">
        <v>12002</v>
      </c>
      <c r="N60" s="18">
        <v>-2674</v>
      </c>
      <c r="O60" s="19">
        <v>-0.2867</v>
      </c>
      <c r="P60" s="20" t="s">
        <v>67</v>
      </c>
      <c r="Q60" s="22" t="s">
        <v>851</v>
      </c>
      <c r="R60" s="18">
        <v>3677</v>
      </c>
      <c r="S60" s="19">
        <v>-0.1781</v>
      </c>
      <c r="T60" s="18">
        <v>143366.23</v>
      </c>
      <c r="U60" s="23" t="s">
        <v>245</v>
      </c>
      <c r="V60" s="18">
        <v>3899</v>
      </c>
      <c r="W60" s="24">
        <v>77</v>
      </c>
      <c r="X60" s="25">
        <v>38.99</v>
      </c>
      <c r="AB60" s="24">
        <v>135</v>
      </c>
      <c r="AC60" s="18">
        <v>51</v>
      </c>
      <c r="AD60" s="28">
        <v>4</v>
      </c>
      <c r="AE60" s="29">
        <v>0.0139</v>
      </c>
      <c r="AF60" s="25">
        <v>6.53</v>
      </c>
      <c r="AG60" s="19">
        <v>0.6325</v>
      </c>
      <c r="AI60" s="1" t="s">
        <v>852</v>
      </c>
      <c r="AJ60" s="24">
        <v>220</v>
      </c>
      <c r="AK60" s="1" t="s">
        <v>853</v>
      </c>
      <c r="AL60" s="24">
        <v>9</v>
      </c>
      <c r="AM60" s="24">
        <v>1</v>
      </c>
      <c r="AN60" s="15" t="s">
        <v>807</v>
      </c>
      <c r="AO60" s="1" t="s">
        <v>853</v>
      </c>
      <c r="AP60" s="1" t="s">
        <v>73</v>
      </c>
      <c r="AQ60" s="15" t="s">
        <v>808</v>
      </c>
      <c r="AR60" s="1" t="s">
        <v>809</v>
      </c>
      <c r="AS60" s="1" t="s">
        <v>77</v>
      </c>
      <c r="AT60" s="1" t="s">
        <v>77</v>
      </c>
      <c r="AU60" s="1" t="s">
        <v>77</v>
      </c>
      <c r="AV60" s="1" t="s">
        <v>76</v>
      </c>
      <c r="AW60" s="1" t="s">
        <v>76</v>
      </c>
      <c r="AX60" s="1" t="s">
        <v>77</v>
      </c>
      <c r="AY60" s="1" t="s">
        <v>77</v>
      </c>
      <c r="AZ60" s="1" t="s">
        <v>77</v>
      </c>
      <c r="BA60" s="15" t="s">
        <v>77</v>
      </c>
      <c r="BC60" s="23" t="s">
        <v>221</v>
      </c>
      <c r="BD60" s="23" t="s">
        <v>222</v>
      </c>
      <c r="BE60" s="23" t="s">
        <v>223</v>
      </c>
      <c r="BF60" s="1" t="s">
        <v>224</v>
      </c>
    </row>
    <row r="61" ht="24" customHeight="1" spans="1:58">
      <c r="A61" s="1" t="str">
        <f>_xlfn.DISPIMG("ID_4DCC23E4EBE24339886E074514AD86AB",1)</f>
        <v>=DISPIMG("ID_4DCC23E4EBE24339886E074514AD86AB",1)</v>
      </c>
      <c r="B61" s="15" t="s">
        <v>854</v>
      </c>
      <c r="C61" s="15" t="s">
        <v>77</v>
      </c>
      <c r="D61" s="15" t="s">
        <v>77</v>
      </c>
      <c r="E61" s="15" t="s">
        <v>85</v>
      </c>
      <c r="F61" s="15" t="s">
        <v>86</v>
      </c>
      <c r="G61" s="15" t="s">
        <v>855</v>
      </c>
      <c r="H61" s="15" t="s">
        <v>856</v>
      </c>
      <c r="I61" s="15" t="s">
        <v>857</v>
      </c>
      <c r="J61" s="15" t="s">
        <v>854</v>
      </c>
      <c r="K61" s="15" t="s">
        <v>65</v>
      </c>
      <c r="L61" s="15" t="s">
        <v>66</v>
      </c>
      <c r="M61" s="18">
        <v>15907</v>
      </c>
      <c r="N61" s="18">
        <v>60769</v>
      </c>
      <c r="O61" s="19">
        <v>0.7925</v>
      </c>
      <c r="P61" s="20" t="s">
        <v>67</v>
      </c>
      <c r="Q61" s="22" t="s">
        <v>858</v>
      </c>
      <c r="R61" s="18">
        <v>1211</v>
      </c>
      <c r="S61" s="19">
        <v>-0.3366</v>
      </c>
      <c r="T61" s="18">
        <v>54482.89</v>
      </c>
      <c r="U61" s="23" t="s">
        <v>162</v>
      </c>
      <c r="V61" s="18">
        <v>2249.5</v>
      </c>
      <c r="W61" s="24">
        <v>40</v>
      </c>
      <c r="X61" s="25">
        <v>44.99</v>
      </c>
      <c r="AB61" s="24">
        <v>41</v>
      </c>
      <c r="AC61" s="18">
        <v>17</v>
      </c>
      <c r="AD61" s="28">
        <v>4.7</v>
      </c>
      <c r="AE61" s="29">
        <v>0.014</v>
      </c>
      <c r="AF61" s="25">
        <v>7.91</v>
      </c>
      <c r="AG61" s="19">
        <v>0.6242</v>
      </c>
      <c r="AI61" s="1" t="s">
        <v>859</v>
      </c>
      <c r="AJ61" s="24">
        <v>165</v>
      </c>
      <c r="AK61" s="1" t="s">
        <v>71</v>
      </c>
      <c r="AL61" s="24">
        <v>10</v>
      </c>
      <c r="AM61" s="24">
        <v>1</v>
      </c>
      <c r="AN61" s="15" t="s">
        <v>85</v>
      </c>
      <c r="AO61" s="1" t="s">
        <v>71</v>
      </c>
      <c r="AP61" s="1" t="s">
        <v>73</v>
      </c>
      <c r="AQ61" s="15" t="s">
        <v>95</v>
      </c>
      <c r="AR61" s="1" t="s">
        <v>96</v>
      </c>
      <c r="AS61" s="1" t="s">
        <v>77</v>
      </c>
      <c r="AT61" s="1" t="s">
        <v>77</v>
      </c>
      <c r="AU61" s="1" t="s">
        <v>77</v>
      </c>
      <c r="AV61" s="1" t="s">
        <v>76</v>
      </c>
      <c r="AW61" s="1" t="s">
        <v>76</v>
      </c>
      <c r="AX61" s="1" t="s">
        <v>77</v>
      </c>
      <c r="AY61" s="1" t="s">
        <v>77</v>
      </c>
      <c r="AZ61" s="1" t="s">
        <v>77</v>
      </c>
      <c r="BA61" s="15" t="s">
        <v>77</v>
      </c>
      <c r="BC61" s="23" t="s">
        <v>860</v>
      </c>
      <c r="BD61" s="23" t="s">
        <v>861</v>
      </c>
      <c r="BE61" s="23" t="s">
        <v>862</v>
      </c>
      <c r="BF61" s="1" t="s">
        <v>863</v>
      </c>
    </row>
    <row r="62" ht="24" customHeight="1" spans="1:58">
      <c r="A62" s="1" t="str">
        <f>_xlfn.DISPIMG("ID_EE346A2F3962438C8C61B799C644E0B4",1)</f>
        <v>=DISPIMG("ID_EE346A2F3962438C8C61B799C644E0B4",1)</v>
      </c>
      <c r="B62" s="15" t="s">
        <v>864</v>
      </c>
      <c r="C62" s="15" t="s">
        <v>77</v>
      </c>
      <c r="D62" s="15" t="s">
        <v>77</v>
      </c>
      <c r="E62" s="15" t="s">
        <v>865</v>
      </c>
      <c r="F62" s="15" t="s">
        <v>866</v>
      </c>
      <c r="G62" s="15" t="s">
        <v>867</v>
      </c>
      <c r="H62" s="15" t="s">
        <v>868</v>
      </c>
      <c r="I62" s="15" t="s">
        <v>869</v>
      </c>
      <c r="J62" s="15" t="s">
        <v>864</v>
      </c>
      <c r="K62" s="15" t="s">
        <v>65</v>
      </c>
      <c r="L62" s="15" t="s">
        <v>66</v>
      </c>
      <c r="M62" s="18">
        <v>14225</v>
      </c>
      <c r="N62" s="18">
        <v>1556</v>
      </c>
      <c r="O62" s="19">
        <v>0.0986</v>
      </c>
      <c r="P62" s="20" t="s">
        <v>67</v>
      </c>
      <c r="Q62" s="22" t="s">
        <v>870</v>
      </c>
      <c r="R62" s="18">
        <v>2718</v>
      </c>
      <c r="S62" s="19">
        <v>-0.0489</v>
      </c>
      <c r="T62" s="18">
        <v>152180.83</v>
      </c>
      <c r="U62" s="23" t="s">
        <v>270</v>
      </c>
      <c r="V62" s="18">
        <v>11198</v>
      </c>
      <c r="W62" s="24">
        <v>39</v>
      </c>
      <c r="X62" s="25">
        <v>55.99</v>
      </c>
      <c r="AB62" s="24">
        <v>86</v>
      </c>
      <c r="AC62" s="18">
        <v>35</v>
      </c>
      <c r="AD62" s="28">
        <v>4.2</v>
      </c>
      <c r="AE62" s="29">
        <v>0.0129</v>
      </c>
      <c r="AF62" s="25">
        <v>7.04</v>
      </c>
      <c r="AG62" s="19">
        <v>0.6743</v>
      </c>
      <c r="AI62" s="1" t="s">
        <v>871</v>
      </c>
      <c r="AJ62" s="24">
        <v>193</v>
      </c>
      <c r="AK62" s="1" t="s">
        <v>71</v>
      </c>
      <c r="AL62" s="24">
        <v>10</v>
      </c>
      <c r="AM62" s="24">
        <v>2</v>
      </c>
      <c r="AN62" s="15" t="s">
        <v>872</v>
      </c>
      <c r="AO62" s="1" t="s">
        <v>71</v>
      </c>
      <c r="AP62" s="1" t="s">
        <v>73</v>
      </c>
      <c r="AQ62" s="15" t="s">
        <v>873</v>
      </c>
      <c r="AR62" s="1" t="s">
        <v>874</v>
      </c>
      <c r="AS62" s="1" t="s">
        <v>77</v>
      </c>
      <c r="AT62" s="1" t="s">
        <v>77</v>
      </c>
      <c r="AU62" s="1" t="s">
        <v>77</v>
      </c>
      <c r="AV62" s="1" t="s">
        <v>76</v>
      </c>
      <c r="AW62" s="1" t="s">
        <v>76</v>
      </c>
      <c r="AX62" s="1" t="s">
        <v>77</v>
      </c>
      <c r="AY62" s="1" t="s">
        <v>77</v>
      </c>
      <c r="AZ62" s="1" t="s">
        <v>77</v>
      </c>
      <c r="BA62" s="15" t="s">
        <v>77</v>
      </c>
      <c r="BC62" s="23" t="s">
        <v>875</v>
      </c>
      <c r="BD62" s="23" t="s">
        <v>876</v>
      </c>
      <c r="BE62" s="23" t="s">
        <v>738</v>
      </c>
      <c r="BF62" s="1" t="s">
        <v>739</v>
      </c>
    </row>
    <row r="63" ht="24" customHeight="1" spans="1:58">
      <c r="A63" s="1" t="str">
        <f>_xlfn.DISPIMG("ID_7ECA72034642459D884D0033D4AF78CC",1)</f>
        <v>=DISPIMG("ID_7ECA72034642459D884D0033D4AF78CC",1)</v>
      </c>
      <c r="B63" s="15" t="s">
        <v>877</v>
      </c>
      <c r="C63" s="15" t="s">
        <v>77</v>
      </c>
      <c r="D63" s="15" t="s">
        <v>77</v>
      </c>
      <c r="E63" s="15" t="s">
        <v>211</v>
      </c>
      <c r="F63" s="15" t="s">
        <v>212</v>
      </c>
      <c r="G63" s="15" t="s">
        <v>878</v>
      </c>
      <c r="H63" s="15" t="s">
        <v>879</v>
      </c>
      <c r="I63" s="15" t="s">
        <v>880</v>
      </c>
      <c r="J63" s="15" t="s">
        <v>877</v>
      </c>
      <c r="K63" s="15" t="s">
        <v>65</v>
      </c>
      <c r="L63" s="15" t="s">
        <v>66</v>
      </c>
      <c r="M63" s="18">
        <v>15187</v>
      </c>
      <c r="N63" s="18">
        <v>1031</v>
      </c>
      <c r="O63" s="19">
        <v>0.0636</v>
      </c>
      <c r="P63" s="20" t="s">
        <v>67</v>
      </c>
      <c r="Q63" s="22" t="s">
        <v>858</v>
      </c>
      <c r="R63" s="18">
        <v>2967</v>
      </c>
      <c r="S63" s="19">
        <v>0.2546</v>
      </c>
      <c r="T63" s="18">
        <v>145353.33</v>
      </c>
      <c r="U63" s="23" t="s">
        <v>245</v>
      </c>
      <c r="V63" s="18">
        <v>4899</v>
      </c>
      <c r="W63" s="24">
        <v>71</v>
      </c>
      <c r="X63" s="25">
        <v>48.99</v>
      </c>
      <c r="AB63" s="24">
        <v>77</v>
      </c>
      <c r="AC63" s="18">
        <v>22</v>
      </c>
      <c r="AD63" s="28">
        <v>4.1</v>
      </c>
      <c r="AE63" s="29">
        <v>0.0074</v>
      </c>
      <c r="AF63" s="25">
        <v>7.91</v>
      </c>
      <c r="AG63" s="19">
        <v>0.6385</v>
      </c>
      <c r="AI63" s="1" t="s">
        <v>881</v>
      </c>
      <c r="AJ63" s="24">
        <v>194</v>
      </c>
      <c r="AK63" s="1" t="s">
        <v>71</v>
      </c>
      <c r="AL63" s="24">
        <v>10</v>
      </c>
      <c r="AM63" s="24">
        <v>2</v>
      </c>
      <c r="AN63" s="15" t="s">
        <v>211</v>
      </c>
      <c r="AO63" s="1" t="s">
        <v>71</v>
      </c>
      <c r="AP63" s="1" t="s">
        <v>73</v>
      </c>
      <c r="AQ63" s="15" t="s">
        <v>219</v>
      </c>
      <c r="AR63" s="1" t="s">
        <v>220</v>
      </c>
      <c r="AS63" s="1" t="s">
        <v>77</v>
      </c>
      <c r="AT63" s="1" t="s">
        <v>77</v>
      </c>
      <c r="AU63" s="1" t="s">
        <v>77</v>
      </c>
      <c r="AV63" s="1" t="s">
        <v>76</v>
      </c>
      <c r="AW63" s="1" t="s">
        <v>76</v>
      </c>
      <c r="AX63" s="1" t="s">
        <v>77</v>
      </c>
      <c r="AY63" s="1" t="s">
        <v>77</v>
      </c>
      <c r="AZ63" s="1" t="s">
        <v>77</v>
      </c>
      <c r="BA63" s="15" t="s">
        <v>77</v>
      </c>
      <c r="BC63" s="23" t="s">
        <v>221</v>
      </c>
      <c r="BD63" s="23" t="s">
        <v>222</v>
      </c>
      <c r="BE63" s="23" t="s">
        <v>223</v>
      </c>
      <c r="BF63" s="1" t="s">
        <v>224</v>
      </c>
    </row>
    <row r="64" ht="24" customHeight="1" spans="1:58">
      <c r="A64" s="1" t="str">
        <f>_xlfn.DISPIMG("ID_98898CFE40A443A580B2FFC835F2EBDE",1)</f>
        <v>=DISPIMG("ID_98898CFE40A443A580B2FFC835F2EBDE",1)</v>
      </c>
      <c r="B64" s="15" t="s">
        <v>882</v>
      </c>
      <c r="C64" s="15" t="s">
        <v>77</v>
      </c>
      <c r="D64" s="15" t="s">
        <v>77</v>
      </c>
      <c r="E64" s="15" t="s">
        <v>883</v>
      </c>
      <c r="F64" s="15" t="s">
        <v>884</v>
      </c>
      <c r="G64" s="15" t="s">
        <v>885</v>
      </c>
      <c r="H64" s="15" t="s">
        <v>886</v>
      </c>
      <c r="I64" s="15" t="s">
        <v>887</v>
      </c>
      <c r="J64" s="15" t="s">
        <v>882</v>
      </c>
      <c r="K64" s="15" t="s">
        <v>65</v>
      </c>
      <c r="L64" s="15" t="s">
        <v>66</v>
      </c>
      <c r="M64" s="18">
        <v>11491</v>
      </c>
      <c r="N64" s="18">
        <v>4730</v>
      </c>
      <c r="O64" s="19">
        <v>0.2916</v>
      </c>
      <c r="P64" s="20" t="s">
        <v>67</v>
      </c>
      <c r="Q64" s="22" t="s">
        <v>888</v>
      </c>
      <c r="R64" s="18">
        <v>2920</v>
      </c>
      <c r="S64" s="19">
        <v>3.734</v>
      </c>
      <c r="T64" s="18">
        <v>116770.805</v>
      </c>
      <c r="U64" s="23" t="s">
        <v>270</v>
      </c>
      <c r="V64" s="18">
        <v>7998</v>
      </c>
      <c r="W64" s="24">
        <v>154</v>
      </c>
      <c r="X64" s="25">
        <v>39.99</v>
      </c>
      <c r="AA64" s="18">
        <v>51</v>
      </c>
      <c r="AB64" s="24">
        <v>3709</v>
      </c>
      <c r="AC64" s="18">
        <v>21</v>
      </c>
      <c r="AD64" s="28">
        <v>4.2</v>
      </c>
      <c r="AE64" s="29">
        <v>0.0072</v>
      </c>
      <c r="AF64" s="25">
        <v>7.69</v>
      </c>
      <c r="AG64" s="19">
        <v>0.6077</v>
      </c>
      <c r="AI64" s="1" t="s">
        <v>889</v>
      </c>
      <c r="AJ64" s="24">
        <v>2042</v>
      </c>
      <c r="AK64" s="1" t="s">
        <v>71</v>
      </c>
      <c r="AL64" s="24">
        <v>8.9</v>
      </c>
      <c r="AM64" s="24">
        <v>2</v>
      </c>
      <c r="AN64" s="15" t="s">
        <v>890</v>
      </c>
      <c r="AO64" s="1" t="s">
        <v>71</v>
      </c>
      <c r="AP64" s="1" t="s">
        <v>73</v>
      </c>
      <c r="AQ64" s="15" t="s">
        <v>891</v>
      </c>
      <c r="AR64" s="1" t="s">
        <v>892</v>
      </c>
      <c r="AS64" s="1" t="s">
        <v>77</v>
      </c>
      <c r="AT64" s="1" t="s">
        <v>76</v>
      </c>
      <c r="AU64" s="1" t="s">
        <v>77</v>
      </c>
      <c r="AV64" s="1" t="s">
        <v>76</v>
      </c>
      <c r="AW64" s="1" t="s">
        <v>76</v>
      </c>
      <c r="AX64" s="1" t="s">
        <v>77</v>
      </c>
      <c r="AY64" s="1" t="s">
        <v>77</v>
      </c>
      <c r="AZ64" s="1" t="s">
        <v>77</v>
      </c>
      <c r="BA64" s="15" t="s">
        <v>77</v>
      </c>
      <c r="BB64" s="23" t="s">
        <v>893</v>
      </c>
      <c r="BC64" s="23" t="s">
        <v>894</v>
      </c>
      <c r="BD64" s="23" t="s">
        <v>895</v>
      </c>
      <c r="BE64" s="23" t="s">
        <v>896</v>
      </c>
      <c r="BF64" s="1" t="s">
        <v>897</v>
      </c>
    </row>
    <row r="65" ht="24" customHeight="1" spans="1:58">
      <c r="A65" s="1" t="str">
        <f>_xlfn.DISPIMG("ID_FCEC68FB89FD4F5AA89D2AD44292AE9E",1)</f>
        <v>=DISPIMG("ID_FCEC68FB89FD4F5AA89D2AD44292AE9E",1)</v>
      </c>
      <c r="B65" s="15" t="s">
        <v>898</v>
      </c>
      <c r="C65" s="15" t="s">
        <v>77</v>
      </c>
      <c r="D65" s="15" t="s">
        <v>77</v>
      </c>
      <c r="E65" s="15" t="s">
        <v>488</v>
      </c>
      <c r="F65" s="15" t="s">
        <v>489</v>
      </c>
      <c r="G65" s="15" t="s">
        <v>899</v>
      </c>
      <c r="H65" s="15" t="s">
        <v>900</v>
      </c>
      <c r="I65" s="15" t="s">
        <v>901</v>
      </c>
      <c r="J65" s="15" t="s">
        <v>898</v>
      </c>
      <c r="K65" s="15" t="s">
        <v>65</v>
      </c>
      <c r="L65" s="15" t="s">
        <v>66</v>
      </c>
      <c r="M65" s="18">
        <v>87501</v>
      </c>
      <c r="N65" s="18">
        <v>18478</v>
      </c>
      <c r="O65" s="19">
        <v>0.1744</v>
      </c>
      <c r="P65" s="20" t="s">
        <v>67</v>
      </c>
      <c r="Q65" s="22" t="s">
        <v>902</v>
      </c>
      <c r="R65" s="18">
        <v>253</v>
      </c>
      <c r="S65" s="19">
        <v>1.5625</v>
      </c>
      <c r="T65" s="18">
        <v>7486.27</v>
      </c>
      <c r="U65" s="23" t="s">
        <v>77</v>
      </c>
      <c r="V65" s="18" t="s">
        <v>77</v>
      </c>
      <c r="W65" s="24">
        <v>17</v>
      </c>
      <c r="X65" s="25">
        <v>29.99</v>
      </c>
      <c r="AB65" s="24">
        <v>28</v>
      </c>
      <c r="AC65" s="18">
        <v>5</v>
      </c>
      <c r="AD65" s="28">
        <v>4.7</v>
      </c>
      <c r="AE65" s="29">
        <v>0.0198</v>
      </c>
      <c r="AG65" s="19">
        <v>0</v>
      </c>
      <c r="AI65" s="1" t="s">
        <v>164</v>
      </c>
      <c r="AJ65" s="24">
        <v>141</v>
      </c>
      <c r="AK65" s="1" t="s">
        <v>71</v>
      </c>
      <c r="AL65" s="24">
        <v>8</v>
      </c>
      <c r="AM65" s="24">
        <v>1</v>
      </c>
      <c r="AN65" s="15" t="s">
        <v>488</v>
      </c>
      <c r="AO65" s="1" t="s">
        <v>71</v>
      </c>
      <c r="AP65" s="1" t="s">
        <v>73</v>
      </c>
      <c r="AQ65" s="15" t="s">
        <v>496</v>
      </c>
      <c r="AR65" s="1" t="s">
        <v>497</v>
      </c>
      <c r="AS65" s="1" t="s">
        <v>77</v>
      </c>
      <c r="AT65" s="1" t="s">
        <v>77</v>
      </c>
      <c r="AU65" s="1" t="s">
        <v>77</v>
      </c>
      <c r="AV65" s="1" t="s">
        <v>76</v>
      </c>
      <c r="AW65" s="1" t="s">
        <v>77</v>
      </c>
      <c r="AX65" s="1" t="s">
        <v>77</v>
      </c>
      <c r="AY65" s="1" t="s">
        <v>77</v>
      </c>
      <c r="AZ65" s="1" t="s">
        <v>77</v>
      </c>
      <c r="BA65" s="15" t="s">
        <v>77</v>
      </c>
      <c r="BC65" s="23" t="s">
        <v>903</v>
      </c>
      <c r="BD65" s="23" t="s">
        <v>904</v>
      </c>
      <c r="BE65" s="23" t="s">
        <v>905</v>
      </c>
      <c r="BF65" s="1" t="s">
        <v>906</v>
      </c>
    </row>
    <row r="66" ht="24" customHeight="1" spans="1:58">
      <c r="A66" s="1" t="str">
        <f>_xlfn.DISPIMG("ID_40403643C295424D951E5BC73537F81B",1)</f>
        <v>=DISPIMG("ID_40403643C295424D951E5BC73537F81B",1)</v>
      </c>
      <c r="B66" s="15" t="s">
        <v>907</v>
      </c>
      <c r="C66" s="15" t="s">
        <v>77</v>
      </c>
      <c r="D66" s="15" t="s">
        <v>77</v>
      </c>
      <c r="E66" s="15" t="s">
        <v>342</v>
      </c>
      <c r="F66" s="15" t="s">
        <v>343</v>
      </c>
      <c r="G66" s="15" t="s">
        <v>908</v>
      </c>
      <c r="H66" s="15" t="s">
        <v>909</v>
      </c>
      <c r="I66" s="15" t="s">
        <v>910</v>
      </c>
      <c r="J66" s="15" t="s">
        <v>907</v>
      </c>
      <c r="K66" s="15" t="s">
        <v>65</v>
      </c>
      <c r="L66" s="15" t="s">
        <v>66</v>
      </c>
      <c r="M66" s="18">
        <v>19613</v>
      </c>
      <c r="N66" s="18">
        <v>18680</v>
      </c>
      <c r="O66" s="19">
        <v>0.4878</v>
      </c>
      <c r="P66" s="20" t="s">
        <v>67</v>
      </c>
      <c r="Q66" s="22" t="s">
        <v>911</v>
      </c>
      <c r="R66" s="18">
        <v>1888</v>
      </c>
      <c r="S66" s="19">
        <v>0.1402</v>
      </c>
      <c r="T66" s="18">
        <v>79975.68</v>
      </c>
      <c r="U66" s="23" t="s">
        <v>245</v>
      </c>
      <c r="V66" s="18">
        <v>4236</v>
      </c>
      <c r="W66" s="24">
        <v>51</v>
      </c>
      <c r="X66" s="25">
        <v>42.36</v>
      </c>
      <c r="AB66" s="24">
        <v>16</v>
      </c>
      <c r="AC66" s="18">
        <v>12</v>
      </c>
      <c r="AD66" s="28">
        <v>4.2</v>
      </c>
      <c r="AE66" s="29">
        <v>0.0064</v>
      </c>
      <c r="AF66" s="25">
        <v>7.75</v>
      </c>
      <c r="AG66" s="19">
        <v>0.617</v>
      </c>
      <c r="AI66" s="1" t="s">
        <v>912</v>
      </c>
      <c r="AJ66" s="24">
        <v>82</v>
      </c>
      <c r="AK66" s="1" t="s">
        <v>71</v>
      </c>
      <c r="AL66" s="24">
        <v>9.4</v>
      </c>
      <c r="AM66" s="24">
        <v>1</v>
      </c>
      <c r="AN66" s="15" t="s">
        <v>350</v>
      </c>
      <c r="AO66" s="1" t="s">
        <v>71</v>
      </c>
      <c r="AP66" s="1" t="s">
        <v>73</v>
      </c>
      <c r="AQ66" s="15" t="s">
        <v>351</v>
      </c>
      <c r="AR66" s="1" t="s">
        <v>352</v>
      </c>
      <c r="AS66" s="1" t="s">
        <v>77</v>
      </c>
      <c r="AT66" s="1" t="s">
        <v>77</v>
      </c>
      <c r="AU66" s="1" t="s">
        <v>77</v>
      </c>
      <c r="AV66" s="1" t="s">
        <v>76</v>
      </c>
      <c r="AW66" s="1" t="s">
        <v>77</v>
      </c>
      <c r="AX66" s="1" t="s">
        <v>77</v>
      </c>
      <c r="AY66" s="1" t="s">
        <v>77</v>
      </c>
      <c r="AZ66" s="1" t="s">
        <v>77</v>
      </c>
      <c r="BA66" s="15" t="s">
        <v>77</v>
      </c>
      <c r="BC66" s="23" t="s">
        <v>625</v>
      </c>
      <c r="BD66" s="23" t="s">
        <v>626</v>
      </c>
      <c r="BE66" s="23" t="s">
        <v>913</v>
      </c>
      <c r="BF66" s="1" t="s">
        <v>914</v>
      </c>
    </row>
    <row r="67" ht="24" customHeight="1" spans="1:58">
      <c r="A67" s="1" t="str">
        <f>_xlfn.DISPIMG("ID_1C64EAD89FBB4D53A7A660B776D08C1D",1)</f>
        <v>=DISPIMG("ID_1C64EAD89FBB4D53A7A660B776D08C1D",1)</v>
      </c>
      <c r="B67" s="15" t="s">
        <v>915</v>
      </c>
      <c r="C67" s="15" t="s">
        <v>77</v>
      </c>
      <c r="D67" s="15" t="s">
        <v>77</v>
      </c>
      <c r="E67" s="15" t="s">
        <v>85</v>
      </c>
      <c r="F67" s="15" t="s">
        <v>86</v>
      </c>
      <c r="G67" s="15" t="s">
        <v>916</v>
      </c>
      <c r="H67" s="15" t="s">
        <v>917</v>
      </c>
      <c r="I67" s="15" t="s">
        <v>918</v>
      </c>
      <c r="J67" s="15" t="s">
        <v>915</v>
      </c>
      <c r="K67" s="15" t="s">
        <v>65</v>
      </c>
      <c r="L67" s="15" t="s">
        <v>66</v>
      </c>
      <c r="M67" s="18">
        <v>15726</v>
      </c>
      <c r="N67" s="18">
        <v>-7321</v>
      </c>
      <c r="O67" s="19">
        <v>-1.1755</v>
      </c>
      <c r="P67" s="20" t="s">
        <v>67</v>
      </c>
      <c r="Q67" s="22" t="s">
        <v>919</v>
      </c>
      <c r="R67" s="18">
        <v>2901</v>
      </c>
      <c r="S67" s="19">
        <v>0.5781</v>
      </c>
      <c r="T67" s="18">
        <v>142120</v>
      </c>
      <c r="U67" s="23" t="s">
        <v>270</v>
      </c>
      <c r="V67" s="18">
        <v>9798</v>
      </c>
      <c r="W67" s="24">
        <v>61</v>
      </c>
      <c r="X67" s="25">
        <v>48.99</v>
      </c>
      <c r="AB67" s="24">
        <v>62</v>
      </c>
      <c r="AC67" s="18">
        <v>27</v>
      </c>
      <c r="AD67" s="28">
        <v>4.2</v>
      </c>
      <c r="AE67" s="29">
        <v>0.0093</v>
      </c>
      <c r="AF67" s="25">
        <v>7.91</v>
      </c>
      <c r="AG67" s="19">
        <v>0.6385</v>
      </c>
      <c r="AI67" s="1" t="s">
        <v>920</v>
      </c>
      <c r="AJ67" s="24">
        <v>177</v>
      </c>
      <c r="AK67" s="1" t="s">
        <v>71</v>
      </c>
      <c r="AL67" s="24">
        <v>10</v>
      </c>
      <c r="AM67" s="24">
        <v>1</v>
      </c>
      <c r="AN67" s="15" t="s">
        <v>85</v>
      </c>
      <c r="AO67" s="1" t="s">
        <v>71</v>
      </c>
      <c r="AP67" s="1" t="s">
        <v>73</v>
      </c>
      <c r="AQ67" s="15" t="s">
        <v>95</v>
      </c>
      <c r="AR67" s="1" t="s">
        <v>96</v>
      </c>
      <c r="AS67" s="1" t="s">
        <v>77</v>
      </c>
      <c r="AT67" s="1" t="s">
        <v>77</v>
      </c>
      <c r="AU67" s="1" t="s">
        <v>77</v>
      </c>
      <c r="AV67" s="1" t="s">
        <v>76</v>
      </c>
      <c r="AW67" s="1" t="s">
        <v>76</v>
      </c>
      <c r="AX67" s="1" t="s">
        <v>77</v>
      </c>
      <c r="AY67" s="1" t="s">
        <v>77</v>
      </c>
      <c r="AZ67" s="1" t="s">
        <v>77</v>
      </c>
      <c r="BA67" s="15" t="s">
        <v>77</v>
      </c>
      <c r="BC67" s="23" t="s">
        <v>364</v>
      </c>
      <c r="BD67" s="23" t="s">
        <v>365</v>
      </c>
      <c r="BE67" s="23" t="s">
        <v>921</v>
      </c>
      <c r="BF67" s="1" t="s">
        <v>922</v>
      </c>
    </row>
    <row r="68" ht="24" customHeight="1" spans="1:58">
      <c r="A68" s="1" t="str">
        <f>_xlfn.DISPIMG("ID_D0FDB4A1055F429BA001157EE2960EC1",1)</f>
        <v>=DISPIMG("ID_D0FDB4A1055F429BA001157EE2960EC1",1)</v>
      </c>
      <c r="B68" s="15" t="s">
        <v>923</v>
      </c>
      <c r="C68" s="15" t="s">
        <v>77</v>
      </c>
      <c r="D68" s="15" t="s">
        <v>77</v>
      </c>
      <c r="E68" s="15" t="s">
        <v>211</v>
      </c>
      <c r="F68" s="15" t="s">
        <v>212</v>
      </c>
      <c r="G68" s="15" t="s">
        <v>924</v>
      </c>
      <c r="H68" s="15" t="s">
        <v>925</v>
      </c>
      <c r="I68" s="15" t="s">
        <v>926</v>
      </c>
      <c r="J68" s="15" t="s">
        <v>923</v>
      </c>
      <c r="K68" s="15" t="s">
        <v>65</v>
      </c>
      <c r="L68" s="15" t="s">
        <v>66</v>
      </c>
      <c r="M68" s="18">
        <v>13555</v>
      </c>
      <c r="N68" s="18">
        <v>18200</v>
      </c>
      <c r="O68" s="19">
        <v>0.5783</v>
      </c>
      <c r="P68" s="20" t="s">
        <v>67</v>
      </c>
      <c r="Q68" s="22" t="s">
        <v>927</v>
      </c>
      <c r="R68" s="18">
        <v>1493</v>
      </c>
      <c r="S68" s="19">
        <v>1.3703</v>
      </c>
      <c r="T68" s="18">
        <v>34324.07</v>
      </c>
      <c r="U68" s="23" t="s">
        <v>245</v>
      </c>
      <c r="V68" s="18">
        <v>2299</v>
      </c>
      <c r="W68" s="24">
        <v>30</v>
      </c>
      <c r="X68" s="25">
        <v>26.99</v>
      </c>
      <c r="AB68" s="24">
        <v>194</v>
      </c>
      <c r="AC68" s="18">
        <v>8</v>
      </c>
      <c r="AD68" s="28">
        <v>3.9</v>
      </c>
      <c r="AE68" s="29">
        <v>0.0054</v>
      </c>
      <c r="AF68" s="25">
        <v>6.92</v>
      </c>
      <c r="AG68" s="19">
        <v>0.499</v>
      </c>
      <c r="AI68" s="1" t="s">
        <v>928</v>
      </c>
      <c r="AJ68" s="24">
        <v>456</v>
      </c>
      <c r="AK68" s="1" t="s">
        <v>71</v>
      </c>
      <c r="AL68" s="24">
        <v>9.5</v>
      </c>
      <c r="AM68" s="24">
        <v>1</v>
      </c>
      <c r="AN68" s="15" t="s">
        <v>211</v>
      </c>
      <c r="AO68" s="1" t="s">
        <v>71</v>
      </c>
      <c r="AP68" s="1" t="s">
        <v>73</v>
      </c>
      <c r="AQ68" s="15" t="s">
        <v>219</v>
      </c>
      <c r="AR68" s="1" t="s">
        <v>220</v>
      </c>
      <c r="AS68" s="1" t="s">
        <v>77</v>
      </c>
      <c r="AT68" s="1" t="s">
        <v>77</v>
      </c>
      <c r="AU68" s="1" t="s">
        <v>77</v>
      </c>
      <c r="AV68" s="1" t="s">
        <v>76</v>
      </c>
      <c r="AW68" s="1" t="s">
        <v>76</v>
      </c>
      <c r="AX68" s="1" t="s">
        <v>77</v>
      </c>
      <c r="AY68" s="1" t="s">
        <v>77</v>
      </c>
      <c r="AZ68" s="1" t="s">
        <v>77</v>
      </c>
      <c r="BA68" s="15" t="s">
        <v>77</v>
      </c>
      <c r="BC68" s="23" t="s">
        <v>221</v>
      </c>
      <c r="BD68" s="23" t="s">
        <v>222</v>
      </c>
      <c r="BE68" s="23" t="s">
        <v>223</v>
      </c>
      <c r="BF68" s="1" t="s">
        <v>224</v>
      </c>
    </row>
    <row r="69" ht="24" customHeight="1" spans="1:58">
      <c r="A69" s="1" t="str">
        <f>_xlfn.DISPIMG("ID_9F5B6BCFE01C49B0AB8F0BA20FEE8FD5",1)</f>
        <v>=DISPIMG("ID_9F5B6BCFE01C49B0AB8F0BA20FEE8FD5",1)</v>
      </c>
      <c r="B69" s="15" t="s">
        <v>929</v>
      </c>
      <c r="C69" s="15" t="s">
        <v>77</v>
      </c>
      <c r="D69" s="15" t="s">
        <v>77</v>
      </c>
      <c r="E69" s="15" t="s">
        <v>85</v>
      </c>
      <c r="F69" s="15" t="s">
        <v>86</v>
      </c>
      <c r="G69" s="15" t="s">
        <v>930</v>
      </c>
      <c r="H69" s="15" t="s">
        <v>931</v>
      </c>
      <c r="I69" s="15" t="s">
        <v>932</v>
      </c>
      <c r="J69" s="15" t="s">
        <v>929</v>
      </c>
      <c r="K69" s="15" t="s">
        <v>65</v>
      </c>
      <c r="L69" s="15" t="s">
        <v>66</v>
      </c>
      <c r="M69" s="18">
        <v>11632</v>
      </c>
      <c r="N69" s="18">
        <v>35198</v>
      </c>
      <c r="O69" s="19">
        <v>0.6951</v>
      </c>
      <c r="P69" s="20" t="s">
        <v>67</v>
      </c>
      <c r="Q69" s="22" t="s">
        <v>870</v>
      </c>
      <c r="R69" s="18">
        <v>1847</v>
      </c>
      <c r="S69" s="19">
        <v>-0.4489</v>
      </c>
      <c r="T69" s="18">
        <v>92331.53</v>
      </c>
      <c r="U69" s="23" t="s">
        <v>77</v>
      </c>
      <c r="V69" s="18" t="s">
        <v>77</v>
      </c>
      <c r="W69" s="24">
        <v>80</v>
      </c>
      <c r="X69" s="25">
        <v>49.99</v>
      </c>
      <c r="AA69" s="18">
        <v>11</v>
      </c>
      <c r="AB69" s="24">
        <v>757</v>
      </c>
      <c r="AC69" s="18">
        <v>27</v>
      </c>
      <c r="AD69" s="28">
        <v>4.2</v>
      </c>
      <c r="AE69" s="29">
        <v>0.0146</v>
      </c>
      <c r="AF69" s="25">
        <v>7.04</v>
      </c>
      <c r="AG69" s="19">
        <v>0.6592</v>
      </c>
      <c r="AI69" s="1" t="s">
        <v>933</v>
      </c>
      <c r="AJ69" s="24">
        <v>562</v>
      </c>
      <c r="AK69" s="1" t="s">
        <v>71</v>
      </c>
      <c r="AL69" s="24">
        <v>10</v>
      </c>
      <c r="AM69" s="24">
        <v>1</v>
      </c>
      <c r="AN69" s="15" t="s">
        <v>85</v>
      </c>
      <c r="AO69" s="1" t="s">
        <v>71</v>
      </c>
      <c r="AP69" s="1" t="s">
        <v>73</v>
      </c>
      <c r="AQ69" s="15" t="s">
        <v>95</v>
      </c>
      <c r="AR69" s="1" t="s">
        <v>96</v>
      </c>
      <c r="AS69" s="1" t="s">
        <v>77</v>
      </c>
      <c r="AT69" s="1" t="s">
        <v>77</v>
      </c>
      <c r="AU69" s="1" t="s">
        <v>77</v>
      </c>
      <c r="AV69" s="1" t="s">
        <v>76</v>
      </c>
      <c r="AW69" s="1" t="s">
        <v>76</v>
      </c>
      <c r="AX69" s="1" t="s">
        <v>77</v>
      </c>
      <c r="AY69" s="1" t="s">
        <v>77</v>
      </c>
      <c r="AZ69" s="1" t="s">
        <v>77</v>
      </c>
      <c r="BA69" s="15" t="s">
        <v>77</v>
      </c>
      <c r="BC69" s="23" t="s">
        <v>934</v>
      </c>
      <c r="BD69" s="23" t="s">
        <v>935</v>
      </c>
      <c r="BE69" s="23" t="s">
        <v>936</v>
      </c>
      <c r="BF69" s="1" t="s">
        <v>937</v>
      </c>
    </row>
    <row r="70" ht="24" customHeight="1" spans="1:58">
      <c r="A70" s="1" t="str">
        <f>_xlfn.DISPIMG("ID_506C786A33B24BFA93CF0DA785871212",1)</f>
        <v>=DISPIMG("ID_506C786A33B24BFA93CF0DA785871212",1)</v>
      </c>
      <c r="B70" s="15" t="s">
        <v>938</v>
      </c>
      <c r="C70" s="15" t="s">
        <v>77</v>
      </c>
      <c r="D70" s="15" t="s">
        <v>77</v>
      </c>
      <c r="E70" s="15" t="s">
        <v>939</v>
      </c>
      <c r="F70" s="15" t="s">
        <v>940</v>
      </c>
      <c r="G70" s="15" t="s">
        <v>941</v>
      </c>
      <c r="H70" s="15" t="s">
        <v>942</v>
      </c>
      <c r="I70" s="15" t="s">
        <v>943</v>
      </c>
      <c r="J70" s="15" t="s">
        <v>938</v>
      </c>
      <c r="K70" s="15" t="s">
        <v>65</v>
      </c>
      <c r="L70" s="15" t="s">
        <v>66</v>
      </c>
      <c r="M70" s="18">
        <v>11046</v>
      </c>
      <c r="N70" s="18">
        <v>-1850</v>
      </c>
      <c r="O70" s="19">
        <v>-0.2012</v>
      </c>
      <c r="P70" s="20" t="s">
        <v>67</v>
      </c>
      <c r="Q70" s="22" t="s">
        <v>762</v>
      </c>
      <c r="R70" s="18">
        <v>3078</v>
      </c>
      <c r="S70" s="19">
        <v>1.0575</v>
      </c>
      <c r="T70" s="18">
        <v>132323.22</v>
      </c>
      <c r="U70" s="23" t="s">
        <v>162</v>
      </c>
      <c r="V70" s="18">
        <v>2149.5</v>
      </c>
      <c r="W70" s="24">
        <v>56</v>
      </c>
      <c r="X70" s="25">
        <v>42.99</v>
      </c>
      <c r="AB70" s="24">
        <v>46</v>
      </c>
      <c r="AC70" s="18">
        <v>11</v>
      </c>
      <c r="AD70" s="28">
        <v>4.5</v>
      </c>
      <c r="AE70" s="29">
        <v>0.0036</v>
      </c>
      <c r="AF70" s="25">
        <v>6.53</v>
      </c>
      <c r="AG70" s="19">
        <v>0.6481</v>
      </c>
      <c r="AI70" s="1" t="s">
        <v>944</v>
      </c>
      <c r="AJ70" s="24">
        <v>191</v>
      </c>
      <c r="AK70" s="1" t="s">
        <v>71</v>
      </c>
      <c r="AL70" s="24">
        <v>9.9</v>
      </c>
      <c r="AM70" s="24">
        <v>1</v>
      </c>
      <c r="AN70" s="15" t="s">
        <v>945</v>
      </c>
      <c r="AO70" s="1" t="s">
        <v>71</v>
      </c>
      <c r="AP70" s="1" t="s">
        <v>73</v>
      </c>
      <c r="AQ70" s="15" t="s">
        <v>946</v>
      </c>
      <c r="AR70" s="1" t="s">
        <v>947</v>
      </c>
      <c r="AS70" s="1" t="s">
        <v>77</v>
      </c>
      <c r="AT70" s="1" t="s">
        <v>77</v>
      </c>
      <c r="AU70" s="1" t="s">
        <v>77</v>
      </c>
      <c r="AV70" s="1" t="s">
        <v>76</v>
      </c>
      <c r="AW70" s="1" t="s">
        <v>77</v>
      </c>
      <c r="AX70" s="1" t="s">
        <v>77</v>
      </c>
      <c r="AY70" s="1" t="s">
        <v>77</v>
      </c>
      <c r="AZ70" s="1" t="s">
        <v>77</v>
      </c>
      <c r="BA70" s="15" t="s">
        <v>77</v>
      </c>
      <c r="BC70" s="23" t="s">
        <v>948</v>
      </c>
      <c r="BD70" s="23" t="s">
        <v>949</v>
      </c>
      <c r="BE70" s="23" t="s">
        <v>950</v>
      </c>
      <c r="BF70" s="1" t="s">
        <v>951</v>
      </c>
    </row>
    <row r="71" ht="24" customHeight="1" spans="1:58">
      <c r="A71" s="1" t="str">
        <f>_xlfn.DISPIMG("ID_F6F7C3B469644A9DB457686607B7F40E",1)</f>
        <v>=DISPIMG("ID_F6F7C3B469644A9DB457686607B7F40E",1)</v>
      </c>
      <c r="B71" s="15" t="s">
        <v>952</v>
      </c>
      <c r="C71" s="15" t="s">
        <v>77</v>
      </c>
      <c r="D71" s="15" t="s">
        <v>77</v>
      </c>
      <c r="E71" s="15" t="s">
        <v>953</v>
      </c>
      <c r="F71" s="15" t="s">
        <v>954</v>
      </c>
      <c r="G71" s="15" t="s">
        <v>955</v>
      </c>
      <c r="H71" s="15" t="s">
        <v>956</v>
      </c>
      <c r="I71" s="15" t="s">
        <v>957</v>
      </c>
      <c r="J71" s="15" t="s">
        <v>952</v>
      </c>
      <c r="K71" s="15" t="s">
        <v>65</v>
      </c>
      <c r="L71" s="15" t="s">
        <v>66</v>
      </c>
      <c r="M71" s="18">
        <v>12988</v>
      </c>
      <c r="N71" s="18">
        <v>-2614</v>
      </c>
      <c r="O71" s="19">
        <v>-0.2315</v>
      </c>
      <c r="P71" s="20" t="s">
        <v>67</v>
      </c>
      <c r="Q71" s="22" t="s">
        <v>958</v>
      </c>
      <c r="R71" s="18">
        <v>6629</v>
      </c>
      <c r="S71" s="19">
        <v>0.7869</v>
      </c>
      <c r="T71" s="18">
        <v>205432.7</v>
      </c>
      <c r="U71" s="23" t="s">
        <v>332</v>
      </c>
      <c r="V71" s="18">
        <v>9297</v>
      </c>
      <c r="W71" s="24">
        <v>43</v>
      </c>
      <c r="X71" s="25">
        <v>30.99</v>
      </c>
      <c r="AB71" s="24">
        <v>88</v>
      </c>
      <c r="AC71" s="18">
        <v>50</v>
      </c>
      <c r="AD71" s="28">
        <v>4.2</v>
      </c>
      <c r="AE71" s="29">
        <v>0.0075</v>
      </c>
      <c r="AF71" s="25">
        <v>6.44</v>
      </c>
      <c r="AG71" s="19">
        <v>0.5922</v>
      </c>
      <c r="AI71" s="1" t="s">
        <v>959</v>
      </c>
      <c r="AJ71" s="24">
        <v>176</v>
      </c>
      <c r="AK71" s="1" t="s">
        <v>71</v>
      </c>
      <c r="AL71" s="24">
        <v>9.4</v>
      </c>
      <c r="AM71" s="24">
        <v>1</v>
      </c>
      <c r="AN71" s="15" t="s">
        <v>953</v>
      </c>
      <c r="AO71" s="1" t="s">
        <v>71</v>
      </c>
      <c r="AP71" s="1" t="s">
        <v>73</v>
      </c>
      <c r="AQ71" s="15" t="s">
        <v>960</v>
      </c>
      <c r="AR71" s="1" t="s">
        <v>961</v>
      </c>
      <c r="AS71" s="1" t="s">
        <v>77</v>
      </c>
      <c r="AT71" s="1" t="s">
        <v>77</v>
      </c>
      <c r="AU71" s="1" t="s">
        <v>77</v>
      </c>
      <c r="AV71" s="1" t="s">
        <v>76</v>
      </c>
      <c r="AW71" s="1" t="s">
        <v>77</v>
      </c>
      <c r="AX71" s="1" t="s">
        <v>77</v>
      </c>
      <c r="AY71" s="1" t="s">
        <v>77</v>
      </c>
      <c r="AZ71" s="1" t="s">
        <v>77</v>
      </c>
      <c r="BA71" s="15" t="s">
        <v>77</v>
      </c>
      <c r="BC71" s="23" t="s">
        <v>962</v>
      </c>
      <c r="BD71" s="23" t="s">
        <v>963</v>
      </c>
      <c r="BE71" s="23" t="s">
        <v>964</v>
      </c>
      <c r="BF71" s="1" t="s">
        <v>965</v>
      </c>
    </row>
    <row r="72" ht="24" customHeight="1" spans="1:58">
      <c r="A72" s="1" t="str">
        <f>_xlfn.DISPIMG("ID_E2B8806CC43F4EF88BB907EDAF3F5D76",1)</f>
        <v>=DISPIMG("ID_E2B8806CC43F4EF88BB907EDAF3F5D76",1)</v>
      </c>
      <c r="B72" s="15" t="s">
        <v>966</v>
      </c>
      <c r="C72" s="15" t="s">
        <v>77</v>
      </c>
      <c r="D72" s="15" t="s">
        <v>77</v>
      </c>
      <c r="E72" s="15" t="s">
        <v>175</v>
      </c>
      <c r="F72" s="15" t="s">
        <v>176</v>
      </c>
      <c r="G72" s="15" t="s">
        <v>967</v>
      </c>
      <c r="H72" s="15" t="s">
        <v>968</v>
      </c>
      <c r="I72" s="15" t="s">
        <v>969</v>
      </c>
      <c r="J72" s="15" t="s">
        <v>966</v>
      </c>
      <c r="K72" s="15" t="s">
        <v>65</v>
      </c>
      <c r="L72" s="15" t="s">
        <v>66</v>
      </c>
      <c r="M72" s="18">
        <v>13168</v>
      </c>
      <c r="N72" s="18">
        <v>6552</v>
      </c>
      <c r="O72" s="19">
        <v>0.3563</v>
      </c>
      <c r="P72" s="20" t="s">
        <v>67</v>
      </c>
      <c r="Q72" s="22" t="s">
        <v>970</v>
      </c>
      <c r="R72" s="18">
        <v>3042</v>
      </c>
      <c r="S72" s="19">
        <v>-0.1432</v>
      </c>
      <c r="T72" s="18">
        <v>185531.58</v>
      </c>
      <c r="U72" s="23" t="s">
        <v>270</v>
      </c>
      <c r="V72" s="18">
        <v>12198</v>
      </c>
      <c r="W72" s="24">
        <v>61</v>
      </c>
      <c r="X72" s="25">
        <v>60.99</v>
      </c>
      <c r="AB72" s="24">
        <v>116</v>
      </c>
      <c r="AC72" s="18">
        <v>44</v>
      </c>
      <c r="AD72" s="28">
        <v>4.3</v>
      </c>
      <c r="AE72" s="29">
        <v>0.0145</v>
      </c>
      <c r="AF72" s="25">
        <v>7.91</v>
      </c>
      <c r="AG72" s="19">
        <v>0.6703</v>
      </c>
      <c r="AI72" s="1" t="s">
        <v>944</v>
      </c>
      <c r="AJ72" s="24">
        <v>191</v>
      </c>
      <c r="AK72" s="1" t="s">
        <v>71</v>
      </c>
      <c r="AL72" s="24">
        <v>9</v>
      </c>
      <c r="AM72" s="24">
        <v>1</v>
      </c>
      <c r="AN72" s="15" t="s">
        <v>184</v>
      </c>
      <c r="AO72" s="1" t="s">
        <v>71</v>
      </c>
      <c r="AP72" s="1" t="s">
        <v>73</v>
      </c>
      <c r="AQ72" s="15" t="s">
        <v>185</v>
      </c>
      <c r="AR72" s="1" t="s">
        <v>186</v>
      </c>
      <c r="AS72" s="1" t="s">
        <v>77</v>
      </c>
      <c r="AT72" s="1" t="s">
        <v>77</v>
      </c>
      <c r="AU72" s="1" t="s">
        <v>77</v>
      </c>
      <c r="AV72" s="1" t="s">
        <v>76</v>
      </c>
      <c r="AW72" s="1" t="s">
        <v>76</v>
      </c>
      <c r="AX72" s="1" t="s">
        <v>77</v>
      </c>
      <c r="AY72" s="1" t="s">
        <v>77</v>
      </c>
      <c r="AZ72" s="1" t="s">
        <v>77</v>
      </c>
      <c r="BA72" s="15" t="s">
        <v>77</v>
      </c>
      <c r="BC72" s="23" t="s">
        <v>971</v>
      </c>
      <c r="BD72" s="23" t="s">
        <v>972</v>
      </c>
      <c r="BE72" s="23" t="s">
        <v>973</v>
      </c>
      <c r="BF72" s="1" t="s">
        <v>974</v>
      </c>
    </row>
    <row r="73" ht="24" customHeight="1" spans="1:58">
      <c r="A73" s="1" t="str">
        <f>_xlfn.DISPIMG("ID_5B11A8AEA7F64A059874155D4043CC73",1)</f>
        <v>=DISPIMG("ID_5B11A8AEA7F64A059874155D4043CC73",1)</v>
      </c>
      <c r="B73" s="15" t="s">
        <v>975</v>
      </c>
      <c r="C73" s="15" t="s">
        <v>77</v>
      </c>
      <c r="D73" s="15" t="s">
        <v>77</v>
      </c>
      <c r="E73" s="15" t="s">
        <v>976</v>
      </c>
      <c r="F73" s="15" t="s">
        <v>977</v>
      </c>
      <c r="G73" s="15" t="s">
        <v>978</v>
      </c>
      <c r="H73" s="15" t="s">
        <v>979</v>
      </c>
      <c r="I73" s="15" t="s">
        <v>980</v>
      </c>
      <c r="J73" s="15" t="s">
        <v>975</v>
      </c>
      <c r="K73" s="15" t="s">
        <v>65</v>
      </c>
      <c r="L73" s="15" t="s">
        <v>66</v>
      </c>
      <c r="M73" s="18">
        <v>7760</v>
      </c>
      <c r="N73" s="18">
        <v>88680</v>
      </c>
      <c r="O73" s="19">
        <v>0.9195</v>
      </c>
      <c r="P73" s="20" t="s">
        <v>796</v>
      </c>
      <c r="Q73" s="22" t="s">
        <v>981</v>
      </c>
      <c r="R73" s="18">
        <v>341</v>
      </c>
      <c r="S73" s="19">
        <v>-0.273</v>
      </c>
      <c r="T73" s="18">
        <v>9885.59</v>
      </c>
      <c r="U73" s="23" t="s">
        <v>77</v>
      </c>
      <c r="V73" s="18" t="s">
        <v>77</v>
      </c>
      <c r="W73" s="24">
        <v>66</v>
      </c>
      <c r="X73" s="25">
        <v>25.99</v>
      </c>
      <c r="AB73" s="24">
        <v>13</v>
      </c>
      <c r="AC73" s="18">
        <v>0</v>
      </c>
      <c r="AD73" s="28">
        <v>5</v>
      </c>
      <c r="AE73" s="29">
        <v>0</v>
      </c>
      <c r="AG73" s="19">
        <v>0.8</v>
      </c>
      <c r="AI73" s="1" t="s">
        <v>349</v>
      </c>
      <c r="AJ73" s="24">
        <v>85</v>
      </c>
      <c r="AK73" s="1" t="s">
        <v>982</v>
      </c>
      <c r="AL73" s="24">
        <v>9</v>
      </c>
      <c r="AM73" s="24">
        <v>1</v>
      </c>
      <c r="AN73" s="15" t="s">
        <v>983</v>
      </c>
      <c r="AO73" s="1" t="s">
        <v>982</v>
      </c>
      <c r="AP73" s="1" t="s">
        <v>73</v>
      </c>
      <c r="AQ73" s="15" t="s">
        <v>984</v>
      </c>
      <c r="AR73" s="1" t="s">
        <v>985</v>
      </c>
      <c r="AS73" s="1" t="s">
        <v>77</v>
      </c>
      <c r="AT73" s="1" t="s">
        <v>77</v>
      </c>
      <c r="AU73" s="1" t="s">
        <v>77</v>
      </c>
      <c r="AV73" s="1" t="s">
        <v>76</v>
      </c>
      <c r="AW73" s="1" t="s">
        <v>76</v>
      </c>
      <c r="AX73" s="1" t="s">
        <v>77</v>
      </c>
      <c r="AY73" s="1" t="s">
        <v>77</v>
      </c>
      <c r="AZ73" s="1" t="s">
        <v>77</v>
      </c>
      <c r="BA73" s="15" t="s">
        <v>77</v>
      </c>
      <c r="BC73" s="23" t="s">
        <v>986</v>
      </c>
      <c r="BD73" s="23" t="s">
        <v>987</v>
      </c>
      <c r="BF73" s="1" t="s">
        <v>77</v>
      </c>
    </row>
    <row r="74" ht="24" customHeight="1" spans="1:58">
      <c r="A74" s="1" t="str">
        <f>_xlfn.DISPIMG("ID_CFD7CF63601948D0AB15C9185149EDB7",1)</f>
        <v>=DISPIMG("ID_CFD7CF63601948D0AB15C9185149EDB7",1)</v>
      </c>
      <c r="B74" s="15" t="s">
        <v>988</v>
      </c>
      <c r="C74" s="15" t="s">
        <v>77</v>
      </c>
      <c r="D74" s="15" t="s">
        <v>77</v>
      </c>
      <c r="E74" s="15" t="s">
        <v>211</v>
      </c>
      <c r="F74" s="15" t="s">
        <v>212</v>
      </c>
      <c r="G74" s="15" t="s">
        <v>989</v>
      </c>
      <c r="H74" s="15" t="s">
        <v>990</v>
      </c>
      <c r="I74" s="15" t="s">
        <v>991</v>
      </c>
      <c r="J74" s="15" t="s">
        <v>988</v>
      </c>
      <c r="K74" s="15" t="s">
        <v>65</v>
      </c>
      <c r="L74" s="15" t="s">
        <v>66</v>
      </c>
      <c r="M74" s="18">
        <v>16819</v>
      </c>
      <c r="N74" s="18">
        <v>5386</v>
      </c>
      <c r="O74" s="19">
        <v>0.2009</v>
      </c>
      <c r="P74" s="20" t="s">
        <v>67</v>
      </c>
      <c r="Q74" s="22" t="s">
        <v>992</v>
      </c>
      <c r="R74" s="18">
        <v>2236</v>
      </c>
      <c r="S74" s="19">
        <v>-0.1772</v>
      </c>
      <c r="T74" s="18">
        <v>111777.64</v>
      </c>
      <c r="U74" s="23" t="s">
        <v>245</v>
      </c>
      <c r="V74" s="18">
        <v>4999</v>
      </c>
      <c r="W74" s="24">
        <v>71</v>
      </c>
      <c r="X74" s="25">
        <v>49.99</v>
      </c>
      <c r="AB74" s="24">
        <v>84</v>
      </c>
      <c r="AC74" s="18">
        <v>32</v>
      </c>
      <c r="AD74" s="28">
        <v>4.1</v>
      </c>
      <c r="AE74" s="29">
        <v>0.0143</v>
      </c>
      <c r="AF74" s="25">
        <v>7.27</v>
      </c>
      <c r="AG74" s="19">
        <v>0.6546</v>
      </c>
      <c r="AI74" s="1" t="s">
        <v>993</v>
      </c>
      <c r="AJ74" s="24">
        <v>144</v>
      </c>
      <c r="AK74" s="1" t="s">
        <v>71</v>
      </c>
      <c r="AL74" s="24">
        <v>10</v>
      </c>
      <c r="AM74" s="24">
        <v>1</v>
      </c>
      <c r="AN74" s="15" t="s">
        <v>211</v>
      </c>
      <c r="AO74" s="1" t="s">
        <v>71</v>
      </c>
      <c r="AP74" s="1" t="s">
        <v>73</v>
      </c>
      <c r="AQ74" s="15" t="s">
        <v>219</v>
      </c>
      <c r="AR74" s="1" t="s">
        <v>220</v>
      </c>
      <c r="AS74" s="1" t="s">
        <v>77</v>
      </c>
      <c r="AT74" s="1" t="s">
        <v>77</v>
      </c>
      <c r="AU74" s="1" t="s">
        <v>77</v>
      </c>
      <c r="AV74" s="1" t="s">
        <v>76</v>
      </c>
      <c r="AW74" s="1" t="s">
        <v>76</v>
      </c>
      <c r="AX74" s="1" t="s">
        <v>77</v>
      </c>
      <c r="AY74" s="1" t="s">
        <v>77</v>
      </c>
      <c r="AZ74" s="1" t="s">
        <v>77</v>
      </c>
      <c r="BA74" s="15" t="s">
        <v>77</v>
      </c>
      <c r="BC74" s="23" t="s">
        <v>221</v>
      </c>
      <c r="BD74" s="23" t="s">
        <v>222</v>
      </c>
      <c r="BE74" s="23" t="s">
        <v>223</v>
      </c>
      <c r="BF74" s="1" t="s">
        <v>224</v>
      </c>
    </row>
    <row r="75" ht="24" customHeight="1" spans="1:58">
      <c r="A75" s="1" t="str">
        <f>_xlfn.DISPIMG("ID_9AA7C579735045AF8C59C0DB7975AAD4",1)</f>
        <v>=DISPIMG("ID_9AA7C579735045AF8C59C0DB7975AAD4",1)</v>
      </c>
      <c r="B75" s="15" t="s">
        <v>994</v>
      </c>
      <c r="C75" s="15" t="s">
        <v>77</v>
      </c>
      <c r="D75" s="15" t="s">
        <v>77</v>
      </c>
      <c r="E75" s="15" t="s">
        <v>995</v>
      </c>
      <c r="F75" s="15" t="s">
        <v>996</v>
      </c>
      <c r="G75" s="15" t="s">
        <v>997</v>
      </c>
      <c r="H75" s="15" t="s">
        <v>998</v>
      </c>
      <c r="I75" s="15" t="s">
        <v>999</v>
      </c>
      <c r="J75" s="15" t="s">
        <v>994</v>
      </c>
      <c r="K75" s="15" t="s">
        <v>65</v>
      </c>
      <c r="L75" s="15" t="s">
        <v>66</v>
      </c>
      <c r="M75" s="18">
        <v>13343</v>
      </c>
      <c r="N75" s="18">
        <v>-414</v>
      </c>
      <c r="O75" s="19">
        <v>-0.032</v>
      </c>
      <c r="P75" s="20" t="s">
        <v>67</v>
      </c>
      <c r="Q75" s="22" t="s">
        <v>858</v>
      </c>
      <c r="R75" s="18">
        <v>2712</v>
      </c>
      <c r="S75" s="19">
        <v>3.3909</v>
      </c>
      <c r="T75" s="18">
        <v>124670.64</v>
      </c>
      <c r="U75" s="23" t="s">
        <v>270</v>
      </c>
      <c r="V75" s="18">
        <v>9194</v>
      </c>
      <c r="W75" s="24">
        <v>112</v>
      </c>
      <c r="X75" s="25">
        <v>45.97</v>
      </c>
      <c r="AA75" s="18">
        <v>62</v>
      </c>
      <c r="AB75" s="24">
        <v>4370</v>
      </c>
      <c r="AC75" s="18">
        <v>9</v>
      </c>
      <c r="AD75" s="28">
        <v>4.3</v>
      </c>
      <c r="AE75" s="29">
        <v>0.0041</v>
      </c>
      <c r="AF75" s="25">
        <v>7.13</v>
      </c>
      <c r="AG75" s="19">
        <v>0.6449</v>
      </c>
      <c r="AI75" s="1" t="s">
        <v>1000</v>
      </c>
      <c r="AJ75" s="24">
        <v>482</v>
      </c>
      <c r="AK75" s="1" t="s">
        <v>71</v>
      </c>
      <c r="AL75" s="24">
        <v>10</v>
      </c>
      <c r="AM75" s="24">
        <v>1</v>
      </c>
      <c r="AN75" s="15" t="s">
        <v>995</v>
      </c>
      <c r="AO75" s="1" t="s">
        <v>71</v>
      </c>
      <c r="AP75" s="1" t="s">
        <v>73</v>
      </c>
      <c r="AQ75" s="15" t="s">
        <v>1001</v>
      </c>
      <c r="AR75" s="1" t="s">
        <v>1002</v>
      </c>
      <c r="AS75" s="1" t="s">
        <v>77</v>
      </c>
      <c r="AT75" s="1" t="s">
        <v>76</v>
      </c>
      <c r="AU75" s="1" t="s">
        <v>77</v>
      </c>
      <c r="AV75" s="1" t="s">
        <v>76</v>
      </c>
      <c r="AW75" s="1" t="s">
        <v>76</v>
      </c>
      <c r="AX75" s="1" t="s">
        <v>77</v>
      </c>
      <c r="AY75" s="1" t="s">
        <v>77</v>
      </c>
      <c r="AZ75" s="1" t="s">
        <v>77</v>
      </c>
      <c r="BA75" s="15" t="s">
        <v>77</v>
      </c>
      <c r="BB75" s="23" t="s">
        <v>1003</v>
      </c>
      <c r="BC75" s="23" t="s">
        <v>1004</v>
      </c>
      <c r="BD75" s="23" t="s">
        <v>1005</v>
      </c>
      <c r="BE75" s="23" t="s">
        <v>1006</v>
      </c>
      <c r="BF75" s="1" t="s">
        <v>1007</v>
      </c>
    </row>
    <row r="76" ht="24" customHeight="1" spans="1:58">
      <c r="A76" s="1" t="str">
        <f>_xlfn.DISPIMG("ID_EF82C70F2EB44FFA814F70ADF247B6C1",1)</f>
        <v>=DISPIMG("ID_EF82C70F2EB44FFA814F70ADF247B6C1",1)</v>
      </c>
      <c r="B76" s="15" t="s">
        <v>1008</v>
      </c>
      <c r="C76" s="15" t="s">
        <v>77</v>
      </c>
      <c r="D76" s="15" t="s">
        <v>77</v>
      </c>
      <c r="E76" s="15" t="s">
        <v>211</v>
      </c>
      <c r="F76" s="15" t="s">
        <v>212</v>
      </c>
      <c r="G76" s="15" t="s">
        <v>1009</v>
      </c>
      <c r="H76" s="15" t="s">
        <v>1010</v>
      </c>
      <c r="I76" s="15" t="s">
        <v>1011</v>
      </c>
      <c r="J76" s="15" t="s">
        <v>1008</v>
      </c>
      <c r="K76" s="15" t="s">
        <v>65</v>
      </c>
      <c r="L76" s="15" t="s">
        <v>66</v>
      </c>
      <c r="M76" s="18">
        <v>14894</v>
      </c>
      <c r="N76" s="18">
        <v>-3548</v>
      </c>
      <c r="O76" s="19">
        <v>-0.3127</v>
      </c>
      <c r="P76" s="20" t="s">
        <v>67</v>
      </c>
      <c r="Q76" s="22" t="s">
        <v>1012</v>
      </c>
      <c r="R76" s="18">
        <v>2439</v>
      </c>
      <c r="S76" s="19">
        <v>0.4398</v>
      </c>
      <c r="T76" s="18">
        <v>107291.62</v>
      </c>
      <c r="U76" s="23" t="s">
        <v>245</v>
      </c>
      <c r="V76" s="18">
        <v>4399</v>
      </c>
      <c r="W76" s="24">
        <v>85</v>
      </c>
      <c r="X76" s="25">
        <v>43.99</v>
      </c>
      <c r="AA76" s="18">
        <v>9</v>
      </c>
      <c r="AB76" s="24">
        <v>680</v>
      </c>
      <c r="AC76" s="18">
        <v>49</v>
      </c>
      <c r="AD76" s="28">
        <v>4.2</v>
      </c>
      <c r="AE76" s="29">
        <v>0.0201</v>
      </c>
      <c r="AF76" s="25">
        <v>7.13</v>
      </c>
      <c r="AG76" s="19">
        <v>0.6379</v>
      </c>
      <c r="AI76" s="1" t="s">
        <v>1013</v>
      </c>
      <c r="AJ76" s="24">
        <v>438</v>
      </c>
      <c r="AK76" s="1" t="s">
        <v>71</v>
      </c>
      <c r="AL76" s="24">
        <v>9</v>
      </c>
      <c r="AM76" s="24">
        <v>1</v>
      </c>
      <c r="AN76" s="15" t="s">
        <v>211</v>
      </c>
      <c r="AO76" s="1" t="s">
        <v>71</v>
      </c>
      <c r="AP76" s="1" t="s">
        <v>73</v>
      </c>
      <c r="AQ76" s="15" t="s">
        <v>219</v>
      </c>
      <c r="AR76" s="1" t="s">
        <v>220</v>
      </c>
      <c r="AS76" s="1" t="s">
        <v>77</v>
      </c>
      <c r="AT76" s="1" t="s">
        <v>77</v>
      </c>
      <c r="AU76" s="1" t="s">
        <v>76</v>
      </c>
      <c r="AV76" s="1" t="s">
        <v>76</v>
      </c>
      <c r="AW76" s="1" t="s">
        <v>76</v>
      </c>
      <c r="AX76" s="1" t="s">
        <v>77</v>
      </c>
      <c r="AY76" s="1" t="s">
        <v>77</v>
      </c>
      <c r="AZ76" s="1" t="s">
        <v>77</v>
      </c>
      <c r="BA76" s="15" t="s">
        <v>77</v>
      </c>
      <c r="BC76" s="23" t="s">
        <v>221</v>
      </c>
      <c r="BD76" s="23" t="s">
        <v>222</v>
      </c>
      <c r="BE76" s="23" t="s">
        <v>223</v>
      </c>
      <c r="BF76" s="1" t="s">
        <v>224</v>
      </c>
    </row>
    <row r="77" ht="24" customHeight="1" spans="1:58">
      <c r="A77" s="1" t="str">
        <f>_xlfn.DISPIMG("ID_81330CACAC2D4E80B494FE14EAB7C74C",1)</f>
        <v>=DISPIMG("ID_81330CACAC2D4E80B494FE14EAB7C74C",1)</v>
      </c>
      <c r="B77" s="15" t="s">
        <v>1014</v>
      </c>
      <c r="C77" s="15" t="s">
        <v>77</v>
      </c>
      <c r="D77" s="15" t="s">
        <v>77</v>
      </c>
      <c r="E77" s="15" t="s">
        <v>1015</v>
      </c>
      <c r="F77" s="15" t="s">
        <v>1016</v>
      </c>
      <c r="G77" s="15" t="s">
        <v>1017</v>
      </c>
      <c r="H77" s="15" t="s">
        <v>1018</v>
      </c>
      <c r="I77" s="15" t="s">
        <v>1019</v>
      </c>
      <c r="J77" s="15" t="s">
        <v>1014</v>
      </c>
      <c r="K77" s="15" t="s">
        <v>65</v>
      </c>
      <c r="L77" s="15" t="s">
        <v>66</v>
      </c>
      <c r="M77" s="18">
        <v>16821</v>
      </c>
      <c r="N77" s="18">
        <v>37857</v>
      </c>
      <c r="O77" s="19">
        <v>0.7007</v>
      </c>
      <c r="P77" s="20" t="s">
        <v>67</v>
      </c>
      <c r="Q77" s="22" t="s">
        <v>1020</v>
      </c>
      <c r="R77" s="18">
        <v>1082</v>
      </c>
      <c r="S77" s="19">
        <v>-0.0087</v>
      </c>
      <c r="T77" s="18">
        <v>20547.18</v>
      </c>
      <c r="U77" s="23" t="s">
        <v>245</v>
      </c>
      <c r="V77" s="18">
        <v>1899</v>
      </c>
      <c r="W77" s="24">
        <v>32</v>
      </c>
      <c r="X77" s="25">
        <v>18.99</v>
      </c>
      <c r="AB77" s="24">
        <v>56</v>
      </c>
      <c r="AC77" s="18">
        <v>28</v>
      </c>
      <c r="AD77" s="28">
        <v>4.2</v>
      </c>
      <c r="AE77" s="29">
        <v>0.0259</v>
      </c>
      <c r="AF77" s="25">
        <v>6.27</v>
      </c>
      <c r="AG77" s="19">
        <v>0.4698</v>
      </c>
      <c r="AI77" s="1" t="s">
        <v>1021</v>
      </c>
      <c r="AJ77" s="24">
        <v>101</v>
      </c>
      <c r="AK77" s="1" t="s">
        <v>71</v>
      </c>
      <c r="AL77" s="24">
        <v>9.5</v>
      </c>
      <c r="AM77" s="24">
        <v>1</v>
      </c>
      <c r="AN77" s="15" t="s">
        <v>1015</v>
      </c>
      <c r="AO77" s="1" t="s">
        <v>71</v>
      </c>
      <c r="AP77" s="1" t="s">
        <v>73</v>
      </c>
      <c r="AQ77" s="15" t="s">
        <v>1022</v>
      </c>
      <c r="AR77" s="1" t="s">
        <v>1023</v>
      </c>
      <c r="AS77" s="1" t="s">
        <v>77</v>
      </c>
      <c r="AT77" s="1" t="s">
        <v>77</v>
      </c>
      <c r="AU77" s="1" t="s">
        <v>77</v>
      </c>
      <c r="AV77" s="1" t="s">
        <v>76</v>
      </c>
      <c r="AW77" s="1" t="s">
        <v>76</v>
      </c>
      <c r="AX77" s="1" t="s">
        <v>77</v>
      </c>
      <c r="AY77" s="1" t="s">
        <v>77</v>
      </c>
      <c r="AZ77" s="1" t="s">
        <v>77</v>
      </c>
      <c r="BA77" s="15" t="s">
        <v>77</v>
      </c>
      <c r="BC77" s="23" t="s">
        <v>1024</v>
      </c>
      <c r="BD77" s="23" t="s">
        <v>1025</v>
      </c>
      <c r="BE77" s="23" t="s">
        <v>1026</v>
      </c>
      <c r="BF77" s="1" t="s">
        <v>1027</v>
      </c>
    </row>
    <row r="78" ht="24" customHeight="1" spans="1:58">
      <c r="A78" s="1" t="str">
        <f>_xlfn.DISPIMG("ID_3CECA8EFAE1A4E58BA0716EE18456AE1",1)</f>
        <v>=DISPIMG("ID_3CECA8EFAE1A4E58BA0716EE18456AE1",1)</v>
      </c>
      <c r="B78" s="15" t="s">
        <v>1028</v>
      </c>
      <c r="C78" s="15" t="s">
        <v>77</v>
      </c>
      <c r="D78" s="15" t="s">
        <v>77</v>
      </c>
      <c r="E78" s="15" t="s">
        <v>1029</v>
      </c>
      <c r="F78" s="15" t="s">
        <v>1030</v>
      </c>
      <c r="G78" s="15" t="s">
        <v>1031</v>
      </c>
      <c r="H78" s="15" t="s">
        <v>1032</v>
      </c>
      <c r="I78" s="15" t="s">
        <v>1033</v>
      </c>
      <c r="J78" s="15" t="s">
        <v>1028</v>
      </c>
      <c r="K78" s="15" t="s">
        <v>65</v>
      </c>
      <c r="L78" s="15" t="s">
        <v>66</v>
      </c>
      <c r="M78" s="18">
        <v>13453</v>
      </c>
      <c r="N78" s="18">
        <v>-6366</v>
      </c>
      <c r="O78" s="19">
        <v>-0.7599</v>
      </c>
      <c r="P78" s="20" t="s">
        <v>67</v>
      </c>
      <c r="Q78" s="22" t="s">
        <v>992</v>
      </c>
      <c r="R78" s="18">
        <v>2372</v>
      </c>
      <c r="S78" s="19">
        <v>-0.1899</v>
      </c>
      <c r="T78" s="18">
        <v>61648.28</v>
      </c>
      <c r="U78" s="23" t="s">
        <v>245</v>
      </c>
      <c r="V78" s="18">
        <v>2599</v>
      </c>
      <c r="W78" s="24">
        <v>35</v>
      </c>
      <c r="X78" s="25">
        <v>25.99</v>
      </c>
      <c r="AB78" s="24">
        <v>70</v>
      </c>
      <c r="AC78" s="18">
        <v>36</v>
      </c>
      <c r="AD78" s="28">
        <v>4.2</v>
      </c>
      <c r="AE78" s="29">
        <v>0.0152</v>
      </c>
      <c r="AF78" s="25">
        <v>8.01</v>
      </c>
      <c r="AG78" s="19">
        <v>0.4918</v>
      </c>
      <c r="AI78" s="1" t="s">
        <v>1034</v>
      </c>
      <c r="AJ78" s="24">
        <v>77</v>
      </c>
      <c r="AK78" s="1" t="s">
        <v>71</v>
      </c>
      <c r="AL78" s="24">
        <v>10</v>
      </c>
      <c r="AM78" s="24">
        <v>1</v>
      </c>
      <c r="AN78" s="15" t="s">
        <v>1029</v>
      </c>
      <c r="AO78" s="1" t="s">
        <v>71</v>
      </c>
      <c r="AP78" s="1" t="s">
        <v>73</v>
      </c>
      <c r="AQ78" s="15" t="s">
        <v>1035</v>
      </c>
      <c r="AR78" s="1" t="s">
        <v>1036</v>
      </c>
      <c r="AS78" s="1" t="s">
        <v>77</v>
      </c>
      <c r="AT78" s="1" t="s">
        <v>77</v>
      </c>
      <c r="AU78" s="1" t="s">
        <v>76</v>
      </c>
      <c r="AV78" s="1" t="s">
        <v>76</v>
      </c>
      <c r="AW78" s="1" t="s">
        <v>76</v>
      </c>
      <c r="AX78" s="1" t="s">
        <v>77</v>
      </c>
      <c r="AY78" s="1" t="s">
        <v>77</v>
      </c>
      <c r="AZ78" s="1" t="s">
        <v>77</v>
      </c>
      <c r="BA78" s="15" t="s">
        <v>77</v>
      </c>
      <c r="BD78" s="23" t="s">
        <v>77</v>
      </c>
      <c r="BF78" s="1" t="s">
        <v>77</v>
      </c>
    </row>
    <row r="79" ht="24" customHeight="1" spans="1:58">
      <c r="A79" s="1" t="str">
        <f>_xlfn.DISPIMG("ID_AA72BD4B6776452EA89F222F56B9B2AD",1)</f>
        <v>=DISPIMG("ID_AA72BD4B6776452EA89F222F56B9B2AD",1)</v>
      </c>
      <c r="B79" s="15" t="s">
        <v>1037</v>
      </c>
      <c r="C79" s="15" t="s">
        <v>77</v>
      </c>
      <c r="D79" s="15" t="s">
        <v>77</v>
      </c>
      <c r="E79" s="15" t="s">
        <v>325</v>
      </c>
      <c r="F79" s="15" t="s">
        <v>326</v>
      </c>
      <c r="G79" s="15" t="s">
        <v>1038</v>
      </c>
      <c r="H79" s="15" t="s">
        <v>1039</v>
      </c>
      <c r="I79" s="15" t="s">
        <v>1040</v>
      </c>
      <c r="J79" s="15" t="s">
        <v>1037</v>
      </c>
      <c r="K79" s="15" t="s">
        <v>65</v>
      </c>
      <c r="L79" s="15" t="s">
        <v>66</v>
      </c>
      <c r="M79" s="18">
        <v>4677</v>
      </c>
      <c r="N79" s="18">
        <v>-1297</v>
      </c>
      <c r="O79" s="19">
        <v>-0.3022</v>
      </c>
      <c r="P79" s="20" t="s">
        <v>67</v>
      </c>
      <c r="Q79" s="22" t="s">
        <v>1041</v>
      </c>
      <c r="R79" s="18">
        <v>5217</v>
      </c>
      <c r="S79" s="19">
        <v>0.9481</v>
      </c>
      <c r="T79" s="18">
        <v>192924.66</v>
      </c>
      <c r="U79" s="23" t="s">
        <v>245</v>
      </c>
      <c r="V79" s="18">
        <v>3698</v>
      </c>
      <c r="W79" s="24">
        <v>89</v>
      </c>
      <c r="X79" s="25">
        <v>36.98</v>
      </c>
      <c r="AA79" s="18">
        <v>17</v>
      </c>
      <c r="AB79" s="24">
        <v>4481</v>
      </c>
      <c r="AC79" s="18">
        <v>0</v>
      </c>
      <c r="AD79" s="28">
        <v>4.1</v>
      </c>
      <c r="AE79" s="29">
        <v>0</v>
      </c>
      <c r="AF79" s="25">
        <v>6.92</v>
      </c>
      <c r="AG79" s="19">
        <v>0.6129</v>
      </c>
      <c r="AI79" s="1" t="s">
        <v>1042</v>
      </c>
      <c r="AJ79" s="24">
        <v>1496</v>
      </c>
      <c r="AK79" s="1" t="s">
        <v>71</v>
      </c>
      <c r="AL79" s="24">
        <v>9.5</v>
      </c>
      <c r="AM79" s="24">
        <v>1</v>
      </c>
      <c r="AN79" s="15" t="s">
        <v>334</v>
      </c>
      <c r="AO79" s="1" t="s">
        <v>71</v>
      </c>
      <c r="AP79" s="1" t="s">
        <v>73</v>
      </c>
      <c r="AQ79" s="15" t="s">
        <v>335</v>
      </c>
      <c r="AR79" s="1" t="s">
        <v>336</v>
      </c>
      <c r="AS79" s="1" t="s">
        <v>77</v>
      </c>
      <c r="AT79" s="1" t="s">
        <v>77</v>
      </c>
      <c r="AU79" s="1" t="s">
        <v>77</v>
      </c>
      <c r="AV79" s="1" t="s">
        <v>76</v>
      </c>
      <c r="AW79" s="1" t="s">
        <v>77</v>
      </c>
      <c r="AX79" s="1" t="s">
        <v>77</v>
      </c>
      <c r="AY79" s="1" t="s">
        <v>77</v>
      </c>
      <c r="AZ79" s="1" t="s">
        <v>77</v>
      </c>
      <c r="BA79" s="15" t="s">
        <v>77</v>
      </c>
      <c r="BC79" s="23" t="s">
        <v>1043</v>
      </c>
      <c r="BD79" s="23" t="s">
        <v>1044</v>
      </c>
      <c r="BE79" s="23" t="s">
        <v>1045</v>
      </c>
      <c r="BF79" s="1" t="s">
        <v>1046</v>
      </c>
    </row>
    <row r="80" ht="24" customHeight="1" spans="1:58">
      <c r="A80" s="1" t="str">
        <f>_xlfn.DISPIMG("ID_5592E824DE0248CBBF1FDD90397142E5",1)</f>
        <v>=DISPIMG("ID_5592E824DE0248CBBF1FDD90397142E5",1)</v>
      </c>
      <c r="B80" s="15" t="s">
        <v>1047</v>
      </c>
      <c r="C80" s="15" t="s">
        <v>77</v>
      </c>
      <c r="D80" s="15" t="s">
        <v>77</v>
      </c>
      <c r="E80" s="15" t="s">
        <v>85</v>
      </c>
      <c r="F80" s="15" t="s">
        <v>86</v>
      </c>
      <c r="G80" s="15" t="s">
        <v>1048</v>
      </c>
      <c r="H80" s="15" t="s">
        <v>1049</v>
      </c>
      <c r="I80" s="15" t="s">
        <v>1050</v>
      </c>
      <c r="J80" s="15" t="s">
        <v>1047</v>
      </c>
      <c r="K80" s="15" t="s">
        <v>795</v>
      </c>
      <c r="L80" s="15" t="s">
        <v>66</v>
      </c>
      <c r="M80" s="18">
        <v>10381</v>
      </c>
      <c r="N80" s="18">
        <v>64438</v>
      </c>
      <c r="O80" s="19">
        <v>0.8613</v>
      </c>
      <c r="P80" s="20" t="s">
        <v>796</v>
      </c>
      <c r="Q80" s="22" t="s">
        <v>772</v>
      </c>
      <c r="R80" s="18">
        <v>1676</v>
      </c>
      <c r="S80" s="19">
        <v>1.1566</v>
      </c>
      <c r="T80" s="18">
        <v>78755.24</v>
      </c>
      <c r="U80" s="23" t="s">
        <v>77</v>
      </c>
      <c r="V80" s="18" t="s">
        <v>77</v>
      </c>
      <c r="W80" s="24">
        <v>66</v>
      </c>
      <c r="X80" s="25">
        <v>37.99</v>
      </c>
      <c r="AB80" s="24">
        <v>132</v>
      </c>
      <c r="AC80" s="18">
        <v>17</v>
      </c>
      <c r="AD80" s="28">
        <v>4.3</v>
      </c>
      <c r="AE80" s="29">
        <v>0.0101</v>
      </c>
      <c r="AF80" s="25">
        <v>7.69</v>
      </c>
      <c r="AG80" s="19">
        <v>0.6364</v>
      </c>
      <c r="AI80" s="1" t="s">
        <v>1051</v>
      </c>
      <c r="AJ80" s="24">
        <v>432</v>
      </c>
      <c r="AK80" s="1" t="s">
        <v>71</v>
      </c>
      <c r="AL80" s="24">
        <v>10</v>
      </c>
      <c r="AM80" s="24">
        <v>1</v>
      </c>
      <c r="AN80" s="15" t="s">
        <v>85</v>
      </c>
      <c r="AO80" s="1" t="s">
        <v>71</v>
      </c>
      <c r="AP80" s="1" t="s">
        <v>73</v>
      </c>
      <c r="AQ80" s="15" t="s">
        <v>95</v>
      </c>
      <c r="AR80" s="1" t="s">
        <v>96</v>
      </c>
      <c r="AS80" s="1" t="s">
        <v>77</v>
      </c>
      <c r="AT80" s="1" t="s">
        <v>77</v>
      </c>
      <c r="AU80" s="1" t="s">
        <v>77</v>
      </c>
      <c r="AV80" s="1" t="s">
        <v>76</v>
      </c>
      <c r="AW80" s="1" t="s">
        <v>76</v>
      </c>
      <c r="AX80" s="1" t="s">
        <v>77</v>
      </c>
      <c r="AY80" s="1" t="s">
        <v>77</v>
      </c>
      <c r="AZ80" s="1" t="s">
        <v>77</v>
      </c>
      <c r="BA80" s="15" t="s">
        <v>77</v>
      </c>
      <c r="BD80" s="23" t="s">
        <v>77</v>
      </c>
      <c r="BF80" s="1" t="s">
        <v>77</v>
      </c>
    </row>
    <row r="81" ht="24" customHeight="1" spans="1:58">
      <c r="A81" s="1" t="str">
        <f>_xlfn.DISPIMG("ID_FF3CE515D2A24677BCC40F91CB5D7FF7",1)</f>
        <v>=DISPIMG("ID_FF3CE515D2A24677BCC40F91CB5D7FF7",1)</v>
      </c>
      <c r="B81" s="15" t="s">
        <v>1052</v>
      </c>
      <c r="C81" s="15" t="s">
        <v>77</v>
      </c>
      <c r="D81" s="15" t="s">
        <v>77</v>
      </c>
      <c r="E81" s="15" t="s">
        <v>1053</v>
      </c>
      <c r="F81" s="15" t="s">
        <v>1054</v>
      </c>
      <c r="G81" s="15" t="s">
        <v>1055</v>
      </c>
      <c r="H81" s="15" t="s">
        <v>1056</v>
      </c>
      <c r="I81" s="15" t="s">
        <v>1057</v>
      </c>
      <c r="J81" s="15" t="s">
        <v>1052</v>
      </c>
      <c r="K81" s="15" t="s">
        <v>65</v>
      </c>
      <c r="L81" s="15" t="s">
        <v>66</v>
      </c>
      <c r="M81" s="18">
        <v>19958</v>
      </c>
      <c r="N81" s="18">
        <v>4938</v>
      </c>
      <c r="O81" s="19">
        <v>0.1983</v>
      </c>
      <c r="P81" s="20" t="s">
        <v>67</v>
      </c>
      <c r="Q81" s="22" t="s">
        <v>1058</v>
      </c>
      <c r="R81" s="18">
        <v>2516</v>
      </c>
      <c r="S81" s="19">
        <v>1.0565</v>
      </c>
      <c r="T81" s="18">
        <v>98098.84</v>
      </c>
      <c r="U81" s="23" t="s">
        <v>162</v>
      </c>
      <c r="V81" s="18">
        <v>1949.5</v>
      </c>
      <c r="W81" s="24">
        <v>130</v>
      </c>
      <c r="X81" s="25">
        <v>38.99</v>
      </c>
      <c r="AA81" s="18">
        <v>14</v>
      </c>
      <c r="AB81" s="24">
        <v>2536</v>
      </c>
      <c r="AC81" s="18">
        <v>45</v>
      </c>
      <c r="AD81" s="28">
        <v>4.2</v>
      </c>
      <c r="AE81" s="29">
        <v>0.0179</v>
      </c>
      <c r="AF81" s="25">
        <v>6.05</v>
      </c>
      <c r="AG81" s="19">
        <v>0.6448</v>
      </c>
      <c r="AI81" s="1" t="s">
        <v>1059</v>
      </c>
      <c r="AJ81" s="24">
        <v>1191</v>
      </c>
      <c r="AK81" s="1" t="s">
        <v>71</v>
      </c>
      <c r="AL81" s="24">
        <v>10</v>
      </c>
      <c r="AM81" s="24">
        <v>1</v>
      </c>
      <c r="AN81" s="15" t="s">
        <v>1060</v>
      </c>
      <c r="AO81" s="1" t="s">
        <v>71</v>
      </c>
      <c r="AP81" s="1" t="s">
        <v>73</v>
      </c>
      <c r="AQ81" s="15" t="s">
        <v>1061</v>
      </c>
      <c r="AR81" s="1" t="s">
        <v>1062</v>
      </c>
      <c r="AS81" s="1" t="s">
        <v>77</v>
      </c>
      <c r="AT81" s="1" t="s">
        <v>77</v>
      </c>
      <c r="AU81" s="1" t="s">
        <v>77</v>
      </c>
      <c r="AV81" s="1" t="s">
        <v>76</v>
      </c>
      <c r="AW81" s="1" t="s">
        <v>76</v>
      </c>
      <c r="AX81" s="1" t="s">
        <v>77</v>
      </c>
      <c r="AY81" s="1" t="s">
        <v>77</v>
      </c>
      <c r="AZ81" s="1" t="s">
        <v>77</v>
      </c>
      <c r="BA81" s="15" t="s">
        <v>77</v>
      </c>
      <c r="BC81" s="23" t="s">
        <v>1063</v>
      </c>
      <c r="BD81" s="23" t="s">
        <v>1064</v>
      </c>
      <c r="BE81" s="23" t="s">
        <v>1065</v>
      </c>
      <c r="BF81" s="1" t="s">
        <v>1066</v>
      </c>
    </row>
    <row r="82" ht="24" customHeight="1" spans="1:58">
      <c r="A82" s="1" t="str">
        <f>_xlfn.DISPIMG("ID_F1A9400964AC4586B750D46EA1FF6808",1)</f>
        <v>=DISPIMG("ID_F1A9400964AC4586B750D46EA1FF6808",1)</v>
      </c>
      <c r="B82" s="15" t="s">
        <v>1067</v>
      </c>
      <c r="C82" s="15" t="s">
        <v>77</v>
      </c>
      <c r="D82" s="15" t="s">
        <v>77</v>
      </c>
      <c r="E82" s="15" t="s">
        <v>85</v>
      </c>
      <c r="F82" s="15" t="s">
        <v>86</v>
      </c>
      <c r="G82" s="15" t="s">
        <v>1068</v>
      </c>
      <c r="H82" s="15" t="s">
        <v>1069</v>
      </c>
      <c r="I82" s="15" t="s">
        <v>1070</v>
      </c>
      <c r="J82" s="15" t="s">
        <v>1067</v>
      </c>
      <c r="K82" s="15" t="s">
        <v>65</v>
      </c>
      <c r="L82" s="15" t="s">
        <v>66</v>
      </c>
      <c r="M82" s="18">
        <v>2517</v>
      </c>
      <c r="N82" s="18">
        <v>-1523</v>
      </c>
      <c r="O82" s="19">
        <v>-1.5322</v>
      </c>
      <c r="P82" s="20" t="s">
        <v>67</v>
      </c>
      <c r="Q82" s="22" t="s">
        <v>1071</v>
      </c>
      <c r="R82" s="18">
        <v>15554</v>
      </c>
      <c r="S82" s="19">
        <v>1.8246</v>
      </c>
      <c r="T82" s="18">
        <v>777544.5</v>
      </c>
      <c r="U82" s="23" t="s">
        <v>332</v>
      </c>
      <c r="V82" s="18">
        <v>14997</v>
      </c>
      <c r="W82" s="24">
        <v>85</v>
      </c>
      <c r="X82" s="25">
        <v>49.99</v>
      </c>
      <c r="AA82" s="18">
        <v>5</v>
      </c>
      <c r="AB82" s="24">
        <v>753</v>
      </c>
      <c r="AC82" s="18">
        <v>86</v>
      </c>
      <c r="AD82" s="28">
        <v>4.3</v>
      </c>
      <c r="AE82" s="29">
        <v>0.0055</v>
      </c>
      <c r="AF82" s="25">
        <v>8.23</v>
      </c>
      <c r="AG82" s="19">
        <v>0.6354</v>
      </c>
      <c r="AI82" s="1" t="s">
        <v>1072</v>
      </c>
      <c r="AJ82" s="24">
        <v>561</v>
      </c>
      <c r="AK82" s="1" t="s">
        <v>71</v>
      </c>
      <c r="AL82" s="24">
        <v>10</v>
      </c>
      <c r="AM82" s="24">
        <v>1</v>
      </c>
      <c r="AN82" s="15" t="s">
        <v>85</v>
      </c>
      <c r="AO82" s="1" t="s">
        <v>71</v>
      </c>
      <c r="AP82" s="1" t="s">
        <v>73</v>
      </c>
      <c r="AQ82" s="15" t="s">
        <v>95</v>
      </c>
      <c r="AR82" s="1" t="s">
        <v>96</v>
      </c>
      <c r="AS82" s="1" t="s">
        <v>77</v>
      </c>
      <c r="AT82" s="1" t="s">
        <v>77</v>
      </c>
      <c r="AU82" s="1" t="s">
        <v>77</v>
      </c>
      <c r="AV82" s="1" t="s">
        <v>76</v>
      </c>
      <c r="AW82" s="1" t="s">
        <v>76</v>
      </c>
      <c r="AX82" s="1" t="s">
        <v>77</v>
      </c>
      <c r="AY82" s="1" t="s">
        <v>77</v>
      </c>
      <c r="AZ82" s="1" t="s">
        <v>77</v>
      </c>
      <c r="BA82" s="15" t="s">
        <v>77</v>
      </c>
      <c r="BC82" s="23" t="s">
        <v>234</v>
      </c>
      <c r="BD82" s="23" t="s">
        <v>235</v>
      </c>
      <c r="BE82" s="23" t="s">
        <v>1073</v>
      </c>
      <c r="BF82" s="1" t="s">
        <v>1074</v>
      </c>
    </row>
    <row r="83" ht="24" customHeight="1" spans="1:58">
      <c r="A83" s="1" t="str">
        <f>_xlfn.DISPIMG("ID_D14C6616CF2C440F9A4210FE77713D94",1)</f>
        <v>=DISPIMG("ID_D14C6616CF2C440F9A4210FE77713D94",1)</v>
      </c>
      <c r="B83" s="15" t="s">
        <v>1075</v>
      </c>
      <c r="C83" s="15" t="s">
        <v>77</v>
      </c>
      <c r="D83" s="15" t="s">
        <v>77</v>
      </c>
      <c r="E83" s="15" t="s">
        <v>1076</v>
      </c>
      <c r="F83" s="15" t="s">
        <v>1077</v>
      </c>
      <c r="G83" s="15" t="s">
        <v>1078</v>
      </c>
      <c r="H83" s="15" t="s">
        <v>1079</v>
      </c>
      <c r="I83" s="15" t="s">
        <v>1080</v>
      </c>
      <c r="J83" s="15" t="s">
        <v>1075</v>
      </c>
      <c r="K83" s="15" t="s">
        <v>65</v>
      </c>
      <c r="L83" s="15" t="s">
        <v>66</v>
      </c>
      <c r="M83" s="18">
        <v>17391</v>
      </c>
      <c r="N83" s="18">
        <v>-9421</v>
      </c>
      <c r="O83" s="19">
        <v>-1.1821</v>
      </c>
      <c r="P83" s="20" t="s">
        <v>67</v>
      </c>
      <c r="Q83" s="22" t="s">
        <v>1081</v>
      </c>
      <c r="R83" s="18">
        <v>3902</v>
      </c>
      <c r="S83" s="19">
        <v>3.7993</v>
      </c>
      <c r="T83" s="18">
        <v>171648.98</v>
      </c>
      <c r="U83" s="23" t="s">
        <v>162</v>
      </c>
      <c r="V83" s="18">
        <v>2199.5</v>
      </c>
      <c r="W83" s="24">
        <v>32</v>
      </c>
      <c r="X83" s="25">
        <v>43.99</v>
      </c>
      <c r="AB83" s="24">
        <v>39</v>
      </c>
      <c r="AC83" s="18">
        <v>14</v>
      </c>
      <c r="AD83" s="28">
        <v>4.3</v>
      </c>
      <c r="AE83" s="29">
        <v>0.0036</v>
      </c>
      <c r="AF83" s="25">
        <v>8.23</v>
      </c>
      <c r="AG83" s="19">
        <v>0.6129</v>
      </c>
      <c r="AI83" s="1" t="s">
        <v>1082</v>
      </c>
      <c r="AJ83" s="24">
        <v>123</v>
      </c>
      <c r="AK83" s="1" t="s">
        <v>71</v>
      </c>
      <c r="AL83" s="24" t="s">
        <v>77</v>
      </c>
      <c r="AM83" s="24">
        <v>1</v>
      </c>
      <c r="AN83" s="15" t="s">
        <v>1083</v>
      </c>
      <c r="AO83" s="1" t="s">
        <v>71</v>
      </c>
      <c r="AP83" s="1" t="s">
        <v>73</v>
      </c>
      <c r="AQ83" s="15" t="s">
        <v>1084</v>
      </c>
      <c r="AR83" s="1" t="s">
        <v>1085</v>
      </c>
      <c r="AS83" s="1" t="s">
        <v>77</v>
      </c>
      <c r="AT83" s="1" t="s">
        <v>77</v>
      </c>
      <c r="AU83" s="1" t="s">
        <v>77</v>
      </c>
      <c r="AV83" s="1" t="s">
        <v>77</v>
      </c>
      <c r="AW83" s="1" t="s">
        <v>77</v>
      </c>
      <c r="AX83" s="1" t="s">
        <v>77</v>
      </c>
      <c r="AY83" s="1" t="s">
        <v>77</v>
      </c>
      <c r="AZ83" s="1" t="s">
        <v>77</v>
      </c>
      <c r="BA83" s="15" t="s">
        <v>77</v>
      </c>
      <c r="BD83" s="23" t="s">
        <v>77</v>
      </c>
      <c r="BF83" s="1" t="s">
        <v>77</v>
      </c>
    </row>
    <row r="84" ht="24" customHeight="1" spans="1:58">
      <c r="A84" s="1" t="str">
        <f>_xlfn.DISPIMG("ID_92D89497A28A4CFBBBDDBCBAA4A3105D",1)</f>
        <v>=DISPIMG("ID_92D89497A28A4CFBBBDDBCBAA4A3105D",1)</v>
      </c>
      <c r="B84" s="15" t="s">
        <v>1086</v>
      </c>
      <c r="C84" s="15" t="s">
        <v>77</v>
      </c>
      <c r="D84" s="15" t="s">
        <v>77</v>
      </c>
      <c r="E84" s="15" t="s">
        <v>567</v>
      </c>
      <c r="F84" s="15" t="s">
        <v>568</v>
      </c>
      <c r="G84" s="15" t="s">
        <v>1087</v>
      </c>
      <c r="H84" s="15" t="s">
        <v>1088</v>
      </c>
      <c r="I84" s="15" t="s">
        <v>1089</v>
      </c>
      <c r="J84" s="15" t="s">
        <v>1086</v>
      </c>
      <c r="K84" s="15" t="s">
        <v>65</v>
      </c>
      <c r="L84" s="15" t="s">
        <v>66</v>
      </c>
      <c r="M84" s="18">
        <v>9757</v>
      </c>
      <c r="N84" s="18">
        <v>-4518</v>
      </c>
      <c r="O84" s="19">
        <v>-0.8624</v>
      </c>
      <c r="P84" s="20" t="s">
        <v>1090</v>
      </c>
      <c r="Q84" s="22" t="s">
        <v>1091</v>
      </c>
      <c r="R84" s="18">
        <v>2984</v>
      </c>
      <c r="S84" s="19">
        <v>8.5578</v>
      </c>
      <c r="T84" s="18">
        <v>89490.16</v>
      </c>
      <c r="U84" s="23" t="s">
        <v>270</v>
      </c>
      <c r="V84" s="18">
        <v>5998</v>
      </c>
      <c r="W84" s="24">
        <v>58</v>
      </c>
      <c r="X84" s="25">
        <v>29.99</v>
      </c>
      <c r="AA84" s="18">
        <v>5</v>
      </c>
      <c r="AB84" s="24">
        <v>1009</v>
      </c>
      <c r="AC84" s="18">
        <v>7</v>
      </c>
      <c r="AD84" s="28">
        <v>4.4</v>
      </c>
      <c r="AE84" s="29">
        <v>0.0023</v>
      </c>
      <c r="AF84" s="25">
        <v>7.13</v>
      </c>
      <c r="AG84" s="19">
        <v>0.5623</v>
      </c>
      <c r="AI84" s="1" t="s">
        <v>1092</v>
      </c>
      <c r="AJ84" s="24">
        <v>437</v>
      </c>
      <c r="AK84" s="1" t="s">
        <v>71</v>
      </c>
      <c r="AL84" s="24">
        <v>9.9</v>
      </c>
      <c r="AM84" s="24">
        <v>1</v>
      </c>
      <c r="AN84" s="15" t="s">
        <v>575</v>
      </c>
      <c r="AO84" s="1" t="s">
        <v>71</v>
      </c>
      <c r="AP84" s="1" t="s">
        <v>73</v>
      </c>
      <c r="AQ84" s="15" t="s">
        <v>576</v>
      </c>
      <c r="AR84" s="1" t="s">
        <v>577</v>
      </c>
      <c r="AS84" s="1" t="s">
        <v>77</v>
      </c>
      <c r="AT84" s="1" t="s">
        <v>77</v>
      </c>
      <c r="AU84" s="1" t="s">
        <v>77</v>
      </c>
      <c r="AV84" s="1" t="s">
        <v>76</v>
      </c>
      <c r="AW84" s="1" t="s">
        <v>77</v>
      </c>
      <c r="AX84" s="1" t="s">
        <v>77</v>
      </c>
      <c r="AY84" s="1" t="s">
        <v>77</v>
      </c>
      <c r="AZ84" s="1" t="s">
        <v>77</v>
      </c>
      <c r="BA84" s="15" t="s">
        <v>77</v>
      </c>
      <c r="BC84" s="23" t="s">
        <v>1093</v>
      </c>
      <c r="BD84" s="23" t="s">
        <v>1094</v>
      </c>
      <c r="BE84" s="23" t="s">
        <v>1095</v>
      </c>
      <c r="BF84" s="1" t="s">
        <v>1096</v>
      </c>
    </row>
    <row r="85" ht="24" customHeight="1" spans="1:58">
      <c r="A85" s="1" t="str">
        <f>_xlfn.DISPIMG("ID_9798E92E1620454786542F899214D3F3",1)</f>
        <v>=DISPIMG("ID_9798E92E1620454786542F899214D3F3",1)</v>
      </c>
      <c r="B85" s="15" t="s">
        <v>1097</v>
      </c>
      <c r="C85" s="15" t="s">
        <v>77</v>
      </c>
      <c r="D85" s="15" t="s">
        <v>77</v>
      </c>
      <c r="E85" s="15" t="s">
        <v>85</v>
      </c>
      <c r="F85" s="15" t="s">
        <v>86</v>
      </c>
      <c r="G85" s="15" t="s">
        <v>1098</v>
      </c>
      <c r="H85" s="15" t="s">
        <v>1099</v>
      </c>
      <c r="I85" s="15" t="s">
        <v>1100</v>
      </c>
      <c r="J85" s="15" t="s">
        <v>1097</v>
      </c>
      <c r="K85" s="15" t="s">
        <v>65</v>
      </c>
      <c r="L85" s="15" t="s">
        <v>66</v>
      </c>
      <c r="M85" s="18">
        <v>10292</v>
      </c>
      <c r="N85" s="18">
        <v>2885</v>
      </c>
      <c r="O85" s="19">
        <v>0.2189</v>
      </c>
      <c r="P85" s="20" t="s">
        <v>67</v>
      </c>
      <c r="Q85" s="22" t="s">
        <v>992</v>
      </c>
      <c r="R85" s="18">
        <v>3454</v>
      </c>
      <c r="S85" s="19">
        <v>1.0325</v>
      </c>
      <c r="T85" s="18">
        <v>172665.47</v>
      </c>
      <c r="U85" s="23" t="s">
        <v>245</v>
      </c>
      <c r="V85" s="18">
        <v>4999</v>
      </c>
      <c r="W85" s="24">
        <v>65</v>
      </c>
      <c r="X85" s="25">
        <v>49.99</v>
      </c>
      <c r="AA85" s="18">
        <v>3</v>
      </c>
      <c r="AB85" s="24">
        <v>548</v>
      </c>
      <c r="AC85" s="18">
        <v>16</v>
      </c>
      <c r="AD85" s="28">
        <v>4</v>
      </c>
      <c r="AE85" s="29">
        <v>0.0046</v>
      </c>
      <c r="AF85" s="25">
        <v>8.55</v>
      </c>
      <c r="AG85" s="19">
        <v>0.629</v>
      </c>
      <c r="AI85" s="1" t="s">
        <v>1101</v>
      </c>
      <c r="AJ85" s="24">
        <v>555</v>
      </c>
      <c r="AK85" s="1" t="s">
        <v>71</v>
      </c>
      <c r="AL85" s="24">
        <v>10</v>
      </c>
      <c r="AM85" s="24">
        <v>1</v>
      </c>
      <c r="AN85" s="15" t="s">
        <v>85</v>
      </c>
      <c r="AO85" s="1" t="s">
        <v>71</v>
      </c>
      <c r="AP85" s="1" t="s">
        <v>73</v>
      </c>
      <c r="AQ85" s="15" t="s">
        <v>95</v>
      </c>
      <c r="AR85" s="1" t="s">
        <v>96</v>
      </c>
      <c r="AS85" s="1" t="s">
        <v>77</v>
      </c>
      <c r="AT85" s="1" t="s">
        <v>76</v>
      </c>
      <c r="AU85" s="1" t="s">
        <v>77</v>
      </c>
      <c r="AV85" s="1" t="s">
        <v>76</v>
      </c>
      <c r="AW85" s="1" t="s">
        <v>76</v>
      </c>
      <c r="AX85" s="1" t="s">
        <v>77</v>
      </c>
      <c r="AY85" s="1" t="s">
        <v>77</v>
      </c>
      <c r="AZ85" s="1" t="s">
        <v>77</v>
      </c>
      <c r="BA85" s="15" t="s">
        <v>77</v>
      </c>
      <c r="BB85" s="23" t="s">
        <v>1102</v>
      </c>
      <c r="BC85" s="23" t="s">
        <v>1103</v>
      </c>
      <c r="BD85" s="23" t="s">
        <v>1104</v>
      </c>
      <c r="BE85" s="23" t="s">
        <v>1105</v>
      </c>
      <c r="BF85" s="1" t="s">
        <v>1106</v>
      </c>
    </row>
    <row r="86" ht="24" customHeight="1" spans="1:58">
      <c r="A86" s="1" t="str">
        <f>_xlfn.DISPIMG("ID_D0036FEC6E694C199F1A25E9F0574CB2",1)</f>
        <v>=DISPIMG("ID_D0036FEC6E694C199F1A25E9F0574CB2",1)</v>
      </c>
      <c r="B86" s="15" t="s">
        <v>1107</v>
      </c>
      <c r="C86" s="15" t="s">
        <v>77</v>
      </c>
      <c r="D86" s="15" t="s">
        <v>77</v>
      </c>
      <c r="E86" s="15" t="s">
        <v>1108</v>
      </c>
      <c r="F86" s="15" t="s">
        <v>1109</v>
      </c>
      <c r="G86" s="15" t="s">
        <v>1110</v>
      </c>
      <c r="H86" s="15" t="s">
        <v>1111</v>
      </c>
      <c r="I86" s="15" t="s">
        <v>1112</v>
      </c>
      <c r="J86" s="15" t="s">
        <v>1107</v>
      </c>
      <c r="K86" s="15" t="s">
        <v>65</v>
      </c>
      <c r="L86" s="15" t="s">
        <v>66</v>
      </c>
      <c r="M86" s="18">
        <v>15953</v>
      </c>
      <c r="N86" s="18">
        <v>1401</v>
      </c>
      <c r="O86" s="19">
        <v>0.0807</v>
      </c>
      <c r="P86" s="20" t="s">
        <v>67</v>
      </c>
      <c r="Q86" s="22" t="s">
        <v>992</v>
      </c>
      <c r="R86" s="18">
        <v>2821</v>
      </c>
      <c r="S86" s="19">
        <v>0.4555</v>
      </c>
      <c r="T86" s="18">
        <v>141021.8</v>
      </c>
      <c r="U86" s="23" t="s">
        <v>245</v>
      </c>
      <c r="V86" s="18">
        <v>4999</v>
      </c>
      <c r="W86" s="24">
        <v>87</v>
      </c>
      <c r="X86" s="25">
        <v>49.99</v>
      </c>
      <c r="AA86" s="18">
        <v>3</v>
      </c>
      <c r="AB86" s="24">
        <v>642</v>
      </c>
      <c r="AC86" s="18">
        <v>26</v>
      </c>
      <c r="AD86" s="28">
        <v>4.2</v>
      </c>
      <c r="AE86" s="29">
        <v>0.0092</v>
      </c>
      <c r="AF86" s="25">
        <v>7.75</v>
      </c>
      <c r="AG86" s="19">
        <v>0.645</v>
      </c>
      <c r="AI86" s="1" t="s">
        <v>1113</v>
      </c>
      <c r="AJ86" s="24">
        <v>509</v>
      </c>
      <c r="AK86" s="1" t="s">
        <v>71</v>
      </c>
      <c r="AL86" s="24">
        <v>10</v>
      </c>
      <c r="AM86" s="24">
        <v>1</v>
      </c>
      <c r="AN86" s="15" t="s">
        <v>1108</v>
      </c>
      <c r="AO86" s="1" t="s">
        <v>71</v>
      </c>
      <c r="AP86" s="1" t="s">
        <v>73</v>
      </c>
      <c r="AQ86" s="15" t="s">
        <v>1114</v>
      </c>
      <c r="AR86" s="1" t="s">
        <v>1115</v>
      </c>
      <c r="AS86" s="1" t="s">
        <v>77</v>
      </c>
      <c r="AT86" s="1" t="s">
        <v>77</v>
      </c>
      <c r="AU86" s="1" t="s">
        <v>77</v>
      </c>
      <c r="AV86" s="1" t="s">
        <v>76</v>
      </c>
      <c r="AW86" s="1" t="s">
        <v>76</v>
      </c>
      <c r="AX86" s="1" t="s">
        <v>77</v>
      </c>
      <c r="AY86" s="1" t="s">
        <v>77</v>
      </c>
      <c r="AZ86" s="1" t="s">
        <v>77</v>
      </c>
      <c r="BA86" s="15" t="s">
        <v>77</v>
      </c>
      <c r="BC86" s="23" t="s">
        <v>511</v>
      </c>
      <c r="BD86" s="23" t="s">
        <v>512</v>
      </c>
      <c r="BE86" s="23" t="s">
        <v>1116</v>
      </c>
      <c r="BF86" s="1" t="s">
        <v>1117</v>
      </c>
    </row>
    <row r="87" ht="24" customHeight="1" spans="1:58">
      <c r="A87" s="1" t="str">
        <f>_xlfn.DISPIMG("ID_139363D2A9964BCB82E6D3436B9918BB",1)</f>
        <v>=DISPIMG("ID_139363D2A9964BCB82E6D3436B9918BB",1)</v>
      </c>
      <c r="B87" s="15" t="s">
        <v>1118</v>
      </c>
      <c r="C87" s="15" t="s">
        <v>77</v>
      </c>
      <c r="D87" s="15" t="s">
        <v>77</v>
      </c>
      <c r="E87" s="15" t="s">
        <v>308</v>
      </c>
      <c r="F87" s="15" t="s">
        <v>309</v>
      </c>
      <c r="G87" s="15" t="s">
        <v>1119</v>
      </c>
      <c r="H87" s="15" t="s">
        <v>1120</v>
      </c>
      <c r="I87" s="15" t="s">
        <v>1121</v>
      </c>
      <c r="J87" s="15" t="s">
        <v>1118</v>
      </c>
      <c r="K87" s="15" t="s">
        <v>65</v>
      </c>
      <c r="L87" s="15" t="s">
        <v>66</v>
      </c>
      <c r="M87" s="18">
        <v>28377</v>
      </c>
      <c r="N87" s="18">
        <v>-18750</v>
      </c>
      <c r="O87" s="19">
        <v>-2.0103</v>
      </c>
      <c r="P87" s="20" t="s">
        <v>67</v>
      </c>
      <c r="Q87" s="22" t="s">
        <v>1122</v>
      </c>
      <c r="R87" s="18">
        <v>2420</v>
      </c>
      <c r="S87" s="19">
        <v>1.0499</v>
      </c>
      <c r="T87" s="18">
        <v>94355.805</v>
      </c>
      <c r="U87" s="23" t="s">
        <v>245</v>
      </c>
      <c r="V87" s="18">
        <v>3899</v>
      </c>
      <c r="W87" s="24">
        <v>120</v>
      </c>
      <c r="X87" s="25">
        <v>38.99</v>
      </c>
      <c r="AA87" s="18">
        <v>43</v>
      </c>
      <c r="AB87" s="24">
        <v>7812</v>
      </c>
      <c r="AC87" s="18">
        <v>36</v>
      </c>
      <c r="AD87" s="28">
        <v>4.4</v>
      </c>
      <c r="AE87" s="29">
        <v>0.0149</v>
      </c>
      <c r="AF87" s="25">
        <v>7.02</v>
      </c>
      <c r="AG87" s="19">
        <v>0.62</v>
      </c>
      <c r="AI87" s="1" t="s">
        <v>1123</v>
      </c>
      <c r="AJ87" s="24">
        <v>1141</v>
      </c>
      <c r="AK87" s="1" t="s">
        <v>71</v>
      </c>
      <c r="AL87" s="24">
        <v>9.3</v>
      </c>
      <c r="AM87" s="24">
        <v>1</v>
      </c>
      <c r="AN87" s="15" t="s">
        <v>308</v>
      </c>
      <c r="AO87" s="1" t="s">
        <v>71</v>
      </c>
      <c r="AP87" s="1" t="s">
        <v>73</v>
      </c>
      <c r="AQ87" s="15" t="s">
        <v>316</v>
      </c>
      <c r="AR87" s="1" t="s">
        <v>317</v>
      </c>
      <c r="AS87" s="1" t="s">
        <v>77</v>
      </c>
      <c r="AT87" s="1" t="s">
        <v>76</v>
      </c>
      <c r="AU87" s="1" t="s">
        <v>77</v>
      </c>
      <c r="AV87" s="1" t="s">
        <v>76</v>
      </c>
      <c r="AW87" s="1" t="s">
        <v>76</v>
      </c>
      <c r="AX87" s="1" t="s">
        <v>77</v>
      </c>
      <c r="AY87" s="1" t="s">
        <v>77</v>
      </c>
      <c r="AZ87" s="1" t="s">
        <v>77</v>
      </c>
      <c r="BA87" s="15" t="s">
        <v>77</v>
      </c>
      <c r="BB87" s="23" t="s">
        <v>1124</v>
      </c>
      <c r="BC87" s="23" t="s">
        <v>578</v>
      </c>
      <c r="BD87" s="23" t="s">
        <v>579</v>
      </c>
      <c r="BE87" s="23" t="s">
        <v>1125</v>
      </c>
      <c r="BF87" s="1" t="s">
        <v>1126</v>
      </c>
    </row>
    <row r="88" ht="24" customHeight="1" spans="1:58">
      <c r="A88" s="1" t="str">
        <f>_xlfn.DISPIMG("ID_FF76363E5A5E43AB8B1A1418095ACF70",1)</f>
        <v>=DISPIMG("ID_FF76363E5A5E43AB8B1A1418095ACF70",1)</v>
      </c>
      <c r="B88" s="15" t="s">
        <v>1127</v>
      </c>
      <c r="C88" s="15" t="s">
        <v>77</v>
      </c>
      <c r="D88" s="15" t="s">
        <v>77</v>
      </c>
      <c r="E88" s="15" t="s">
        <v>1128</v>
      </c>
      <c r="F88" s="15" t="s">
        <v>1129</v>
      </c>
      <c r="G88" s="15" t="s">
        <v>1130</v>
      </c>
      <c r="H88" s="15" t="s">
        <v>1131</v>
      </c>
      <c r="I88" s="15" t="s">
        <v>1132</v>
      </c>
      <c r="J88" s="15" t="s">
        <v>1127</v>
      </c>
      <c r="K88" s="15" t="s">
        <v>65</v>
      </c>
      <c r="L88" s="15" t="s">
        <v>66</v>
      </c>
      <c r="M88" s="18">
        <v>14893</v>
      </c>
      <c r="N88" s="18">
        <v>-1439</v>
      </c>
      <c r="O88" s="19">
        <v>-0.1034</v>
      </c>
      <c r="P88" s="20" t="s">
        <v>67</v>
      </c>
      <c r="Q88" s="22" t="s">
        <v>1133</v>
      </c>
      <c r="R88" s="18">
        <v>3134</v>
      </c>
      <c r="S88" s="19">
        <v>0.7343</v>
      </c>
      <c r="T88" s="18">
        <v>144069.98</v>
      </c>
      <c r="U88" s="23" t="s">
        <v>245</v>
      </c>
      <c r="V88" s="18">
        <v>4597</v>
      </c>
      <c r="W88" s="24">
        <v>117</v>
      </c>
      <c r="X88" s="25">
        <v>45.97</v>
      </c>
      <c r="AA88" s="18">
        <v>27</v>
      </c>
      <c r="AB88" s="24">
        <v>2903</v>
      </c>
      <c r="AC88" s="18">
        <v>19</v>
      </c>
      <c r="AD88" s="28">
        <v>4</v>
      </c>
      <c r="AE88" s="29">
        <v>0.0061</v>
      </c>
      <c r="AF88" s="25">
        <v>7.27</v>
      </c>
      <c r="AG88" s="19">
        <v>0.6419</v>
      </c>
      <c r="AI88" s="1" t="s">
        <v>1134</v>
      </c>
      <c r="AJ88" s="24">
        <v>1466</v>
      </c>
      <c r="AK88" s="1" t="s">
        <v>71</v>
      </c>
      <c r="AL88" s="24">
        <v>10</v>
      </c>
      <c r="AM88" s="24">
        <v>1</v>
      </c>
      <c r="AN88" s="15" t="s">
        <v>1128</v>
      </c>
      <c r="AO88" s="1" t="s">
        <v>71</v>
      </c>
      <c r="AP88" s="1" t="s">
        <v>73</v>
      </c>
      <c r="AQ88" s="15" t="s">
        <v>1135</v>
      </c>
      <c r="AR88" s="1" t="s">
        <v>1136</v>
      </c>
      <c r="AS88" s="1" t="s">
        <v>77</v>
      </c>
      <c r="AT88" s="1" t="s">
        <v>76</v>
      </c>
      <c r="AU88" s="1" t="s">
        <v>77</v>
      </c>
      <c r="AV88" s="1" t="s">
        <v>76</v>
      </c>
      <c r="AW88" s="1" t="s">
        <v>76</v>
      </c>
      <c r="AX88" s="1" t="s">
        <v>77</v>
      </c>
      <c r="AY88" s="1" t="s">
        <v>77</v>
      </c>
      <c r="AZ88" s="1" t="s">
        <v>77</v>
      </c>
      <c r="BA88" s="15" t="s">
        <v>77</v>
      </c>
      <c r="BB88" s="23" t="s">
        <v>1137</v>
      </c>
      <c r="BC88" s="23" t="s">
        <v>1138</v>
      </c>
      <c r="BD88" s="23" t="s">
        <v>1139</v>
      </c>
      <c r="BE88" s="23" t="s">
        <v>1140</v>
      </c>
      <c r="BF88" s="1" t="s">
        <v>1141</v>
      </c>
    </row>
    <row r="89" ht="24" customHeight="1" spans="1:58">
      <c r="A89" s="1" t="str">
        <f>_xlfn.DISPIMG("ID_21589562F8FE432388C8C800EAE5B442",1)</f>
        <v>=DISPIMG("ID_21589562F8FE432388C8C800EAE5B442",1)</v>
      </c>
      <c r="B89" s="15" t="s">
        <v>1142</v>
      </c>
      <c r="C89" s="15" t="s">
        <v>77</v>
      </c>
      <c r="D89" s="15" t="s">
        <v>77</v>
      </c>
      <c r="E89" s="15" t="s">
        <v>1143</v>
      </c>
      <c r="F89" s="15" t="s">
        <v>1144</v>
      </c>
      <c r="G89" s="15" t="s">
        <v>1145</v>
      </c>
      <c r="H89" s="15" t="s">
        <v>1146</v>
      </c>
      <c r="I89" s="15" t="s">
        <v>1147</v>
      </c>
      <c r="J89" s="15" t="s">
        <v>1142</v>
      </c>
      <c r="K89" s="15" t="s">
        <v>65</v>
      </c>
      <c r="L89" s="15" t="s">
        <v>66</v>
      </c>
      <c r="M89" s="18">
        <v>17662</v>
      </c>
      <c r="N89" s="18">
        <v>258</v>
      </c>
      <c r="O89" s="19">
        <v>0.0144</v>
      </c>
      <c r="P89" s="20" t="s">
        <v>67</v>
      </c>
      <c r="Q89" s="22" t="s">
        <v>1148</v>
      </c>
      <c r="R89" s="18">
        <v>2197</v>
      </c>
      <c r="S89" s="19">
        <v>1.2459</v>
      </c>
      <c r="T89" s="18">
        <v>109828.03</v>
      </c>
      <c r="U89" s="23" t="s">
        <v>245</v>
      </c>
      <c r="V89" s="18">
        <v>4999</v>
      </c>
      <c r="W89" s="24">
        <v>108</v>
      </c>
      <c r="X89" s="25">
        <v>49.99</v>
      </c>
      <c r="AA89" s="18">
        <v>9</v>
      </c>
      <c r="AB89" s="24">
        <v>573</v>
      </c>
      <c r="AC89" s="18">
        <v>25</v>
      </c>
      <c r="AD89" s="28">
        <v>4.3</v>
      </c>
      <c r="AE89" s="29">
        <v>0.0114</v>
      </c>
      <c r="AF89" s="25">
        <v>7.24</v>
      </c>
      <c r="AG89" s="19">
        <v>0.6634</v>
      </c>
      <c r="AI89" s="1" t="s">
        <v>1149</v>
      </c>
      <c r="AJ89" s="24">
        <v>127</v>
      </c>
      <c r="AK89" s="1" t="s">
        <v>71</v>
      </c>
      <c r="AL89" s="24">
        <v>8.8</v>
      </c>
      <c r="AM89" s="24">
        <v>2</v>
      </c>
      <c r="AN89" s="15" t="s">
        <v>1150</v>
      </c>
      <c r="AO89" s="1" t="s">
        <v>71</v>
      </c>
      <c r="AP89" s="1" t="s">
        <v>73</v>
      </c>
      <c r="AQ89" s="15" t="s">
        <v>1151</v>
      </c>
      <c r="AR89" s="1" t="s">
        <v>1152</v>
      </c>
      <c r="AS89" s="1" t="s">
        <v>77</v>
      </c>
      <c r="AT89" s="1" t="s">
        <v>77</v>
      </c>
      <c r="AU89" s="1" t="s">
        <v>77</v>
      </c>
      <c r="AV89" s="1" t="s">
        <v>76</v>
      </c>
      <c r="AW89" s="1" t="s">
        <v>76</v>
      </c>
      <c r="AX89" s="1" t="s">
        <v>77</v>
      </c>
      <c r="AY89" s="1" t="s">
        <v>77</v>
      </c>
      <c r="AZ89" s="1" t="s">
        <v>77</v>
      </c>
      <c r="BA89" s="15" t="s">
        <v>77</v>
      </c>
      <c r="BC89" s="23" t="s">
        <v>962</v>
      </c>
      <c r="BD89" s="23" t="s">
        <v>963</v>
      </c>
      <c r="BE89" s="23" t="s">
        <v>1153</v>
      </c>
      <c r="BF89" s="1" t="s">
        <v>1154</v>
      </c>
    </row>
    <row r="90" ht="24" customHeight="1" spans="1:58">
      <c r="A90" s="1" t="str">
        <f>_xlfn.DISPIMG("ID_92626A75FD314075A976BCF11AB9B876",1)</f>
        <v>=DISPIMG("ID_92626A75FD314075A976BCF11AB9B876",1)</v>
      </c>
      <c r="B90" s="15" t="s">
        <v>1155</v>
      </c>
      <c r="C90" s="15" t="s">
        <v>77</v>
      </c>
      <c r="D90" s="15" t="s">
        <v>77</v>
      </c>
      <c r="E90" s="15" t="s">
        <v>85</v>
      </c>
      <c r="F90" s="15" t="s">
        <v>86</v>
      </c>
      <c r="G90" s="15" t="s">
        <v>1156</v>
      </c>
      <c r="H90" s="15" t="s">
        <v>1157</v>
      </c>
      <c r="I90" s="15" t="s">
        <v>1158</v>
      </c>
      <c r="J90" s="15" t="s">
        <v>1155</v>
      </c>
      <c r="K90" s="15" t="s">
        <v>65</v>
      </c>
      <c r="L90" s="15" t="s">
        <v>66</v>
      </c>
      <c r="M90" s="18">
        <v>11911</v>
      </c>
      <c r="N90" s="18">
        <v>7407</v>
      </c>
      <c r="O90" s="19">
        <v>0.3834</v>
      </c>
      <c r="P90" s="20" t="s">
        <v>67</v>
      </c>
      <c r="Q90" s="22" t="s">
        <v>1159</v>
      </c>
      <c r="R90" s="18">
        <v>2337</v>
      </c>
      <c r="S90" s="19">
        <v>-0.0022</v>
      </c>
      <c r="T90" s="18">
        <v>116826.63</v>
      </c>
      <c r="U90" s="23" t="s">
        <v>245</v>
      </c>
      <c r="V90" s="18">
        <v>4999</v>
      </c>
      <c r="W90" s="24">
        <v>90</v>
      </c>
      <c r="X90" s="25">
        <v>49.99</v>
      </c>
      <c r="AA90" s="18">
        <v>8</v>
      </c>
      <c r="AB90" s="24">
        <v>736</v>
      </c>
      <c r="AC90" s="18">
        <v>50</v>
      </c>
      <c r="AD90" s="28">
        <v>4.1</v>
      </c>
      <c r="AE90" s="29">
        <v>0.0214</v>
      </c>
      <c r="AF90" s="25">
        <v>7.04</v>
      </c>
      <c r="AG90" s="19">
        <v>0.6592</v>
      </c>
      <c r="AI90" s="1" t="s">
        <v>94</v>
      </c>
      <c r="AJ90" s="24">
        <v>554</v>
      </c>
      <c r="AK90" s="1" t="s">
        <v>71</v>
      </c>
      <c r="AL90" s="24">
        <v>10</v>
      </c>
      <c r="AM90" s="24">
        <v>1</v>
      </c>
      <c r="AN90" s="15" t="s">
        <v>85</v>
      </c>
      <c r="AO90" s="1" t="s">
        <v>71</v>
      </c>
      <c r="AP90" s="1" t="s">
        <v>73</v>
      </c>
      <c r="AQ90" s="15" t="s">
        <v>95</v>
      </c>
      <c r="AR90" s="1" t="s">
        <v>96</v>
      </c>
      <c r="AS90" s="1" t="s">
        <v>77</v>
      </c>
      <c r="AT90" s="1" t="s">
        <v>76</v>
      </c>
      <c r="AU90" s="1" t="s">
        <v>77</v>
      </c>
      <c r="AV90" s="1" t="s">
        <v>76</v>
      </c>
      <c r="AW90" s="1" t="s">
        <v>76</v>
      </c>
      <c r="AX90" s="1" t="s">
        <v>77</v>
      </c>
      <c r="AY90" s="1" t="s">
        <v>77</v>
      </c>
      <c r="AZ90" s="1" t="s">
        <v>77</v>
      </c>
      <c r="BA90" s="15" t="s">
        <v>77</v>
      </c>
      <c r="BB90" s="23" t="s">
        <v>1160</v>
      </c>
      <c r="BC90" s="23" t="s">
        <v>1161</v>
      </c>
      <c r="BD90" s="23" t="s">
        <v>1162</v>
      </c>
      <c r="BE90" s="23" t="s">
        <v>1163</v>
      </c>
      <c r="BF90" s="1" t="s">
        <v>1164</v>
      </c>
    </row>
    <row r="91" ht="24" customHeight="1" spans="1:58">
      <c r="A91" s="1" t="str">
        <f>_xlfn.DISPIMG("ID_29F2977D9E494CDBA57634110D6D6EE9",1)</f>
        <v>=DISPIMG("ID_29F2977D9E494CDBA57634110D6D6EE9",1)</v>
      </c>
      <c r="B91" s="15" t="s">
        <v>1165</v>
      </c>
      <c r="C91" s="15" t="s">
        <v>77</v>
      </c>
      <c r="D91" s="15" t="s">
        <v>77</v>
      </c>
      <c r="E91" s="15" t="s">
        <v>290</v>
      </c>
      <c r="F91" s="15" t="s">
        <v>291</v>
      </c>
      <c r="G91" s="15" t="s">
        <v>1166</v>
      </c>
      <c r="H91" s="15" t="s">
        <v>1167</v>
      </c>
      <c r="I91" s="15" t="s">
        <v>1168</v>
      </c>
      <c r="J91" s="15" t="s">
        <v>1165</v>
      </c>
      <c r="K91" s="15" t="s">
        <v>65</v>
      </c>
      <c r="L91" s="15" t="s">
        <v>66</v>
      </c>
      <c r="M91" s="18">
        <v>3077</v>
      </c>
      <c r="N91" s="18">
        <v>7255</v>
      </c>
      <c r="O91" s="19">
        <v>0.7197</v>
      </c>
      <c r="P91" s="20" t="s">
        <v>67</v>
      </c>
      <c r="Q91" s="22" t="s">
        <v>683</v>
      </c>
      <c r="R91" s="18">
        <v>3719</v>
      </c>
      <c r="S91" s="19">
        <v>1.2609</v>
      </c>
      <c r="T91" s="18">
        <v>148722.81</v>
      </c>
      <c r="U91" s="23" t="s">
        <v>332</v>
      </c>
      <c r="V91" s="18">
        <v>11997</v>
      </c>
      <c r="W91" s="24">
        <v>118</v>
      </c>
      <c r="X91" s="25">
        <v>39.99</v>
      </c>
      <c r="AA91" s="18">
        <v>44</v>
      </c>
      <c r="AB91" s="24">
        <v>3385</v>
      </c>
      <c r="AC91" s="18">
        <v>6</v>
      </c>
      <c r="AD91" s="28">
        <v>4.2</v>
      </c>
      <c r="AE91" s="29">
        <v>0.0016</v>
      </c>
      <c r="AF91" s="25">
        <v>7.24</v>
      </c>
      <c r="AG91" s="19">
        <v>0.619</v>
      </c>
      <c r="AI91" s="1" t="s">
        <v>1169</v>
      </c>
      <c r="AJ91" s="24">
        <v>339</v>
      </c>
      <c r="AK91" s="1" t="s">
        <v>71</v>
      </c>
      <c r="AL91" s="24">
        <v>8.2</v>
      </c>
      <c r="AM91" s="24">
        <v>2</v>
      </c>
      <c r="AN91" s="15" t="s">
        <v>298</v>
      </c>
      <c r="AO91" s="1" t="s">
        <v>71</v>
      </c>
      <c r="AP91" s="1" t="s">
        <v>73</v>
      </c>
      <c r="AQ91" s="15" t="s">
        <v>299</v>
      </c>
      <c r="AR91" s="1" t="s">
        <v>300</v>
      </c>
      <c r="AS91" s="1" t="s">
        <v>77</v>
      </c>
      <c r="AT91" s="1" t="s">
        <v>76</v>
      </c>
      <c r="AU91" s="1" t="s">
        <v>77</v>
      </c>
      <c r="AV91" s="1" t="s">
        <v>77</v>
      </c>
      <c r="AW91" s="1" t="s">
        <v>76</v>
      </c>
      <c r="AX91" s="1" t="s">
        <v>77</v>
      </c>
      <c r="AY91" s="1" t="s">
        <v>77</v>
      </c>
      <c r="AZ91" s="1" t="s">
        <v>77</v>
      </c>
      <c r="BA91" s="15" t="s">
        <v>77</v>
      </c>
      <c r="BB91" s="23" t="s">
        <v>1170</v>
      </c>
      <c r="BC91" s="23" t="s">
        <v>875</v>
      </c>
      <c r="BD91" s="23" t="s">
        <v>876</v>
      </c>
      <c r="BE91" s="23" t="s">
        <v>1171</v>
      </c>
      <c r="BF91" s="1" t="s">
        <v>1172</v>
      </c>
    </row>
    <row r="92" ht="24" customHeight="1" spans="1:58">
      <c r="A92" s="1" t="str">
        <f>_xlfn.DISPIMG("ID_6F930E1E9B69409F80E8DC53475E9FD3",1)</f>
        <v>=DISPIMG("ID_6F930E1E9B69409F80E8DC53475E9FD3",1)</v>
      </c>
      <c r="B92" s="15" t="s">
        <v>1173</v>
      </c>
      <c r="C92" s="15" t="s">
        <v>77</v>
      </c>
      <c r="D92" s="15" t="s">
        <v>77</v>
      </c>
      <c r="E92" s="15" t="s">
        <v>211</v>
      </c>
      <c r="F92" s="15" t="s">
        <v>212</v>
      </c>
      <c r="G92" s="15" t="s">
        <v>1174</v>
      </c>
      <c r="H92" s="15" t="s">
        <v>1175</v>
      </c>
      <c r="I92" s="15" t="s">
        <v>1176</v>
      </c>
      <c r="J92" s="15" t="s">
        <v>1173</v>
      </c>
      <c r="K92" s="15" t="s">
        <v>65</v>
      </c>
      <c r="L92" s="15" t="s">
        <v>66</v>
      </c>
      <c r="M92" s="18">
        <v>18965</v>
      </c>
      <c r="N92" s="18">
        <v>7065</v>
      </c>
      <c r="O92" s="19">
        <v>0.2714</v>
      </c>
      <c r="P92" s="20" t="s">
        <v>67</v>
      </c>
      <c r="Q92" s="22" t="s">
        <v>1177</v>
      </c>
      <c r="R92" s="18">
        <v>1712</v>
      </c>
      <c r="S92" s="19">
        <v>0.2147</v>
      </c>
      <c r="T92" s="18">
        <v>89006.88</v>
      </c>
      <c r="U92" s="23" t="s">
        <v>162</v>
      </c>
      <c r="V92" s="18">
        <v>2599.5</v>
      </c>
      <c r="W92" s="24">
        <v>85</v>
      </c>
      <c r="X92" s="25">
        <v>51.99</v>
      </c>
      <c r="AA92" s="18">
        <v>6</v>
      </c>
      <c r="AB92" s="24">
        <v>458</v>
      </c>
      <c r="AC92" s="18">
        <v>20</v>
      </c>
      <c r="AD92" s="28">
        <v>4</v>
      </c>
      <c r="AE92" s="29">
        <v>0.0117</v>
      </c>
      <c r="AF92" s="25">
        <v>7.53</v>
      </c>
      <c r="AG92" s="19">
        <v>0.6552</v>
      </c>
      <c r="AI92" s="1" t="s">
        <v>1178</v>
      </c>
      <c r="AJ92" s="24">
        <v>466</v>
      </c>
      <c r="AK92" s="1" t="s">
        <v>71</v>
      </c>
      <c r="AL92" s="24">
        <v>9</v>
      </c>
      <c r="AM92" s="24">
        <v>1</v>
      </c>
      <c r="AN92" s="15" t="s">
        <v>211</v>
      </c>
      <c r="AO92" s="1" t="s">
        <v>71</v>
      </c>
      <c r="AP92" s="1" t="s">
        <v>73</v>
      </c>
      <c r="AQ92" s="15" t="s">
        <v>219</v>
      </c>
      <c r="AR92" s="1" t="s">
        <v>220</v>
      </c>
      <c r="AS92" s="1" t="s">
        <v>77</v>
      </c>
      <c r="AT92" s="1" t="s">
        <v>77</v>
      </c>
      <c r="AU92" s="1" t="s">
        <v>76</v>
      </c>
      <c r="AV92" s="1" t="s">
        <v>76</v>
      </c>
      <c r="AW92" s="1" t="s">
        <v>76</v>
      </c>
      <c r="AX92" s="1" t="s">
        <v>77</v>
      </c>
      <c r="AY92" s="1" t="s">
        <v>77</v>
      </c>
      <c r="AZ92" s="1" t="s">
        <v>77</v>
      </c>
      <c r="BA92" s="15" t="s">
        <v>77</v>
      </c>
      <c r="BC92" s="23" t="s">
        <v>221</v>
      </c>
      <c r="BD92" s="23" t="s">
        <v>222</v>
      </c>
      <c r="BE92" s="23" t="s">
        <v>223</v>
      </c>
      <c r="BF92" s="1" t="s">
        <v>224</v>
      </c>
    </row>
    <row r="93" ht="24" customHeight="1" spans="1:58">
      <c r="A93" s="1" t="str">
        <f>_xlfn.DISPIMG("ID_878FA0F5453A4CA8A9408B3EF2904850",1)</f>
        <v>=DISPIMG("ID_878FA0F5453A4CA8A9408B3EF2904850",1)</v>
      </c>
      <c r="B93" s="15" t="s">
        <v>1179</v>
      </c>
      <c r="C93" s="15" t="s">
        <v>77</v>
      </c>
      <c r="D93" s="15" t="s">
        <v>77</v>
      </c>
      <c r="E93" s="15" t="s">
        <v>211</v>
      </c>
      <c r="F93" s="15" t="s">
        <v>212</v>
      </c>
      <c r="G93" s="15" t="s">
        <v>1180</v>
      </c>
      <c r="H93" s="15" t="s">
        <v>1181</v>
      </c>
      <c r="I93" s="15" t="s">
        <v>1182</v>
      </c>
      <c r="J93" s="15" t="s">
        <v>1179</v>
      </c>
      <c r="K93" s="15" t="s">
        <v>65</v>
      </c>
      <c r="L93" s="15" t="s">
        <v>66</v>
      </c>
      <c r="M93" s="18">
        <v>19584</v>
      </c>
      <c r="N93" s="18">
        <v>4381</v>
      </c>
      <c r="O93" s="19">
        <v>0.2086</v>
      </c>
      <c r="P93" s="20" t="s">
        <v>67</v>
      </c>
      <c r="Q93" s="22" t="s">
        <v>348</v>
      </c>
      <c r="R93" s="18">
        <v>2834</v>
      </c>
      <c r="S93" s="19">
        <v>-0.3195</v>
      </c>
      <c r="T93" s="18">
        <v>113331.664</v>
      </c>
      <c r="U93" s="23" t="s">
        <v>245</v>
      </c>
      <c r="V93" s="18">
        <v>3999</v>
      </c>
      <c r="W93" s="24">
        <v>106</v>
      </c>
      <c r="X93" s="25">
        <v>39.99</v>
      </c>
      <c r="AA93" s="18">
        <v>4</v>
      </c>
      <c r="AB93" s="24">
        <v>2018</v>
      </c>
      <c r="AC93" s="18">
        <v>46</v>
      </c>
      <c r="AD93" s="28">
        <v>4</v>
      </c>
      <c r="AE93" s="29">
        <v>0.0162</v>
      </c>
      <c r="AF93" s="25">
        <v>6.05</v>
      </c>
      <c r="AG93" s="19">
        <v>0.6625</v>
      </c>
      <c r="AI93" s="1" t="s">
        <v>1183</v>
      </c>
      <c r="AJ93" s="24">
        <v>865</v>
      </c>
      <c r="AK93" s="1" t="s">
        <v>71</v>
      </c>
      <c r="AL93" s="24">
        <v>9.8</v>
      </c>
      <c r="AM93" s="24">
        <v>1</v>
      </c>
      <c r="AN93" s="15" t="s">
        <v>211</v>
      </c>
      <c r="AO93" s="1" t="s">
        <v>71</v>
      </c>
      <c r="AP93" s="1" t="s">
        <v>73</v>
      </c>
      <c r="AQ93" s="15" t="s">
        <v>219</v>
      </c>
      <c r="AR93" s="1" t="s">
        <v>220</v>
      </c>
      <c r="AS93" s="1" t="s">
        <v>77</v>
      </c>
      <c r="AT93" s="1" t="s">
        <v>76</v>
      </c>
      <c r="AU93" s="1" t="s">
        <v>76</v>
      </c>
      <c r="AV93" s="1" t="s">
        <v>76</v>
      </c>
      <c r="AW93" s="1" t="s">
        <v>76</v>
      </c>
      <c r="AX93" s="1" t="s">
        <v>77</v>
      </c>
      <c r="AY93" s="1" t="s">
        <v>77</v>
      </c>
      <c r="AZ93" s="1" t="s">
        <v>77</v>
      </c>
      <c r="BA93" s="15" t="s">
        <v>77</v>
      </c>
      <c r="BB93" s="23" t="s">
        <v>1184</v>
      </c>
      <c r="BC93" s="23" t="s">
        <v>221</v>
      </c>
      <c r="BD93" s="23" t="s">
        <v>222</v>
      </c>
      <c r="BE93" s="23" t="s">
        <v>223</v>
      </c>
      <c r="BF93" s="1" t="s">
        <v>224</v>
      </c>
    </row>
    <row r="94" ht="24" customHeight="1" spans="1:58">
      <c r="A94" s="1" t="str">
        <f>_xlfn.DISPIMG("ID_6C2DDB60828F4382B3D1E85C7648386C",1)</f>
        <v>=DISPIMG("ID_6C2DDB60828F4382B3D1E85C7648386C",1)</v>
      </c>
      <c r="B94" s="15" t="s">
        <v>1185</v>
      </c>
      <c r="C94" s="15" t="s">
        <v>77</v>
      </c>
      <c r="D94" s="15" t="s">
        <v>77</v>
      </c>
      <c r="E94" s="15" t="s">
        <v>1186</v>
      </c>
      <c r="F94" s="15" t="s">
        <v>1187</v>
      </c>
      <c r="G94" s="15" t="s">
        <v>1188</v>
      </c>
      <c r="H94" s="15" t="s">
        <v>1189</v>
      </c>
      <c r="I94" s="15" t="s">
        <v>1190</v>
      </c>
      <c r="J94" s="15" t="s">
        <v>1185</v>
      </c>
      <c r="K94" s="15" t="s">
        <v>65</v>
      </c>
      <c r="L94" s="15" t="s">
        <v>66</v>
      </c>
      <c r="M94" s="18">
        <v>15764</v>
      </c>
      <c r="N94" s="18">
        <v>-8509</v>
      </c>
      <c r="O94" s="19">
        <v>-1.0019</v>
      </c>
      <c r="P94" s="20" t="s">
        <v>67</v>
      </c>
      <c r="Q94" s="22" t="s">
        <v>1081</v>
      </c>
      <c r="R94" s="18">
        <v>1938</v>
      </c>
      <c r="S94" s="19">
        <v>1.9616</v>
      </c>
      <c r="T94" s="18">
        <v>67810.625</v>
      </c>
      <c r="U94" s="23" t="s">
        <v>270</v>
      </c>
      <c r="V94" s="18">
        <v>6398</v>
      </c>
      <c r="W94" s="24">
        <v>27</v>
      </c>
      <c r="X94" s="25">
        <v>34.99</v>
      </c>
      <c r="AA94" s="18">
        <v>4</v>
      </c>
      <c r="AB94" s="24">
        <v>125</v>
      </c>
      <c r="AC94" s="18">
        <v>12</v>
      </c>
      <c r="AD94" s="28">
        <v>3.6</v>
      </c>
      <c r="AE94" s="29">
        <v>0.0062</v>
      </c>
      <c r="AF94" s="25">
        <v>6.44</v>
      </c>
      <c r="AG94" s="19">
        <v>0.616</v>
      </c>
      <c r="AI94" s="1" t="s">
        <v>1072</v>
      </c>
      <c r="AJ94" s="24">
        <v>560</v>
      </c>
      <c r="AK94" s="1" t="s">
        <v>71</v>
      </c>
      <c r="AL94" s="24">
        <v>9</v>
      </c>
      <c r="AM94" s="24">
        <v>3</v>
      </c>
      <c r="AN94" s="15" t="s">
        <v>1191</v>
      </c>
      <c r="AO94" s="1" t="s">
        <v>71</v>
      </c>
      <c r="AP94" s="1" t="s">
        <v>73</v>
      </c>
      <c r="AQ94" s="15" t="s">
        <v>1192</v>
      </c>
      <c r="AR94" s="1" t="s">
        <v>1193</v>
      </c>
      <c r="AS94" s="1" t="s">
        <v>77</v>
      </c>
      <c r="AT94" s="1" t="s">
        <v>77</v>
      </c>
      <c r="AU94" s="1" t="s">
        <v>77</v>
      </c>
      <c r="AV94" s="1" t="s">
        <v>76</v>
      </c>
      <c r="AW94" s="1" t="s">
        <v>76</v>
      </c>
      <c r="AX94" s="1" t="s">
        <v>77</v>
      </c>
      <c r="AY94" s="1" t="s">
        <v>77</v>
      </c>
      <c r="AZ94" s="1" t="s">
        <v>77</v>
      </c>
      <c r="BA94" s="15" t="s">
        <v>77</v>
      </c>
      <c r="BC94" s="23" t="s">
        <v>1194</v>
      </c>
      <c r="BD94" s="23" t="s">
        <v>1195</v>
      </c>
      <c r="BE94" s="23" t="s">
        <v>1196</v>
      </c>
      <c r="BF94" s="1" t="s">
        <v>1197</v>
      </c>
    </row>
    <row r="95" ht="24" customHeight="1" spans="1:58">
      <c r="A95" s="1" t="str">
        <f>_xlfn.DISPIMG("ID_F878261AD8E047EE8FD46F8133300D16",1)</f>
        <v>=DISPIMG("ID_F878261AD8E047EE8FD46F8133300D16",1)</v>
      </c>
      <c r="B95" s="15" t="s">
        <v>1198</v>
      </c>
      <c r="C95" s="15" t="s">
        <v>77</v>
      </c>
      <c r="D95" s="15" t="s">
        <v>77</v>
      </c>
      <c r="E95" s="15" t="s">
        <v>85</v>
      </c>
      <c r="F95" s="15" t="s">
        <v>86</v>
      </c>
      <c r="G95" s="15" t="s">
        <v>1199</v>
      </c>
      <c r="H95" s="15" t="s">
        <v>1200</v>
      </c>
      <c r="I95" s="15" t="s">
        <v>1201</v>
      </c>
      <c r="J95" s="15" t="s">
        <v>1198</v>
      </c>
      <c r="K95" s="15" t="s">
        <v>65</v>
      </c>
      <c r="L95" s="15" t="s">
        <v>66</v>
      </c>
      <c r="M95" s="18">
        <v>134688</v>
      </c>
      <c r="N95" s="18">
        <v>-62048</v>
      </c>
      <c r="O95" s="19">
        <v>-0.8022</v>
      </c>
      <c r="P95" s="20" t="s">
        <v>67</v>
      </c>
      <c r="Q95" s="22" t="s">
        <v>1202</v>
      </c>
      <c r="R95" s="18">
        <v>575</v>
      </c>
      <c r="S95" s="19">
        <v>1.3372</v>
      </c>
      <c r="T95" s="18">
        <v>18969.25</v>
      </c>
      <c r="U95" s="23" t="s">
        <v>162</v>
      </c>
      <c r="V95" s="18">
        <v>1649.5</v>
      </c>
      <c r="W95" s="24">
        <v>32</v>
      </c>
      <c r="X95" s="25">
        <v>32.99</v>
      </c>
      <c r="AB95" s="24">
        <v>42</v>
      </c>
      <c r="AC95" s="18">
        <v>5</v>
      </c>
      <c r="AD95" s="28">
        <v>4.4</v>
      </c>
      <c r="AE95" s="29">
        <v>0.0087</v>
      </c>
      <c r="AF95" s="25">
        <v>7.24</v>
      </c>
      <c r="AG95" s="19">
        <v>0.6354</v>
      </c>
      <c r="AI95" s="1" t="s">
        <v>1203</v>
      </c>
      <c r="AJ95" s="24">
        <v>182</v>
      </c>
      <c r="AK95" s="1" t="s">
        <v>71</v>
      </c>
      <c r="AL95" s="24">
        <v>10</v>
      </c>
      <c r="AM95" s="24">
        <v>1</v>
      </c>
      <c r="AN95" s="15" t="s">
        <v>85</v>
      </c>
      <c r="AO95" s="1" t="s">
        <v>71</v>
      </c>
      <c r="AP95" s="1" t="s">
        <v>73</v>
      </c>
      <c r="AQ95" s="15" t="s">
        <v>95</v>
      </c>
      <c r="AR95" s="1" t="s">
        <v>96</v>
      </c>
      <c r="AS95" s="1" t="s">
        <v>77</v>
      </c>
      <c r="AT95" s="1" t="s">
        <v>77</v>
      </c>
      <c r="AU95" s="1" t="s">
        <v>77</v>
      </c>
      <c r="AV95" s="1" t="s">
        <v>76</v>
      </c>
      <c r="AW95" s="1" t="s">
        <v>76</v>
      </c>
      <c r="AX95" s="1" t="s">
        <v>77</v>
      </c>
      <c r="AY95" s="1" t="s">
        <v>77</v>
      </c>
      <c r="AZ95" s="1" t="s">
        <v>77</v>
      </c>
      <c r="BA95" s="15" t="s">
        <v>77</v>
      </c>
      <c r="BC95" s="23" t="s">
        <v>1204</v>
      </c>
      <c r="BD95" s="23" t="s">
        <v>1205</v>
      </c>
      <c r="BE95" s="23" t="s">
        <v>1206</v>
      </c>
      <c r="BF95" s="1" t="s">
        <v>1207</v>
      </c>
    </row>
    <row r="96" ht="24" customHeight="1" spans="1:58">
      <c r="A96" s="1" t="str">
        <f>_xlfn.DISPIMG("ID_EF821CABAE374D88AB8856B8FC2E797D",1)</f>
        <v>=DISPIMG("ID_EF821CABAE374D88AB8856B8FC2E797D",1)</v>
      </c>
      <c r="B96" s="15" t="s">
        <v>1208</v>
      </c>
      <c r="C96" s="15" t="s">
        <v>77</v>
      </c>
      <c r="D96" s="15" t="s">
        <v>77</v>
      </c>
      <c r="E96" s="15" t="s">
        <v>1108</v>
      </c>
      <c r="F96" s="15" t="s">
        <v>1109</v>
      </c>
      <c r="G96" s="15" t="s">
        <v>1209</v>
      </c>
      <c r="H96" s="15" t="s">
        <v>1210</v>
      </c>
      <c r="I96" s="15" t="s">
        <v>1211</v>
      </c>
      <c r="J96" s="15" t="s">
        <v>1208</v>
      </c>
      <c r="K96" s="15" t="s">
        <v>65</v>
      </c>
      <c r="L96" s="15" t="s">
        <v>66</v>
      </c>
      <c r="M96" s="18">
        <v>39681</v>
      </c>
      <c r="N96" s="18">
        <v>27589</v>
      </c>
      <c r="O96" s="19">
        <v>0.4477</v>
      </c>
      <c r="P96" s="20" t="s">
        <v>67</v>
      </c>
      <c r="Q96" s="22" t="s">
        <v>1212</v>
      </c>
      <c r="R96" s="18">
        <v>1462</v>
      </c>
      <c r="S96" s="19">
        <v>-0.1601</v>
      </c>
      <c r="T96" s="18">
        <v>58450.758</v>
      </c>
      <c r="U96" s="23" t="s">
        <v>162</v>
      </c>
      <c r="V96" s="18">
        <v>1999</v>
      </c>
      <c r="W96" s="24">
        <v>45</v>
      </c>
      <c r="X96" s="25">
        <v>49.99</v>
      </c>
      <c r="AB96" s="24">
        <v>67</v>
      </c>
      <c r="AC96" s="18">
        <v>24</v>
      </c>
      <c r="AD96" s="28">
        <v>4.3</v>
      </c>
      <c r="AE96" s="29">
        <v>0.0164</v>
      </c>
      <c r="AF96" s="25">
        <v>7.91</v>
      </c>
      <c r="AG96" s="19">
        <v>0.6021</v>
      </c>
      <c r="AI96" s="1" t="s">
        <v>1213</v>
      </c>
      <c r="AJ96" s="24">
        <v>159</v>
      </c>
      <c r="AK96" s="1" t="s">
        <v>71</v>
      </c>
      <c r="AL96" s="24">
        <v>9</v>
      </c>
      <c r="AM96" s="24">
        <v>1</v>
      </c>
      <c r="AN96" s="15" t="s">
        <v>1108</v>
      </c>
      <c r="AO96" s="1" t="s">
        <v>71</v>
      </c>
      <c r="AP96" s="1" t="s">
        <v>73</v>
      </c>
      <c r="AQ96" s="15" t="s">
        <v>1114</v>
      </c>
      <c r="AR96" s="1" t="s">
        <v>1115</v>
      </c>
      <c r="AS96" s="1" t="s">
        <v>77</v>
      </c>
      <c r="AT96" s="1" t="s">
        <v>77</v>
      </c>
      <c r="AU96" s="1" t="s">
        <v>77</v>
      </c>
      <c r="AV96" s="1" t="s">
        <v>76</v>
      </c>
      <c r="AW96" s="1" t="s">
        <v>76</v>
      </c>
      <c r="AX96" s="1" t="s">
        <v>77</v>
      </c>
      <c r="AY96" s="1" t="s">
        <v>77</v>
      </c>
      <c r="AZ96" s="1" t="s">
        <v>77</v>
      </c>
      <c r="BA96" s="15" t="s">
        <v>77</v>
      </c>
      <c r="BD96" s="23" t="s">
        <v>77</v>
      </c>
      <c r="BF96" s="1" t="s">
        <v>77</v>
      </c>
    </row>
    <row r="97" ht="24" customHeight="1" spans="1:58">
      <c r="A97" s="1" t="str">
        <f>_xlfn.DISPIMG("ID_3F8A28B2CB034D24ADA051238F5CE206",1)</f>
        <v>=DISPIMG("ID_3F8A28B2CB034D24ADA051238F5CE206",1)</v>
      </c>
      <c r="B97" s="15" t="s">
        <v>1214</v>
      </c>
      <c r="C97" s="15" t="s">
        <v>77</v>
      </c>
      <c r="D97" s="15" t="s">
        <v>77</v>
      </c>
      <c r="E97" s="15" t="s">
        <v>85</v>
      </c>
      <c r="F97" s="15" t="s">
        <v>86</v>
      </c>
      <c r="G97" s="15" t="s">
        <v>1215</v>
      </c>
      <c r="H97" s="15" t="s">
        <v>1216</v>
      </c>
      <c r="I97" s="15" t="s">
        <v>1217</v>
      </c>
      <c r="J97" s="15" t="s">
        <v>1214</v>
      </c>
      <c r="K97" s="15" t="s">
        <v>65</v>
      </c>
      <c r="L97" s="15" t="s">
        <v>66</v>
      </c>
      <c r="M97" s="18">
        <v>12847</v>
      </c>
      <c r="N97" s="18">
        <v>49436</v>
      </c>
      <c r="O97" s="19">
        <v>0.804</v>
      </c>
      <c r="P97" s="20" t="s">
        <v>67</v>
      </c>
      <c r="Q97" s="22" t="s">
        <v>1218</v>
      </c>
      <c r="R97" s="18">
        <v>764</v>
      </c>
      <c r="S97" s="19">
        <v>24.5455</v>
      </c>
      <c r="T97" s="18">
        <v>32844.36</v>
      </c>
      <c r="U97" s="23" t="s">
        <v>162</v>
      </c>
      <c r="V97" s="18">
        <v>2149.5</v>
      </c>
      <c r="W97" s="24">
        <v>38</v>
      </c>
      <c r="X97" s="25">
        <v>42.99</v>
      </c>
      <c r="AB97" s="24">
        <v>29</v>
      </c>
      <c r="AC97" s="18">
        <v>8</v>
      </c>
      <c r="AD97" s="28">
        <v>4.3</v>
      </c>
      <c r="AE97" s="29">
        <v>0.0105</v>
      </c>
      <c r="AF97" s="25">
        <v>7.27</v>
      </c>
      <c r="AG97" s="19">
        <v>0.6309</v>
      </c>
      <c r="AI97" s="1" t="s">
        <v>1219</v>
      </c>
      <c r="AJ97" s="24">
        <v>107</v>
      </c>
      <c r="AK97" s="1" t="s">
        <v>71</v>
      </c>
      <c r="AL97" s="24">
        <v>8.8</v>
      </c>
      <c r="AM97" s="24">
        <v>1</v>
      </c>
      <c r="AN97" s="15" t="s">
        <v>85</v>
      </c>
      <c r="AO97" s="1" t="s">
        <v>71</v>
      </c>
      <c r="AP97" s="1" t="s">
        <v>73</v>
      </c>
      <c r="AQ97" s="15" t="s">
        <v>95</v>
      </c>
      <c r="AR97" s="1" t="s">
        <v>96</v>
      </c>
      <c r="AS97" s="1" t="s">
        <v>77</v>
      </c>
      <c r="AT97" s="1" t="s">
        <v>77</v>
      </c>
      <c r="AU97" s="1" t="s">
        <v>76</v>
      </c>
      <c r="AV97" s="1" t="s">
        <v>76</v>
      </c>
      <c r="AW97" s="1" t="s">
        <v>76</v>
      </c>
      <c r="AX97" s="1" t="s">
        <v>77</v>
      </c>
      <c r="AY97" s="1" t="s">
        <v>77</v>
      </c>
      <c r="AZ97" s="1" t="s">
        <v>77</v>
      </c>
      <c r="BA97" s="15" t="s">
        <v>77</v>
      </c>
      <c r="BD97" s="23" t="s">
        <v>77</v>
      </c>
      <c r="BF97" s="1" t="s">
        <v>77</v>
      </c>
    </row>
    <row r="98" ht="24" customHeight="1" spans="1:58">
      <c r="A98" s="1" t="str">
        <f>_xlfn.DISPIMG("ID_FFBA0941EEE44A7AAE18AF803BC81C4C",1)</f>
        <v>=DISPIMG("ID_FFBA0941EEE44A7AAE18AF803BC81C4C",1)</v>
      </c>
      <c r="B98" s="15" t="s">
        <v>1220</v>
      </c>
      <c r="C98" s="15" t="s">
        <v>77</v>
      </c>
      <c r="D98" s="15" t="s">
        <v>77</v>
      </c>
      <c r="E98" s="15" t="s">
        <v>85</v>
      </c>
      <c r="F98" s="15" t="s">
        <v>86</v>
      </c>
      <c r="G98" s="15" t="s">
        <v>1221</v>
      </c>
      <c r="H98" s="15" t="s">
        <v>1222</v>
      </c>
      <c r="I98" s="15" t="s">
        <v>1223</v>
      </c>
      <c r="J98" s="15" t="s">
        <v>1220</v>
      </c>
      <c r="K98" s="15" t="s">
        <v>795</v>
      </c>
      <c r="L98" s="15" t="s">
        <v>66</v>
      </c>
      <c r="M98" s="18">
        <v>12177</v>
      </c>
      <c r="N98" s="18">
        <v>34617</v>
      </c>
      <c r="O98" s="19">
        <v>0.7398</v>
      </c>
      <c r="P98" s="20" t="s">
        <v>796</v>
      </c>
      <c r="Q98" s="22" t="s">
        <v>1224</v>
      </c>
      <c r="R98" s="18">
        <v>1867</v>
      </c>
      <c r="S98" s="19">
        <v>0.2506</v>
      </c>
      <c r="T98" s="18">
        <v>72794.336</v>
      </c>
      <c r="U98" s="23" t="s">
        <v>77</v>
      </c>
      <c r="V98" s="18" t="s">
        <v>77</v>
      </c>
      <c r="W98" s="24">
        <v>89</v>
      </c>
      <c r="X98" s="25">
        <v>38.99</v>
      </c>
      <c r="AA98" s="18">
        <v>7</v>
      </c>
      <c r="AB98" s="24">
        <v>520</v>
      </c>
      <c r="AC98" s="18">
        <v>10</v>
      </c>
      <c r="AD98" s="28">
        <v>4.2</v>
      </c>
      <c r="AE98" s="29">
        <v>0.0054</v>
      </c>
      <c r="AF98" s="25">
        <v>8.55</v>
      </c>
      <c r="AG98" s="19">
        <v>0.5807</v>
      </c>
      <c r="AI98" s="1" t="s">
        <v>1225</v>
      </c>
      <c r="AJ98" s="24">
        <v>772</v>
      </c>
      <c r="AK98" s="1" t="s">
        <v>71</v>
      </c>
      <c r="AL98" s="24">
        <v>10</v>
      </c>
      <c r="AM98" s="24">
        <v>1</v>
      </c>
      <c r="AN98" s="15" t="s">
        <v>774</v>
      </c>
      <c r="AO98" s="1" t="s">
        <v>71</v>
      </c>
      <c r="AP98" s="1" t="s">
        <v>73</v>
      </c>
      <c r="AQ98" s="15" t="s">
        <v>775</v>
      </c>
      <c r="AR98" s="1" t="s">
        <v>776</v>
      </c>
      <c r="AS98" s="1" t="s">
        <v>77</v>
      </c>
      <c r="AT98" s="1" t="s">
        <v>77</v>
      </c>
      <c r="AU98" s="1" t="s">
        <v>77</v>
      </c>
      <c r="AV98" s="1" t="s">
        <v>76</v>
      </c>
      <c r="AW98" s="1" t="s">
        <v>76</v>
      </c>
      <c r="AX98" s="1" t="s">
        <v>77</v>
      </c>
      <c r="AY98" s="1" t="s">
        <v>77</v>
      </c>
      <c r="AZ98" s="1" t="s">
        <v>77</v>
      </c>
      <c r="BA98" s="15" t="s">
        <v>77</v>
      </c>
      <c r="BD98" s="23" t="s">
        <v>77</v>
      </c>
      <c r="BF98" s="1" t="s">
        <v>77</v>
      </c>
    </row>
    <row r="99" ht="24" customHeight="1" spans="1:58">
      <c r="A99" s="1" t="str">
        <f>_xlfn.DISPIMG("ID_EEADA0FD12FC4A41A93FB336472D2259",1)</f>
        <v>=DISPIMG("ID_EEADA0FD12FC4A41A93FB336472D2259",1)</v>
      </c>
      <c r="B99" s="15" t="s">
        <v>1226</v>
      </c>
      <c r="C99" s="15" t="s">
        <v>77</v>
      </c>
      <c r="D99" s="15" t="s">
        <v>77</v>
      </c>
      <c r="E99" s="15" t="s">
        <v>85</v>
      </c>
      <c r="F99" s="15" t="s">
        <v>86</v>
      </c>
      <c r="G99" s="15" t="s">
        <v>1227</v>
      </c>
      <c r="H99" s="15" t="s">
        <v>1228</v>
      </c>
      <c r="I99" s="15" t="s">
        <v>1229</v>
      </c>
      <c r="J99" s="15" t="s">
        <v>1226</v>
      </c>
      <c r="K99" s="15" t="s">
        <v>65</v>
      </c>
      <c r="L99" s="15" t="s">
        <v>66</v>
      </c>
      <c r="M99" s="18">
        <v>18476</v>
      </c>
      <c r="N99" s="18">
        <v>70487</v>
      </c>
      <c r="O99" s="19">
        <v>0.7923</v>
      </c>
      <c r="P99" s="20" t="s">
        <v>67</v>
      </c>
      <c r="Q99" s="22" t="s">
        <v>992</v>
      </c>
      <c r="R99" s="18">
        <v>864</v>
      </c>
      <c r="S99" s="19">
        <v>0.339</v>
      </c>
      <c r="T99" s="18">
        <v>27639.36</v>
      </c>
      <c r="U99" s="23" t="s">
        <v>162</v>
      </c>
      <c r="V99" s="18">
        <v>1599.5</v>
      </c>
      <c r="W99" s="24">
        <v>48</v>
      </c>
      <c r="X99" s="25">
        <v>31.99</v>
      </c>
      <c r="AB99" s="24">
        <v>65</v>
      </c>
      <c r="AC99" s="18">
        <v>28</v>
      </c>
      <c r="AD99" s="28">
        <v>4.2</v>
      </c>
      <c r="AE99" s="29">
        <v>0.0324</v>
      </c>
      <c r="AF99" s="25">
        <v>7.91</v>
      </c>
      <c r="AG99" s="19">
        <v>0.5527</v>
      </c>
      <c r="AI99" s="1" t="s">
        <v>1230</v>
      </c>
      <c r="AJ99" s="24">
        <v>197</v>
      </c>
      <c r="AK99" s="1" t="s">
        <v>71</v>
      </c>
      <c r="AL99" s="24">
        <v>9.6</v>
      </c>
      <c r="AM99" s="24">
        <v>1</v>
      </c>
      <c r="AN99" s="15" t="s">
        <v>85</v>
      </c>
      <c r="AO99" s="1" t="s">
        <v>71</v>
      </c>
      <c r="AP99" s="1" t="s">
        <v>73</v>
      </c>
      <c r="AQ99" s="15" t="s">
        <v>95</v>
      </c>
      <c r="AR99" s="1" t="s">
        <v>96</v>
      </c>
      <c r="AS99" s="1" t="s">
        <v>77</v>
      </c>
      <c r="AT99" s="1" t="s">
        <v>77</v>
      </c>
      <c r="AU99" s="1" t="s">
        <v>77</v>
      </c>
      <c r="AV99" s="1" t="s">
        <v>76</v>
      </c>
      <c r="AW99" s="1" t="s">
        <v>76</v>
      </c>
      <c r="AX99" s="1" t="s">
        <v>77</v>
      </c>
      <c r="AY99" s="1" t="s">
        <v>77</v>
      </c>
      <c r="AZ99" s="1" t="s">
        <v>77</v>
      </c>
      <c r="BA99" s="15" t="s">
        <v>77</v>
      </c>
      <c r="BC99" s="23" t="s">
        <v>1231</v>
      </c>
      <c r="BD99" s="23" t="s">
        <v>1232</v>
      </c>
      <c r="BE99" s="23" t="s">
        <v>1233</v>
      </c>
      <c r="BF99" s="1" t="s">
        <v>1234</v>
      </c>
    </row>
    <row r="100" ht="24" customHeight="1" spans="1:58">
      <c r="A100" s="1" t="str">
        <f>_xlfn.DISPIMG("ID_591DCB69E703407BBD54036373B2BA2F",1)</f>
        <v>=DISPIMG("ID_591DCB69E703407BBD54036373B2BA2F",1)</v>
      </c>
      <c r="B100" s="15" t="s">
        <v>1235</v>
      </c>
      <c r="C100" s="15" t="s">
        <v>77</v>
      </c>
      <c r="D100" s="15" t="s">
        <v>77</v>
      </c>
      <c r="E100" s="15" t="s">
        <v>488</v>
      </c>
      <c r="F100" s="15" t="s">
        <v>489</v>
      </c>
      <c r="G100" s="15" t="s">
        <v>1236</v>
      </c>
      <c r="H100" s="15" t="s">
        <v>1237</v>
      </c>
      <c r="I100" s="15" t="s">
        <v>1238</v>
      </c>
      <c r="J100" s="15" t="s">
        <v>1235</v>
      </c>
      <c r="K100" s="15" t="s">
        <v>65</v>
      </c>
      <c r="L100" s="15" t="s">
        <v>66</v>
      </c>
      <c r="M100" s="18">
        <v>20813</v>
      </c>
      <c r="N100" s="18">
        <v>338805</v>
      </c>
      <c r="O100" s="19">
        <v>0.9296</v>
      </c>
      <c r="P100" s="20" t="s">
        <v>67</v>
      </c>
      <c r="Q100" s="22" t="s">
        <v>245</v>
      </c>
      <c r="R100" s="18">
        <v>383</v>
      </c>
      <c r="S100" s="19">
        <v>10.3226</v>
      </c>
      <c r="T100" s="18">
        <v>7652.34</v>
      </c>
      <c r="U100" s="23" t="s">
        <v>77</v>
      </c>
      <c r="V100" s="18" t="s">
        <v>77</v>
      </c>
      <c r="W100" s="24">
        <v>16</v>
      </c>
      <c r="X100" s="25">
        <v>19.98</v>
      </c>
      <c r="AB100" s="24">
        <v>24</v>
      </c>
      <c r="AC100" s="18">
        <v>4</v>
      </c>
      <c r="AD100" s="28">
        <v>4.4</v>
      </c>
      <c r="AE100" s="29">
        <v>0.0104</v>
      </c>
      <c r="AG100" s="19">
        <v>0</v>
      </c>
      <c r="AI100" s="1" t="s">
        <v>763</v>
      </c>
      <c r="AJ100" s="24">
        <v>155</v>
      </c>
      <c r="AK100" s="1" t="s">
        <v>71</v>
      </c>
      <c r="AL100" s="24">
        <v>9.8</v>
      </c>
      <c r="AM100" s="24">
        <v>1</v>
      </c>
      <c r="AN100" s="15" t="s">
        <v>488</v>
      </c>
      <c r="AO100" s="1" t="s">
        <v>71</v>
      </c>
      <c r="AP100" s="1" t="s">
        <v>73</v>
      </c>
      <c r="AQ100" s="15" t="s">
        <v>496</v>
      </c>
      <c r="AR100" s="1" t="s">
        <v>497</v>
      </c>
      <c r="AS100" s="1" t="s">
        <v>77</v>
      </c>
      <c r="AT100" s="1" t="s">
        <v>77</v>
      </c>
      <c r="AU100" s="1" t="s">
        <v>77</v>
      </c>
      <c r="AV100" s="1" t="s">
        <v>76</v>
      </c>
      <c r="AW100" s="1" t="s">
        <v>77</v>
      </c>
      <c r="AX100" s="1" t="s">
        <v>77</v>
      </c>
      <c r="AY100" s="1" t="s">
        <v>77</v>
      </c>
      <c r="AZ100" s="1" t="s">
        <v>77</v>
      </c>
      <c r="BA100" s="15" t="s">
        <v>77</v>
      </c>
      <c r="BC100" s="23" t="s">
        <v>1239</v>
      </c>
      <c r="BD100" s="23" t="s">
        <v>1240</v>
      </c>
      <c r="BE100" s="23" t="s">
        <v>1241</v>
      </c>
      <c r="BF100" s="1" t="s">
        <v>1242</v>
      </c>
    </row>
    <row r="101" ht="24" customHeight="1" spans="1:58">
      <c r="A101" s="1" t="str">
        <f>_xlfn.DISPIMG("ID_8EA22A040FF4497395972C2871DB9399",1)</f>
        <v>=DISPIMG("ID_8EA22A040FF4497395972C2871DB9399",1)</v>
      </c>
      <c r="B101" s="15" t="s">
        <v>1243</v>
      </c>
      <c r="C101" s="15" t="s">
        <v>77</v>
      </c>
      <c r="D101" s="15" t="s">
        <v>77</v>
      </c>
      <c r="E101" s="15" t="s">
        <v>1244</v>
      </c>
      <c r="F101" s="15" t="s">
        <v>1245</v>
      </c>
      <c r="G101" s="15" t="s">
        <v>1246</v>
      </c>
      <c r="H101" s="15" t="s">
        <v>1247</v>
      </c>
      <c r="I101" s="15" t="s">
        <v>1248</v>
      </c>
      <c r="J101" s="15" t="s">
        <v>1243</v>
      </c>
      <c r="K101" s="15" t="s">
        <v>65</v>
      </c>
      <c r="L101" s="15" t="s">
        <v>66</v>
      </c>
      <c r="M101" s="18">
        <v>18523</v>
      </c>
      <c r="N101" s="18">
        <v>22320</v>
      </c>
      <c r="O101" s="19">
        <v>0.5465</v>
      </c>
      <c r="P101" s="20" t="s">
        <v>67</v>
      </c>
      <c r="Q101" s="22" t="s">
        <v>348</v>
      </c>
      <c r="R101" s="18">
        <v>1117</v>
      </c>
      <c r="S101" s="19">
        <v>0.1141</v>
      </c>
      <c r="T101" s="18">
        <v>44668.832</v>
      </c>
      <c r="U101" s="23" t="s">
        <v>77</v>
      </c>
      <c r="V101" s="18" t="s">
        <v>77</v>
      </c>
      <c r="W101" s="24">
        <v>91</v>
      </c>
      <c r="X101" s="25">
        <v>39.99</v>
      </c>
      <c r="AA101" s="18">
        <v>29</v>
      </c>
      <c r="AB101" s="24">
        <v>4208</v>
      </c>
      <c r="AC101" s="18">
        <v>13</v>
      </c>
      <c r="AD101" s="28">
        <v>4.1</v>
      </c>
      <c r="AE101" s="29">
        <v>0.0116</v>
      </c>
      <c r="AF101" s="25">
        <v>7.85</v>
      </c>
      <c r="AG101" s="19">
        <v>0.6037</v>
      </c>
      <c r="AI101" s="1" t="s">
        <v>1249</v>
      </c>
      <c r="AJ101" s="24">
        <v>1946</v>
      </c>
      <c r="AK101" s="1" t="s">
        <v>71</v>
      </c>
      <c r="AL101" s="24">
        <v>9.7</v>
      </c>
      <c r="AM101" s="24">
        <v>2</v>
      </c>
      <c r="AN101" s="15" t="s">
        <v>1250</v>
      </c>
      <c r="AO101" s="1" t="s">
        <v>71</v>
      </c>
      <c r="AP101" s="1" t="s">
        <v>73</v>
      </c>
      <c r="AQ101" s="15" t="s">
        <v>1251</v>
      </c>
      <c r="AR101" s="1" t="s">
        <v>1252</v>
      </c>
      <c r="AS101" s="1" t="s">
        <v>77</v>
      </c>
      <c r="AT101" s="1" t="s">
        <v>76</v>
      </c>
      <c r="AU101" s="1" t="s">
        <v>77</v>
      </c>
      <c r="AV101" s="1" t="s">
        <v>76</v>
      </c>
      <c r="AW101" s="1" t="s">
        <v>76</v>
      </c>
      <c r="AX101" s="1" t="s">
        <v>77</v>
      </c>
      <c r="AY101" s="1" t="s">
        <v>77</v>
      </c>
      <c r="AZ101" s="1" t="s">
        <v>77</v>
      </c>
      <c r="BA101" s="15" t="s">
        <v>77</v>
      </c>
      <c r="BB101" s="23" t="s">
        <v>1253</v>
      </c>
      <c r="BC101" s="23" t="s">
        <v>894</v>
      </c>
      <c r="BD101" s="23" t="s">
        <v>895</v>
      </c>
      <c r="BE101" s="23" t="s">
        <v>1254</v>
      </c>
      <c r="BF101" s="1" t="s">
        <v>1255</v>
      </c>
    </row>
  </sheetData>
  <autoFilter xmlns:etc="http://www.wps.cn/officeDocument/2017/etCustomData" ref="A1:BF101" etc:filterBottomFollowUsedRange="0">
    <filterColumn colId="4">
      <filters>
        <filter val="EOSIEDUR"/>
        <filter val="CLOCOR"/>
        <filter val="Aloodor"/>
        <filter val="Aokosor"/>
        <filter val="Nimsruc"/>
        <filter val="SUUKSESS"/>
        <filter val="AOHITE"/>
        <filter val="Saloogoe"/>
        <filter val="PINSV"/>
        <filter val="WIHOLL"/>
        <filter val="AnotherChill"/>
        <filter val="OFEEFAN"/>
        <filter val="PRETTYGARDEN"/>
        <filter val="Trendy Queen"/>
        <filter val="KIRUNDO"/>
        <filter val="UOUA"/>
        <filter val="Aleumdr"/>
        <filter val="wxglndab"/>
        <filter val="Casly Lamiit"/>
        <filter val="COPYLEAF"/>
        <filter val="LILLUSORY"/>
        <filter val="XIEERDUO"/>
        <filter val="MASCOMODA"/>
        <filter val="ANRABESS"/>
        <filter val="AUTOMET"/>
        <filter val="Facitisu"/>
        <filter val="Darong"/>
        <filter val="ETCYY NEW"/>
        <filter val="HANMAX"/>
        <filter val="Kissfix"/>
        <filter val="kaimimei"/>
        <filter val="SANTINY"/>
        <filter val="Fixmatti"/>
        <filter val="BTFBM"/>
        <filter val="Yioaga"/>
        <filter val="Caracilia"/>
        <filter val="Prinbara"/>
        <filter val="SeeLuNa"/>
        <filter val="Yasumond"/>
        <filter val="Aomice"/>
        <filter val="Tanming"/>
        <filter val="HOTOUCH"/>
        <filter val="COREWO"/>
      </filters>
    </filterColumn>
    <extLst/>
  </autoFilter>
  <hyperlinks>
    <hyperlink ref="B2" r:id="rId1" display="B0CC983BYN" tooltip="https://www.amazon.com/dp/B0CC983BYN"/>
    <hyperlink ref="F2" r:id="rId2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2" r:id="rId3" display="https://www.amazon.com/dp/B0CC983BYN?psc=1" tooltip="https://www.amazon.com/dp/B0CC983BYN?psc=1"/>
    <hyperlink ref="I2" r:id="rId4" display="https://m.media-amazon.com/images/I/31Oho2JLoyL._AC_SR600,600_.jpg" tooltip="https://m.media-amazon.com/images/I/31Oho2JLoyL._AC_SR600,600_.jpg"/>
    <hyperlink ref="J2" r:id="rId5" display="B0CVVNZQ2M" tooltip="https://www.amazon.com/dp/B0CVVNZQ2M"/>
    <hyperlink ref="K2" r:id="rId6" display="Clothing, Shoes &amp; Jewelry:Women:Clothing:Active:Sets:Tracksuits" tooltip="https://www.amazon.com/b?node=14292331"/>
    <hyperlink ref="L2" r:id="rId7" display="Clothing, Shoes &amp; Jewelry"/>
    <hyperlink ref="AR2" r:id="rId8" display="https://www.amazon.com/gp/help/seller/at-a-glance.html/ref=dp_merchant_link?seller=AB2NECOE3B4S7" tooltip="https://www.amazon.com/gp/help/seller/at-a-glance.html/ref=dp_merchant_link?seller=AB2NECOE3B4S7"/>
    <hyperlink ref="B3" r:id="rId9" display="B0C3QS2K65" tooltip="https://www.amazon.com/dp/B0C3QS2K65"/>
    <hyperlink ref="F3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3" r:id="rId11" display="https://www.amazon.com/dp/B0C3QS2K65?psc=1" tooltip="https://www.amazon.com/dp/B0C3QS2K65?psc=1"/>
    <hyperlink ref="I3" r:id="rId12" display="https://images-na.ssl-images-amazon.com/images/I/51RqYmL9tML._AC_US600_.jpg" tooltip="https://images-na.ssl-images-amazon.com/images/I/51RqYmL9tML._AC_US600_.jpg"/>
    <hyperlink ref="J3" r:id="rId13" display="B0CM5QT2DG" tooltip="https://www.amazon.com/dp/B0CM5QT2DG"/>
    <hyperlink ref="K3" r:id="rId6" display="Clothing, Shoes &amp; Jewelry:Women:Clothing:Active:Sets:Tracksuits" tooltip="https://www.amazon.com/b?node=14292331"/>
    <hyperlink ref="L3" r:id="rId7" display="Clothing, Shoes &amp; Jewelry"/>
    <hyperlink ref="AR3" r:id="rId14" display="https://www.amazon.com/gp/help/seller/at-a-glance.html/ref=dp_merchant_link?seller=ADPI9LE50EUV" tooltip="https://www.amazon.com/gp/help/seller/at-a-glance.html/ref=dp_merchant_link?seller=ADPI9LE50EUV"/>
    <hyperlink ref="B4" r:id="rId15" display="B0D663V1K6" tooltip="https://www.amazon.com/dp/B0D663V1K6"/>
    <hyperlink ref="F4" r:id="rId16" display="https://www.amazon.com/stores/Darong/page/F9B823FD-2420-444B-80E7-CFAE2ED1F141?ref_=ast_bln" tooltip="https://www.amazon.com/stores/Darong/page/F9B823FD-2420-444B-80E7-CFAE2ED1F141?ref_=ast_bln"/>
    <hyperlink ref="H4" r:id="rId17" display="https://www.amazon.com/dp/B0D663V1K6?psc=1" tooltip="https://www.amazon.com/dp/B0D663V1K6?psc=1"/>
    <hyperlink ref="I4" r:id="rId18" display="https://m.media-amazon.com/images/I/31h1IDY63zL._AC_SR600,600_.jpg" tooltip="https://m.media-amazon.com/images/I/31h1IDY63zL._AC_SR600,600_.jpg"/>
    <hyperlink ref="J4" r:id="rId19" display="B0D667XPLQ" tooltip="https://www.amazon.com/dp/B0D667XPLQ"/>
    <hyperlink ref="K4" r:id="rId6" display="Clothing, Shoes &amp; Jewelry:Women:Clothing:Active:Sets:Tracksuits" tooltip="https://www.amazon.com/b?node=14292331"/>
    <hyperlink ref="L4" r:id="rId7" display="Clothing, Shoes &amp; Jewelry"/>
    <hyperlink ref="AR4" r:id="rId20" display="https://www.amazon.com/gp/help/seller/at-a-glance.html/ref=dp_merchant_link?seller=AY5PETPKQBLHL" tooltip="https://www.amazon.com/gp/help/seller/at-a-glance.html/ref=dp_merchant_link?seller=AY5PETPKQBLHL"/>
    <hyperlink ref="B5" r:id="rId21" display="B0CBDH3JYF" tooltip="https://www.amazon.com/dp/B0CBDH3JYF"/>
    <hyperlink ref="F5" r:id="rId2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5" r:id="rId22" display="https://www.amazon.com/dp/B0CBDH3JYF?psc=1" tooltip="https://www.amazon.com/dp/B0CBDH3JYF?psc=1"/>
    <hyperlink ref="I5" r:id="rId23" display="https://images-na.ssl-images-amazon.com/images/I/51cw8FzoFDL._AC_US600_.jpg" tooltip="https://images-na.ssl-images-amazon.com/images/I/51cw8FzoFDL._AC_US600_.jpg"/>
    <hyperlink ref="J5" r:id="rId24" display="B0CYY49D6Z" tooltip="https://www.amazon.com/dp/B0CYY49D6Z"/>
    <hyperlink ref="K5" r:id="rId6" display="Clothing, Shoes &amp; Jewelry:Women:Clothing:Active:Sets:Tracksuits" tooltip="https://www.amazon.com/b?node=14292331"/>
    <hyperlink ref="L5" r:id="rId7" display="Clothing, Shoes &amp; Jewelry"/>
    <hyperlink ref="AR5" r:id="rId8" display="https://www.amazon.com/gp/help/seller/at-a-glance.html/ref=dp_merchant_link?seller=AB2NECOE3B4S7" tooltip="https://www.amazon.com/gp/help/seller/at-a-glance.html/ref=dp_merchant_link?seller=AB2NECOE3B4S7"/>
    <hyperlink ref="B6" r:id="rId25" display="B099JZBT9M" tooltip="https://www.amazon.com/dp/B099JZBT9M"/>
    <hyperlink ref="F6" r:id="rId26" display="https://www.amazon.com/stores/Aloodor/page/82CDBE47-776A-4D16-B59E-0DBD6E2BE719?ref_=ast_bln&amp;store_ref=bl_ast_dp_brandLogo_sto" tooltip="https://www.amazon.com/stores/Aloodor/page/82CDBE47-776A-4D16-B59E-0DBD6E2BE719?ref_=ast_bln&amp;store_ref=bl_ast_dp_brandLogo_sto"/>
    <hyperlink ref="H6" r:id="rId27" display="https://www.amazon.com/dp/B099JZBT9M?psc=1" tooltip="https://www.amazon.com/dp/B099JZBT9M?psc=1"/>
    <hyperlink ref="I6" r:id="rId28" display="https://images-na.ssl-images-amazon.com/images/I/616ZjG4+MoL._AC_US600_.jpg" tooltip="https://images-na.ssl-images-amazon.com/images/I/616ZjG4+MoL._AC_US600_.jpg"/>
    <hyperlink ref="J6" r:id="rId29" display="B099K2ZM68" tooltip="https://www.amazon.com/dp/B099K2ZM68"/>
    <hyperlink ref="K6" r:id="rId6" display="Clothing, Shoes &amp; Jewelry:Women:Clothing:Active:Sets:Tracksuits" tooltip="https://www.amazon.com/b?node=14292331"/>
    <hyperlink ref="L6" r:id="rId7" display="Clothing, Shoes &amp; Jewelry"/>
    <hyperlink ref="AR6" r:id="rId30" display="https://www.amazon.com/gp/help/seller/at-a-glance.html/ref=dp_merchant_link?seller=A3VT9VLIG8GZLW" tooltip="https://www.amazon.com/gp/help/seller/at-a-glance.html/ref=dp_merchant_link?seller=A3VT9VLIG8GZLW"/>
    <hyperlink ref="B7" r:id="rId31" display="B0D73Q3VF9" tooltip="https://www.amazon.com/dp/B0D73Q3VF9"/>
    <hyperlink ref="F7" r:id="rId32" display="https://www.amazon.com/stores/Kissfix/page/B82BAD26-E741-4B6F-9851-BE9C8A0A8462?ref_=ast_bln&amp;store_ref=bl_ast_dp_brandLogo_sto" tooltip="https://www.amazon.com/stores/Kissfix/page/B82BAD26-E741-4B6F-9851-BE9C8A0A8462?ref_=ast_bln&amp;store_ref=bl_ast_dp_brandLogo_sto"/>
    <hyperlink ref="H7" r:id="rId33" display="https://www.amazon.com/dp/B0D73Q3VF9?psc=1" tooltip="https://www.amazon.com/dp/B0D73Q3VF9?psc=1"/>
    <hyperlink ref="I7" r:id="rId34" display="https://images-na.ssl-images-amazon.com/images/I/51AsO6blGVL._AC_US600_.jpg" tooltip="https://images-na.ssl-images-amazon.com/images/I/51AsO6blGVL._AC_US600_.jpg"/>
    <hyperlink ref="J7" r:id="rId35" display="B0D73Q28ZT" tooltip="https://www.amazon.com/dp/B0D73Q28ZT"/>
    <hyperlink ref="K7" r:id="rId6" display="Clothing, Shoes &amp; Jewelry:Women:Clothing:Active:Sets:Tracksuits" tooltip="https://www.amazon.com/b?node=14292331"/>
    <hyperlink ref="L7" r:id="rId7" display="Clothing, Shoes &amp; Jewelry"/>
    <hyperlink ref="AR7" r:id="rId36" display="https://www.amazon.com/gp/help/seller/at-a-glance.html/ref=dp_merchant_link?seller=A39S3583PNM4DE" tooltip="https://www.amazon.com/gp/help/seller/at-a-glance.html/ref=dp_merchant_link?seller=A39S3583PNM4DE"/>
    <hyperlink ref="B8" r:id="rId37" display="B0CFKJGMRG" tooltip="https://www.amazon.com/dp/B0CFKJGMRG"/>
    <hyperlink ref="F8" r:id="rId38" display="https://www.amazon.com/stores/BTFBM/page/F5DB1F57-0171-4D2E-BD4E-5C4A8D024498?ref_=ast_bln&amp;store_ref=bl_ast_dp_brandLogo_sto" tooltip="https://www.amazon.com/stores/BTFBM/page/F5DB1F57-0171-4D2E-BD4E-5C4A8D024498?ref_=ast_bln&amp;store_ref=bl_ast_dp_brandLogo_sto"/>
    <hyperlink ref="H8" r:id="rId39" display="https://www.amazon.com/dp/B0CFKJGMRG?psc=1" tooltip="https://www.amazon.com/dp/B0CFKJGMRG?psc=1"/>
    <hyperlink ref="I8" r:id="rId40" display="https://m.media-amazon.com/images/I/31m480tSm0L._AC_SR600,600_.jpg" tooltip="https://m.media-amazon.com/images/I/31m480tSm0L._AC_SR600,600_.jpg"/>
    <hyperlink ref="J8" r:id="rId41" display="B0CFKFXJTJ" tooltip="https://www.amazon.com/dp/B0CFKFXJTJ"/>
    <hyperlink ref="K8" r:id="rId6" display="Clothing, Shoes &amp; Jewelry:Women:Clothing:Active:Sets:Tracksuits" tooltip="https://www.amazon.com/b?node=14292331"/>
    <hyperlink ref="L8" r:id="rId7" display="Clothing, Shoes &amp; Jewelry"/>
    <hyperlink ref="AR8" r:id="rId42" display="https://www.amazon.com/gp/help/seller/at-a-glance.html/ref=dp_merchant_link?seller=A16JH42LGBJNLY" tooltip="https://www.amazon.com/gp/help/seller/at-a-glance.html/ref=dp_merchant_link?seller=A16JH42LGBJNLY"/>
    <hyperlink ref="B9" r:id="rId43" display="B0CBC6VHWC" tooltip="https://www.amazon.com/dp/B0CBC6VHWC"/>
    <hyperlink ref="F9" r:id="rId44" display="https://www.amazon.com/stores/Tanming/page/079BC433-4468-4140-A15C-77AD183B21C1?ref_=ast_bln&amp;store_ref=bl_ast_dp_brandLogo_sto" tooltip="https://www.amazon.com/stores/Tanming/page/079BC433-4468-4140-A15C-77AD183B21C1?ref_=ast_bln&amp;store_ref=bl_ast_dp_brandLogo_sto"/>
    <hyperlink ref="H9" r:id="rId45" display="https://www.amazon.com/dp/B0CBC6VHWC?psc=1" tooltip="https://www.amazon.com/dp/B0CBC6VHWC?psc=1"/>
    <hyperlink ref="I9" r:id="rId46" display="https://m.media-amazon.com/images/I/31RTISCJDiL._AC_SR600,600_.jpg" tooltip="https://m.media-amazon.com/images/I/31RTISCJDiL._AC_SR600,600_.jpg"/>
    <hyperlink ref="J9" r:id="rId47" display="B0CBFM2FJ8" tooltip="https://www.amazon.com/dp/B0CBFM2FJ8"/>
    <hyperlink ref="K9" r:id="rId6" display="Clothing, Shoes &amp; Jewelry:Women:Clothing:Active:Sets:Tracksuits" tooltip="https://www.amazon.com/b?node=14292331"/>
    <hyperlink ref="L9" r:id="rId7" display="Clothing, Shoes &amp; Jewelry"/>
    <hyperlink ref="AR9" r:id="rId48" display="https://www.amazon.com/gp/help/seller/at-a-glance.html/ref=dp_merchant_link?seller=A2QUK1SI2L2L0O" tooltip="https://www.amazon.com/gp/help/seller/at-a-glance.html/ref=dp_merchant_link?seller=A2QUK1SI2L2L0O"/>
    <hyperlink ref="B10" r:id="rId49" display="B093GVV9MY" tooltip="https://www.amazon.com/dp/B093GVV9MY"/>
    <hyperlink ref="F10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10" r:id="rId51" display="https://www.amazon.com/dp/B093GVV9MY?psc=1" tooltip="https://www.amazon.com/dp/B093GVV9MY?psc=1"/>
    <hyperlink ref="I10" r:id="rId52" display="https://images-na.ssl-images-amazon.com/images/I/61cVVxLa3dL._AC_US600_.jpg" tooltip="https://images-na.ssl-images-amazon.com/images/I/61cVVxLa3dL._AC_US600_.jpg"/>
    <hyperlink ref="J10" r:id="rId53" display="B093GWGLN9" tooltip="https://www.amazon.com/dp/B093GWGLN9"/>
    <hyperlink ref="K10" r:id="rId6" display="Clothing, Shoes &amp; Jewelry:Women:Clothing:Active:Sets:Tracksuits" tooltip="https://www.amazon.com/b?node=14292331"/>
    <hyperlink ref="L10" r:id="rId7" display="Clothing, Shoes &amp; Jewelry"/>
    <hyperlink ref="AR10" r:id="rId54" display="https://www.amazon.com/gp/help/seller/at-a-glance.html/ref=dp_merchant_link?seller=AW513678AUV06" tooltip="https://www.amazon.com/gp/help/seller/at-a-glance.html/ref=dp_merchant_link?seller=AW513678AUV06"/>
    <hyperlink ref="B11" r:id="rId55" display="B0CLY18436" tooltip="https://www.amazon.com/dp/B0CLY18436"/>
    <hyperlink ref="F11" r:id="rId2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11" r:id="rId56" display="https://www.amazon.com/dp/B0CLY18436?psc=1" tooltip="https://www.amazon.com/dp/B0CLY18436?psc=1"/>
    <hyperlink ref="I11" r:id="rId57" display="https://m.media-amazon.com/images/I/31MxoVoVXyL._AC_SR600,600_.jpg" tooltip="https://m.media-amazon.com/images/I/31MxoVoVXyL._AC_SR600,600_.jpg"/>
    <hyperlink ref="J11" r:id="rId58" display="B0CVVP88SJ" tooltip="https://www.amazon.com/dp/B0CVVP88SJ"/>
    <hyperlink ref="K11" r:id="rId6" display="Clothing, Shoes &amp; Jewelry:Women:Clothing:Active:Sets:Tracksuits" tooltip="https://www.amazon.com/b?node=14292331"/>
    <hyperlink ref="L11" r:id="rId7" display="Clothing, Shoes &amp; Jewelry"/>
    <hyperlink ref="AR11" r:id="rId8" display="https://www.amazon.com/gp/help/seller/at-a-glance.html/ref=dp_merchant_link?seller=AB2NECOE3B4S7" tooltip="https://www.amazon.com/gp/help/seller/at-a-glance.html/ref=dp_merchant_link?seller=AB2NECOE3B4S7"/>
    <hyperlink ref="B12" r:id="rId59" display="B0D9Q5DWWG" tooltip="https://www.amazon.com/dp/B0D9Q5DWWG"/>
    <hyperlink ref="F12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12" r:id="rId60" display="https://www.amazon.com/dp/B0D9Q5DWWG?psc=1" tooltip="https://www.amazon.com/dp/B0D9Q5DWWG?psc=1"/>
    <hyperlink ref="I12" r:id="rId61" display="https://images-na.ssl-images-amazon.com/images/I/7105oy5xFQL._AC_US600_.jpg" tooltip="https://images-na.ssl-images-amazon.com/images/I/7105oy5xFQL._AC_US600_.jpg"/>
    <hyperlink ref="J12" r:id="rId62" display="B0D9Q6KGWX" tooltip="https://www.amazon.com/dp/B0D9Q6KGWX"/>
    <hyperlink ref="K12" r:id="rId6" display="Clothing, Shoes &amp; Jewelry:Women:Clothing:Active:Sets:Tracksuits" tooltip="https://www.amazon.com/b?node=14292331"/>
    <hyperlink ref="L12" r:id="rId7" display="Clothing, Shoes &amp; Jewelry"/>
    <hyperlink ref="AR12" r:id="rId14" display="https://www.amazon.com/gp/help/seller/at-a-glance.html/ref=dp_merchant_link?seller=ADPI9LE50EUV" tooltip="https://www.amazon.com/gp/help/seller/at-a-glance.html/ref=dp_merchant_link?seller=ADPI9LE50EUV"/>
    <hyperlink ref="B13" r:id="rId63" display="B0CLNWYRN1" tooltip="https://www.amazon.com/dp/B0CLNWYRN1"/>
    <hyperlink ref="F13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13" r:id="rId64" display="https://www.amazon.com/dp/B0CLNWYRN1?psc=1" tooltip="https://www.amazon.com/dp/B0CLNWYRN1?psc=1"/>
    <hyperlink ref="I13" r:id="rId65" display="https://images-na.ssl-images-amazon.com/images/I/61Qn45tR3qL._AC_US600_.jpg" tooltip="https://images-na.ssl-images-amazon.com/images/I/61Qn45tR3qL._AC_US600_.jpg"/>
    <hyperlink ref="J13" r:id="rId66" display="B0CLNW821L" tooltip="https://www.amazon.com/dp/B0CLNW821L"/>
    <hyperlink ref="K13" r:id="rId6" display="Clothing, Shoes &amp; Jewelry:Women:Clothing:Active:Sets:Tracksuits" tooltip="https://www.amazon.com/b?node=14292331"/>
    <hyperlink ref="L13" r:id="rId7" display="Clothing, Shoes &amp; Jewelry"/>
    <hyperlink ref="AR13" r:id="rId54" display="https://www.amazon.com/gp/help/seller/at-a-glance.html/ref=dp_merchant_link?seller=AW513678AUV06" tooltip="https://www.amazon.com/gp/help/seller/at-a-glance.html/ref=dp_merchant_link?seller=AW513678AUV06"/>
    <hyperlink ref="B14" r:id="rId67" display="B0D7VBNVJG" tooltip="https://www.amazon.com/dp/B0D7VBNVJG"/>
    <hyperlink ref="F14" r:id="rId68" display="https://www.amazon.com/stores/CaslyLamiit/page/DC549CB9-0B31-48D0-BAA1-324ED1F56092?ref_=ast_bln&amp;store_ref=bl_ast_dp_brandLogo_sto" tooltip="https://www.amazon.com/stores/CaslyLamiit/page/DC549CB9-0B31-48D0-BAA1-324ED1F56092?ref_=ast_bln&amp;store_ref=bl_ast_dp_brandLogo_sto"/>
    <hyperlink ref="H14" r:id="rId69" display="https://www.amazon.com/dp/B0D7VBNVJG?psc=1" tooltip="https://www.amazon.com/dp/B0D7VBNVJG?psc=1"/>
    <hyperlink ref="I14" r:id="rId70" display="https://m.media-amazon.com/images/I/3133Mm6s-kL._AC_SR600,600_.jpg" tooltip="https://m.media-amazon.com/images/I/3133Mm6s-kL._AC_SR600,600_.jpg"/>
    <hyperlink ref="J14" r:id="rId71" display="B0D7VC9G58" tooltip="https://www.amazon.com/dp/B0D7VC9G58"/>
    <hyperlink ref="K14" r:id="rId6" display="Clothing, Shoes &amp; Jewelry:Women:Clothing:Active:Sets:Tracksuits" tooltip="https://www.amazon.com/b?node=14292331"/>
    <hyperlink ref="L14" r:id="rId7" display="Clothing, Shoes &amp; Jewelry"/>
    <hyperlink ref="AR14" r:id="rId72" display="https://www.amazon.com/gp/help/seller/at-a-glance.html/ref=dp_merchant_link?seller=A1LE12BR09LON4" tooltip="https://www.amazon.com/gp/help/seller/at-a-glance.html/ref=dp_merchant_link?seller=A1LE12BR09LON4"/>
    <hyperlink ref="B15" r:id="rId73" display="B0CHRF49DJ" tooltip="https://www.amazon.com/dp/B0CHRF49DJ"/>
    <hyperlink ref="F15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15" r:id="rId74" display="https://www.amazon.com/dp/B0CHRF49DJ?psc=1" tooltip="https://www.amazon.com/dp/B0CHRF49DJ?psc=1"/>
    <hyperlink ref="I15" r:id="rId75" display="https://images-na.ssl-images-amazon.com/images/I/61mVGvGfGKL._AC_US600_.jpg" tooltip="https://images-na.ssl-images-amazon.com/images/I/61mVGvGfGKL._AC_US600_.jpg"/>
    <hyperlink ref="J15" r:id="rId76" display="B0CHRDF2Q7" tooltip="https://www.amazon.com/dp/B0CHRDF2Q7"/>
    <hyperlink ref="K15" r:id="rId6" display="Clothing, Shoes &amp; Jewelry:Women:Clothing:Active:Sets:Tracksuits" tooltip="https://www.amazon.com/b?node=14292331"/>
    <hyperlink ref="L15" r:id="rId7" display="Clothing, Shoes &amp; Jewelry"/>
    <hyperlink ref="AR15" r:id="rId54" display="https://www.amazon.com/gp/help/seller/at-a-glance.html/ref=dp_merchant_link?seller=AW513678AUV06" tooltip="https://www.amazon.com/gp/help/seller/at-a-glance.html/ref=dp_merchant_link?seller=AW513678AUV06"/>
    <hyperlink ref="B16" r:id="rId77" display="B0791BS118" tooltip="https://www.amazon.com/dp/B0791BS118"/>
    <hyperlink ref="F16" r:id="rId78" display="https://www.amazon.com/stores/Facitisu/page/C6A109D2-7B68-4F3D-8BF6-1507F93DB124?ref_=ast_bln" tooltip="https://www.amazon.com/stores/Facitisu/page/C6A109D2-7B68-4F3D-8BF6-1507F93DB124?ref_=ast_bln"/>
    <hyperlink ref="H16" r:id="rId79" display="https://www.amazon.com/dp/B0791BS118?psc=1" tooltip="https://www.amazon.com/dp/B0791BS118?psc=1"/>
    <hyperlink ref="I16" r:id="rId80" display="https://images-na.ssl-images-amazon.com/images/I/61l1qcg0EiL._AC_US600_.jpg" tooltip="https://images-na.ssl-images-amazon.com/images/I/61l1qcg0EiL._AC_US600_.jpg"/>
    <hyperlink ref="J16" r:id="rId81" display="B07WKVCH2K" tooltip="https://www.amazon.com/dp/B07WKVCH2K"/>
    <hyperlink ref="K16" r:id="rId6" display="Clothing, Shoes &amp; Jewelry:Women:Clothing:Active:Sets:Tracksuits" tooltip="https://www.amazon.com/b?node=14292331"/>
    <hyperlink ref="L16" r:id="rId7" display="Clothing, Shoes &amp; Jewelry"/>
    <hyperlink ref="AR16" r:id="rId82" display="https://www.amazon.com/gp/help/seller/at-a-glance.html/ref=dp_merchant_link?seller=A2176U2K5GEUVV" tooltip="https://www.amazon.com/gp/help/seller/at-a-glance.html/ref=dp_merchant_link?seller=A2176U2K5GEUVV"/>
    <hyperlink ref="B17" r:id="rId83" display="B0D87BTW7C" tooltip="https://www.amazon.com/dp/B0D87BTW7C"/>
    <hyperlink ref="F17" r:id="rId84" display="https://www.amazon.com/stores/Nimsruc/page/B8B9097D-5777-44DC-B796-E510A9A3A113?ref_=ast_bln&amp;store_ref=bl_ast_dp_brandLogo_sto" tooltip="https://www.amazon.com/stores/Nimsruc/page/B8B9097D-5777-44DC-B796-E510A9A3A113?ref_=ast_bln&amp;store_ref=bl_ast_dp_brandLogo_sto"/>
    <hyperlink ref="H17" r:id="rId85" display="https://www.amazon.com/dp/B0D87BTW7C?psc=1" tooltip="https://www.amazon.com/dp/B0D87BTW7C?psc=1"/>
    <hyperlink ref="I17" r:id="rId86" display="https://m.media-amazon.com/images/I/31ybMKfBw6L._AC_SR600,600_.jpg" tooltip="https://m.media-amazon.com/images/I/31ybMKfBw6L._AC_SR600,600_.jpg"/>
    <hyperlink ref="J17" r:id="rId87" display="B0D87DPBJP" tooltip="https://www.amazon.com/dp/B0D87DPBJP"/>
    <hyperlink ref="K17" r:id="rId6" display="Clothing, Shoes &amp; Jewelry:Women:Clothing:Active:Sets:Tracksuits" tooltip="https://www.amazon.com/b?node=14292331"/>
    <hyperlink ref="L17" r:id="rId7" display="Clothing, Shoes &amp; Jewelry"/>
    <hyperlink ref="AR17" r:id="rId88" display="https://www.amazon.com/gp/help/seller/at-a-glance.html/ref=dp_merchant_link?seller=A379FXF78PEIQJ" tooltip="https://www.amazon.com/gp/help/seller/at-a-glance.html/ref=dp_merchant_link?seller=A379FXF78PEIQJ"/>
    <hyperlink ref="B18" r:id="rId89" display="B0C696G9M1" tooltip="https://www.amazon.com/dp/B0C696G9M1"/>
    <hyperlink ref="F18" r:id="rId90" display="https://www.amazon.com/stores/ETCYYNEW/page/02F2205D-632D-4EF1-A605-635B1B46E4C3?ref_=ast_bln&amp;store_ref=bl_ast_dp_brandLogo_sto" tooltip="https://www.amazon.com/stores/ETCYYNEW/page/02F2205D-632D-4EF1-A605-635B1B46E4C3?ref_=ast_bln&amp;store_ref=bl_ast_dp_brandLogo_sto"/>
    <hyperlink ref="H18" r:id="rId91" display="https://www.amazon.com/dp/B0C696G9M1?psc=1" tooltip="https://www.amazon.com/dp/B0C696G9M1?psc=1"/>
    <hyperlink ref="I18" r:id="rId92" display="https://m.media-amazon.com/images/I/31+xfQFcRqL._AC_SR600,600_.jpg" tooltip="https://m.media-amazon.com/images/I/31+xfQFcRqL._AC_SR600,600_.jpg"/>
    <hyperlink ref="J18" r:id="rId93" display="B0C69B5ZD4" tooltip="https://www.amazon.com/dp/B0C69B5ZD4"/>
    <hyperlink ref="K18" r:id="rId6" display="Clothing, Shoes &amp; Jewelry:Women:Clothing:Active:Sets:Tracksuits" tooltip="https://www.amazon.com/b?node=14292331"/>
    <hyperlink ref="L18" r:id="rId7" display="Clothing, Shoes &amp; Jewelry"/>
    <hyperlink ref="AR18" r:id="rId94" display="https://www.amazon.com/gp/help/seller/at-a-glance.html/ref=dp_merchant_link?seller=A1YQT2IQTLCSGZ" tooltip="https://www.amazon.com/gp/help/seller/at-a-glance.html/ref=dp_merchant_link?seller=A1YQT2IQTLCSGZ"/>
    <hyperlink ref="B19" r:id="rId95" display="B0DCNZBCB9" tooltip="https://www.amazon.com/dp/B0DCNZBCB9"/>
    <hyperlink ref="F19" r:id="rId96" display="https://www.amazon.com/stores/SUUKSESS/page/86C0C647-C07D-423B-BD1C-7EB6676E0F3F?ref_=ast_bln&amp;store_ref=bl_ast_dp_brandLogo_sto" tooltip="https://www.amazon.com/stores/SUUKSESS/page/86C0C647-C07D-423B-BD1C-7EB6676E0F3F?ref_=ast_bln&amp;store_ref=bl_ast_dp_brandLogo_sto"/>
    <hyperlink ref="H19" r:id="rId97" display="https://www.amazon.com/dp/B0DCNZBCB9?psc=1" tooltip="https://www.amazon.com/dp/B0DCNZBCB9?psc=1"/>
    <hyperlink ref="I19" r:id="rId98" display="https://m.media-amazon.com/images/I/318-dJIVjnL._AC_SR600,600_.jpg" tooltip="https://m.media-amazon.com/images/I/318-dJIVjnL._AC_SR600,600_.jpg"/>
    <hyperlink ref="J19" r:id="rId99" display="B0DCNTSWPL" tooltip="https://www.amazon.com/dp/B0DCNTSWPL"/>
    <hyperlink ref="K19" r:id="rId6" display="Clothing, Shoes &amp; Jewelry:Women:Clothing:Active:Sets:Tracksuits" tooltip="https://www.amazon.com/b?node=14292331"/>
    <hyperlink ref="L19" r:id="rId7" display="Clothing, Shoes &amp; Jewelry"/>
    <hyperlink ref="AR19" r:id="rId100" display="https://www.amazon.com/gp/help/seller/at-a-glance.html/ref=dp_merchant_link?seller=A3S55BLY5JOGU1" tooltip="https://www.amazon.com/gp/help/seller/at-a-glance.html/ref=dp_merchant_link?seller=A3S55BLY5JOGU1"/>
    <hyperlink ref="B20" r:id="rId101" display="B0C8JN6JQV" tooltip="https://www.amazon.com/dp/B0C8JN6JQV"/>
    <hyperlink ref="F20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20" r:id="rId102" display="https://www.amazon.com/dp/B0C8JN6JQV?psc=1" tooltip="https://www.amazon.com/dp/B0C8JN6JQV?psc=1"/>
    <hyperlink ref="I20" r:id="rId103" display="https://m.media-amazon.com/images/I/31bAl13l5DL._AC_SR600,600_.jpg" tooltip="https://m.media-amazon.com/images/I/31bAl13l5DL._AC_SR600,600_.jpg"/>
    <hyperlink ref="J20" r:id="rId104" display="B0D22WBWLG" tooltip="https://www.amazon.com/dp/B0D22WBWLG"/>
    <hyperlink ref="K20" r:id="rId6" display="Clothing, Shoes &amp; Jewelry:Women:Clothing:Active:Sets:Tracksuits" tooltip="https://www.amazon.com/b?node=14292331"/>
    <hyperlink ref="L20" r:id="rId7" display="Clothing, Shoes &amp; Jewelry"/>
    <hyperlink ref="AR20" r:id="rId14" display="https://www.amazon.com/gp/help/seller/at-a-glance.html/ref=dp_merchant_link?seller=ADPI9LE50EUV" tooltip="https://www.amazon.com/gp/help/seller/at-a-glance.html/ref=dp_merchant_link?seller=ADPI9LE50EUV"/>
    <hyperlink ref="B21" r:id="rId105" display="B0816FWPZC" tooltip="https://www.amazon.com/dp/B0816FWPZC"/>
    <hyperlink ref="F21" r:id="rId84" display="https://www.amazon.com/stores/Nimsruc/page/B8B9097D-5777-44DC-B796-E510A9A3A113?ref_=ast_bln&amp;store_ref=bl_ast_dp_brandLogo_sto" tooltip="https://www.amazon.com/stores/Nimsruc/page/B8B9097D-5777-44DC-B796-E510A9A3A113?ref_=ast_bln&amp;store_ref=bl_ast_dp_brandLogo_sto"/>
    <hyperlink ref="H21" r:id="rId106" display="https://www.amazon.com/dp/B0816FWPZC?psc=1" tooltip="https://www.amazon.com/dp/B0816FWPZC?psc=1"/>
    <hyperlink ref="I21" r:id="rId107" display="https://m.media-amazon.com/images/I/31QA+au+dLL._AC_SR600,600_.jpg" tooltip="https://m.media-amazon.com/images/I/31QA+au+dLL._AC_SR600,600_.jpg"/>
    <hyperlink ref="J21" r:id="rId108" display="B0D8W6XN93" tooltip="https://www.amazon.com/dp/B0D8W6XN93"/>
    <hyperlink ref="K21" r:id="rId6" display="Clothing, Shoes &amp; Jewelry:Women:Clothing:Active:Sets:Tracksuits" tooltip="https://www.amazon.com/b?node=14292331"/>
    <hyperlink ref="L21" r:id="rId7" display="Clothing, Shoes &amp; Jewelry"/>
    <hyperlink ref="AR21" r:id="rId88" display="https://www.amazon.com/gp/help/seller/at-a-glance.html/ref=dp_merchant_link?seller=A379FXF78PEIQJ" tooltip="https://www.amazon.com/gp/help/seller/at-a-glance.html/ref=dp_merchant_link?seller=A379FXF78PEIQJ"/>
    <hyperlink ref="B22" r:id="rId109" display="B0D3BY33RW" tooltip="https://www.amazon.com/dp/B0D3BY33RW"/>
    <hyperlink ref="F22" r:id="rId110" display="https://www.amazon.com/stores/XIEERDUOFASHION/page/FCB7E2CA-00F5-49C8-9A47-C520DFF57546?ref_=ast_bln&amp;store_ref=bl_ast_dp_brandLogo_sto" tooltip="https://www.amazon.com/stores/XIEERDUOFASHION/page/FCB7E2CA-00F5-49C8-9A47-C520DFF57546?ref_=ast_bln&amp;store_ref=bl_ast_dp_brandLogo_sto"/>
    <hyperlink ref="H22" r:id="rId111" display="https://www.amazon.com/dp/B0D3BY33RW?psc=1" tooltip="https://www.amazon.com/dp/B0D3BY33RW?psc=1"/>
    <hyperlink ref="I22" r:id="rId112" display="https://m.media-amazon.com/images/I/31KYxT+7geL._AC_SR600,600_.jpg" tooltip="https://m.media-amazon.com/images/I/31KYxT+7geL._AC_SR600,600_.jpg"/>
    <hyperlink ref="J22" r:id="rId113" display="B0DD7DKNTK" tooltip="https://www.amazon.com/dp/B0DD7DKNTK"/>
    <hyperlink ref="K22" r:id="rId6" display="Clothing, Shoes &amp; Jewelry:Women:Clothing:Active:Sets:Tracksuits" tooltip="https://www.amazon.com/b?node=14292331"/>
    <hyperlink ref="L22" r:id="rId7" display="Clothing, Shoes &amp; Jewelry"/>
    <hyperlink ref="AR22" r:id="rId114" display="https://www.amazon.com/gp/help/seller/at-a-glance.html/ref=dp_merchant_link?seller=AKVDYWFA30MQ8" tooltip="https://www.amazon.com/gp/help/seller/at-a-glance.html/ref=dp_merchant_link?seller=AKVDYWFA30MQ8"/>
    <hyperlink ref="B23" r:id="rId115" display="B0CYZKDLZ6" tooltip="https://www.amazon.com/dp/B0CYZKDLZ6"/>
    <hyperlink ref="F23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23" r:id="rId116" display="https://www.amazon.com/dp/B0CYZKDLZ6?psc=1" tooltip="https://www.amazon.com/dp/B0CYZKDLZ6?psc=1"/>
    <hyperlink ref="I23" r:id="rId117" display="https://images-na.ssl-images-amazon.com/images/I/61b9qutybgL._AC_US600_.jpg" tooltip="https://images-na.ssl-images-amazon.com/images/I/61b9qutybgL._AC_US600_.jpg"/>
    <hyperlink ref="J23" r:id="rId118" display="B0CYZS21GS" tooltip="https://www.amazon.com/dp/B0CYZS21GS"/>
    <hyperlink ref="K23" r:id="rId6" display="Clothing, Shoes &amp; Jewelry:Women:Clothing:Active:Sets:Tracksuits" tooltip="https://www.amazon.com/b?node=14292331"/>
    <hyperlink ref="L23" r:id="rId7" display="Clothing, Shoes &amp; Jewelry"/>
    <hyperlink ref="AR23" r:id="rId54" display="https://www.amazon.com/gp/help/seller/at-a-glance.html/ref=dp_merchant_link?seller=AW513678AUV06" tooltip="https://www.amazon.com/gp/help/seller/at-a-glance.html/ref=dp_merchant_link?seller=AW513678AUV06"/>
    <hyperlink ref="B24" r:id="rId119" display="B0CCS4VMLM" tooltip="https://www.amazon.com/dp/B0CCS4VMLM"/>
    <hyperlink ref="F24" r:id="rId120" display="https://www.amazon.com/stores/Prinbara/page/4990E8E4-CCB8-4483-9069-64EB1231D791?ref_=ast_bln&amp;store_ref=bl_ast_dp_brandLogo_sto" tooltip="https://www.amazon.com/stores/Prinbara/page/4990E8E4-CCB8-4483-9069-64EB1231D791?ref_=ast_bln&amp;store_ref=bl_ast_dp_brandLogo_sto"/>
    <hyperlink ref="H24" r:id="rId121" display="https://www.amazon.com/dp/B0CCS4VMLM?psc=1" tooltip="https://www.amazon.com/dp/B0CCS4VMLM?psc=1"/>
    <hyperlink ref="I24" r:id="rId122" display="https://m.media-amazon.com/images/I/31pwBDIiufL._AC_SR600,600_.jpg" tooltip="https://m.media-amazon.com/images/I/31pwBDIiufL._AC_SR600,600_.jpg"/>
    <hyperlink ref="J24" r:id="rId123" display="B0CZ7FKB3F" tooltip="https://www.amazon.com/dp/B0CZ7FKB3F"/>
    <hyperlink ref="K24" r:id="rId6" display="Clothing, Shoes &amp; Jewelry:Women:Clothing:Active:Sets:Tracksuits" tooltip="https://www.amazon.com/b?node=14292331"/>
    <hyperlink ref="L24" r:id="rId7" display="Clothing, Shoes &amp; Jewelry"/>
    <hyperlink ref="AR24" r:id="rId124" display="https://www.amazon.com/gp/help/seller/at-a-glance.html/ref=dp_merchant_link?seller=A3HAS8I9VV52PH" tooltip="https://www.amazon.com/gp/help/seller/at-a-glance.html/ref=dp_merchant_link?seller=A3HAS8I9VV52PH"/>
    <hyperlink ref="B25" r:id="rId125" display="B0B3MKXWQ9" tooltip="https://www.amazon.com/dp/B0B3MKXWQ9"/>
    <hyperlink ref="F25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25" r:id="rId126" display="https://www.amazon.com/dp/B0B3MKXWQ9?psc=1" tooltip="https://www.amazon.com/dp/B0B3MKXWQ9?psc=1"/>
    <hyperlink ref="I25" r:id="rId127" display="https://m.media-amazon.com/images/I/31fbPFGZPdL._AC_SR600,600_.jpg" tooltip="https://m.media-amazon.com/images/I/31fbPFGZPdL._AC_SR600,600_.jpg"/>
    <hyperlink ref="J25" r:id="rId128" display="B09LYBRVM7" tooltip="https://www.amazon.com/dp/B09LYBRVM7"/>
    <hyperlink ref="K25" r:id="rId6" display="Clothing, Shoes &amp; Jewelry:Women:Clothing:Active:Sets:Tracksuits" tooltip="https://www.amazon.com/b?node=14292331"/>
    <hyperlink ref="L25" r:id="rId7" display="Clothing, Shoes &amp; Jewelry"/>
    <hyperlink ref="AR25" r:id="rId54" display="https://www.amazon.com/gp/help/seller/at-a-glance.html/ref=dp_merchant_link?seller=AW513678AUV06" tooltip="https://www.amazon.com/gp/help/seller/at-a-glance.html/ref=dp_merchant_link?seller=AW513678AUV06"/>
    <hyperlink ref="B26" r:id="rId129" display="B0CF49VV45" tooltip="https://www.amazon.com/dp/B0CF49VV45"/>
    <hyperlink ref="F26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26" r:id="rId130" display="https://www.amazon.com/dp/B0CF49VV45?psc=1" tooltip="https://www.amazon.com/dp/B0CF49VV45?psc=1"/>
    <hyperlink ref="I26" r:id="rId131" display="https://images-na.ssl-images-amazon.com/images/I/61DE5Mf+S6L._AC_US600_.jpg" tooltip="https://images-na.ssl-images-amazon.com/images/I/61DE5Mf+S6L._AC_US600_.jpg"/>
    <hyperlink ref="J26" r:id="rId132" display="B0CF44P52W" tooltip="https://www.amazon.com/dp/B0CF44P52W"/>
    <hyperlink ref="K26" r:id="rId6" display="Clothing, Shoes &amp; Jewelry:Women:Clothing:Active:Sets:Tracksuits" tooltip="https://www.amazon.com/b?node=14292331"/>
    <hyperlink ref="L26" r:id="rId7" display="Clothing, Shoes &amp; Jewelry"/>
    <hyperlink ref="AR26" r:id="rId54" display="https://www.amazon.com/gp/help/seller/at-a-glance.html/ref=dp_merchant_link?seller=AW513678AUV06" tooltip="https://www.amazon.com/gp/help/seller/at-a-glance.html/ref=dp_merchant_link?seller=AW513678AUV06"/>
    <hyperlink ref="B27" r:id="rId133" display="B0BB742JCV" tooltip="https://www.amazon.com/dp/B0BB742JCV"/>
    <hyperlink ref="F27" r:id="rId134" display="https://www.amazon.com/stores/kaimimei/page/7250F737-A1DE-4AC2-8121-2DB26E8A321A?ref_=ast_bln&amp;store_ref=bl_ast_dp_brandLogo_sto" tooltip="https://www.amazon.com/stores/kaimimei/page/7250F737-A1DE-4AC2-8121-2DB26E8A321A?ref_=ast_bln&amp;store_ref=bl_ast_dp_brandLogo_sto"/>
    <hyperlink ref="H27" r:id="rId135" display="https://www.amazon.com/dp/B0BB742JCV?psc=1" tooltip="https://www.amazon.com/dp/B0BB742JCV?psc=1"/>
    <hyperlink ref="I27" r:id="rId136" display="https://m.media-amazon.com/images/I/318mvDeckbL._AC_SR600,600_.jpg" tooltip="https://m.media-amazon.com/images/I/318mvDeckbL._AC_SR600,600_.jpg"/>
    <hyperlink ref="J27" r:id="rId137" display="B0BB77SPL7" tooltip="https://www.amazon.com/dp/B0BB77SPL7"/>
    <hyperlink ref="K27" r:id="rId6" display="Clothing, Shoes &amp; Jewelry:Women:Clothing:Active:Sets:Tracksuits" tooltip="https://www.amazon.com/b?node=14292331"/>
    <hyperlink ref="L27" r:id="rId7" display="Clothing, Shoes &amp; Jewelry"/>
    <hyperlink ref="AR27" r:id="rId138" display="https://www.amazon.com/gp/help/seller/at-a-glance.html/ref=dp_merchant_link?seller=A27RIIISOZVONB" tooltip="https://www.amazon.com/gp/help/seller/at-a-glance.html/ref=dp_merchant_link?seller=A27RIIISOZVONB"/>
    <hyperlink ref="B28" r:id="rId139" display="B0D1CD2M2H" tooltip="https://www.amazon.com/dp/B0D1CD2M2H"/>
    <hyperlink ref="F28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28" r:id="rId140" display="https://www.amazon.com/dp/B0D1CD2M2H?psc=1" tooltip="https://www.amazon.com/dp/B0D1CD2M2H?psc=1"/>
    <hyperlink ref="I28" r:id="rId141" display="https://m.media-amazon.com/images/I/31o1PYty9kL._AC_SR600,600_.jpg" tooltip="https://m.media-amazon.com/images/I/31o1PYty9kL._AC_SR600,600_.jpg"/>
    <hyperlink ref="J28" r:id="rId142" display="B0D1CJDBYX" tooltip="https://www.amazon.com/dp/B0D1CJDBYX"/>
    <hyperlink ref="K28" r:id="rId6" display="Clothing, Shoes &amp; Jewelry:Women:Clothing:Active:Sets:Tracksuits" tooltip="https://www.amazon.com/b?node=14292331"/>
    <hyperlink ref="L28" r:id="rId7" display="Clothing, Shoes &amp; Jewelry"/>
    <hyperlink ref="AR28" r:id="rId54" display="https://www.amazon.com/gp/help/seller/at-a-glance.html/ref=dp_merchant_link?seller=AW513678AUV06" tooltip="https://www.amazon.com/gp/help/seller/at-a-glance.html/ref=dp_merchant_link?seller=AW513678AUV06"/>
    <hyperlink ref="B29" r:id="rId143" display="B0D6F82X14" tooltip="https://www.amazon.com/dp/B0D6F82X14"/>
    <hyperlink ref="F29" r:id="rId144" display="https://www.amazon.com/stores/Pinspark/page/73638A0C-799E-4A9E-BD52-A76030463125?ref_=ast_bln&amp;store_ref=bl_ast_dp_brandLogo_sto" tooltip="https://www.amazon.com/stores/Pinspark/page/73638A0C-799E-4A9E-BD52-A76030463125?ref_=ast_bln&amp;store_ref=bl_ast_dp_brandLogo_sto"/>
    <hyperlink ref="H29" r:id="rId145" display="https://www.amazon.com/dp/B0D6F82X14?psc=1" tooltip="https://www.amazon.com/dp/B0D6F82X14?psc=1"/>
    <hyperlink ref="I29" r:id="rId146" display="https://m.media-amazon.com/images/I/31cpj2xXpyL._AC_SR600,600_.jpg" tooltip="https://m.media-amazon.com/images/I/31cpj2xXpyL._AC_SR600,600_.jpg"/>
    <hyperlink ref="J29" r:id="rId147" display="B0D6G882Y8" tooltip="https://www.amazon.com/dp/B0D6G882Y8"/>
    <hyperlink ref="K29" r:id="rId6" display="Clothing, Shoes &amp; Jewelry:Women:Clothing:Active:Sets:Tracksuits" tooltip="https://www.amazon.com/b?node=14292331"/>
    <hyperlink ref="L29" r:id="rId7" display="Clothing, Shoes &amp; Jewelry"/>
    <hyperlink ref="AR29" r:id="rId148" display="https://www.amazon.com/gp/help/seller/at-a-glance.html/ref=dp_merchant_link?seller=A154O6JL5L5T2Z" tooltip="https://www.amazon.com/gp/help/seller/at-a-glance.html/ref=dp_merchant_link?seller=A154O6JL5L5T2Z"/>
    <hyperlink ref="B30" r:id="rId149" display="B0CL9LWNRH" tooltip="https://www.amazon.com/dp/B0CL9LWNRH"/>
    <hyperlink ref="F30" r:id="rId150" display="https://www.amazon.com/stores/Lillusory/page/81CBC909-44D5-427C-8E22-7D1E4971F917?ref_=ast_bln&amp;store_ref=bl_ast_dp_brandLogo_sto" tooltip="https://www.amazon.com/stores/Lillusory/page/81CBC909-44D5-427C-8E22-7D1E4971F917?ref_=ast_bln&amp;store_ref=bl_ast_dp_brandLogo_sto"/>
    <hyperlink ref="H30" r:id="rId151" display="https://www.amazon.com/dp/B0CL9LWNRH?psc=1" tooltip="https://www.amazon.com/dp/B0CL9LWNRH?psc=1"/>
    <hyperlink ref="I30" r:id="rId152" display="https://m.media-amazon.com/images/I/41Mt-z9-CwL._AC_SR600,600_.jpg" tooltip="https://m.media-amazon.com/images/I/41Mt-z9-CwL._AC_SR600,600_.jpg"/>
    <hyperlink ref="J30" r:id="rId153" display="B0CMJ98Z9T" tooltip="https://www.amazon.com/dp/B0CMJ98Z9T"/>
    <hyperlink ref="K30" r:id="rId6" display="Clothing, Shoes &amp; Jewelry:Women:Clothing:Active:Sets:Tracksuits" tooltip="https://www.amazon.com/b?node=14292331"/>
    <hyperlink ref="L30" r:id="rId7" display="Clothing, Shoes &amp; Jewelry"/>
    <hyperlink ref="AR30" r:id="rId154" display="https://www.amazon.com/gp/help/seller/at-a-glance.html/ref=dp_merchant_link?seller=ADQ75HXOS0E4Z" tooltip="https://www.amazon.com/gp/help/seller/at-a-glance.html/ref=dp_merchant_link?seller=ADQ75HXOS0E4Z"/>
    <hyperlink ref="B31" r:id="rId155" display="B0D8Q1XHB9" tooltip="https://www.amazon.com/dp/B0D8Q1XHB9"/>
    <hyperlink ref="F31" r:id="rId144" display="https://www.amazon.com/stores/Pinspark/page/73638A0C-799E-4A9E-BD52-A76030463125?ref_=ast_bln&amp;store_ref=bl_ast_dp_brandLogo_sto" tooltip="https://www.amazon.com/stores/Pinspark/page/73638A0C-799E-4A9E-BD52-A76030463125?ref_=ast_bln&amp;store_ref=bl_ast_dp_brandLogo_sto"/>
    <hyperlink ref="H31" r:id="rId156" display="https://www.amazon.com/dp/B0D8Q1XHB9?psc=1" tooltip="https://www.amazon.com/dp/B0D8Q1XHB9?psc=1"/>
    <hyperlink ref="I31" r:id="rId157" display="https://m.media-amazon.com/images/I/31CmhAFGd8L._AC_SR600,600_.jpg" tooltip="https://m.media-amazon.com/images/I/31CmhAFGd8L._AC_SR600,600_.jpg"/>
    <hyperlink ref="J31" r:id="rId158" display="B0DF2Y9RTT" tooltip="https://www.amazon.com/dp/B0DF2Y9RTT"/>
    <hyperlink ref="K31" r:id="rId6" display="Clothing, Shoes &amp; Jewelry:Women:Clothing:Active:Sets:Tracksuits" tooltip="https://www.amazon.com/b?node=14292331"/>
    <hyperlink ref="L31" r:id="rId7" display="Clothing, Shoes &amp; Jewelry"/>
    <hyperlink ref="AR31" r:id="rId148" display="https://www.amazon.com/gp/help/seller/at-a-glance.html/ref=dp_merchant_link?seller=A154O6JL5L5T2Z" tooltip="https://www.amazon.com/gp/help/seller/at-a-glance.html/ref=dp_merchant_link?seller=A154O6JL5L5T2Z"/>
    <hyperlink ref="B32" r:id="rId159" display="B0D14GBZGB" tooltip="https://www.amazon.com/dp/B0D14GBZGB"/>
    <hyperlink ref="F32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32" r:id="rId160" display="https://www.amazon.com/dp/B0D14GBZGB?psc=1" tooltip="https://www.amazon.com/dp/B0D14GBZGB?psc=1"/>
    <hyperlink ref="I32" r:id="rId161" display="https://m.media-amazon.com/images/I/31zClYsW8IL._AC_SR600,600_.jpg" tooltip="https://m.media-amazon.com/images/I/31zClYsW8IL._AC_SR600,600_.jpg"/>
    <hyperlink ref="J32" r:id="rId162" display="B0D13WFGYN" tooltip="https://www.amazon.com/dp/B0D13WFGYN"/>
    <hyperlink ref="K32" r:id="rId6" display="Clothing, Shoes &amp; Jewelry:Women:Clothing:Active:Sets:Tracksuits" tooltip="https://www.amazon.com/b?node=14292331"/>
    <hyperlink ref="L32" r:id="rId7" display="Clothing, Shoes &amp; Jewelry"/>
    <hyperlink ref="AR32" r:id="rId54" display="https://www.amazon.com/gp/help/seller/at-a-glance.html/ref=dp_merchant_link?seller=AW513678AUV06" tooltip="https://www.amazon.com/gp/help/seller/at-a-glance.html/ref=dp_merchant_link?seller=AW513678AUV06"/>
    <hyperlink ref="B33" r:id="rId163" display="B0D2ZNKJJ7" tooltip="https://www.amazon.com/dp/B0D2ZNKJJ7"/>
    <hyperlink ref="F33" r:id="rId164" display="https://www.amazon.com/stores/Aleumdr/page/79470688-80B8-4863-82F6-18A200C81FC8?ref_=ast_bln&amp;store_ref=bl_ast_dp_brandLogo_sto" tooltip="https://www.amazon.com/stores/Aleumdr/page/79470688-80B8-4863-82F6-18A200C81FC8?ref_=ast_bln&amp;store_ref=bl_ast_dp_brandLogo_sto"/>
    <hyperlink ref="H33" r:id="rId165" display="https://www.amazon.com/dp/B0D2ZNKJJ7?psc=1" tooltip="https://www.amazon.com/dp/B0D2ZNKJJ7?psc=1"/>
    <hyperlink ref="I33" r:id="rId166" display="https://images-na.ssl-images-amazon.com/images/I/51GKIgM3XaL._AC_US600_.jpg" tooltip="https://images-na.ssl-images-amazon.com/images/I/51GKIgM3XaL._AC_US600_.jpg"/>
    <hyperlink ref="J33" r:id="rId167" display="B0CJ2WF8V8" tooltip="https://www.amazon.com/dp/B0CJ2WF8V8"/>
    <hyperlink ref="K33" r:id="rId6" display="Clothing, Shoes &amp; Jewelry:Women:Clothing:Active:Sets:Tracksuits" tooltip="https://www.amazon.com/b?node=14292331"/>
    <hyperlink ref="L33" r:id="rId7" display="Clothing, Shoes &amp; Jewelry"/>
    <hyperlink ref="AR33" r:id="rId168" display="https://www.amazon.com/gp/help/seller/at-a-glance.html/ref=dp_merchant_link?seller=A21VT5TXUQ068P" tooltip="https://www.amazon.com/gp/help/seller/at-a-glance.html/ref=dp_merchant_link?seller=A21VT5TXUQ068P"/>
    <hyperlink ref="B34" r:id="rId169" display="B0CHFN4JB4" tooltip="https://www.amazon.com/dp/B0CHFN4JB4"/>
    <hyperlink ref="F34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34" r:id="rId170" display="https://www.amazon.com/dp/B0CHFN4JB4?psc=1" tooltip="https://www.amazon.com/dp/B0CHFN4JB4?psc=1"/>
    <hyperlink ref="I34" r:id="rId171" display="https://m.media-amazon.com/images/I/31n2Kk0yBdL._AC_SR600,600_.jpg" tooltip="https://m.media-amazon.com/images/I/31n2Kk0yBdL._AC_SR600,600_.jpg"/>
    <hyperlink ref="J34" r:id="rId172" display="B0CHFLVYLJ" tooltip="https://www.amazon.com/dp/B0CHFLVYLJ"/>
    <hyperlink ref="K34" r:id="rId6" display="Clothing, Shoes &amp; Jewelry:Women:Clothing:Active:Sets:Tracksuits" tooltip="https://www.amazon.com/b?node=14292331"/>
    <hyperlink ref="L34" r:id="rId7" display="Clothing, Shoes &amp; Jewelry"/>
    <hyperlink ref="AR34" r:id="rId14" display="https://www.amazon.com/gp/help/seller/at-a-glance.html/ref=dp_merchant_link?seller=ADPI9LE50EUV" tooltip="https://www.amazon.com/gp/help/seller/at-a-glance.html/ref=dp_merchant_link?seller=ADPI9LE50EUV"/>
    <hyperlink ref="B35" r:id="rId173" display="B0DFM3D32X" tooltip="https://www.amazon.com/dp/B0DFM3D32X"/>
    <hyperlink ref="F35" r:id="rId96" display="https://www.amazon.com/stores/SUUKSESS/page/86C0C647-C07D-423B-BD1C-7EB6676E0F3F?ref_=ast_bln&amp;store_ref=bl_ast_dp_brandLogo_sto" tooltip="https://www.amazon.com/stores/SUUKSESS/page/86C0C647-C07D-423B-BD1C-7EB6676E0F3F?ref_=ast_bln&amp;store_ref=bl_ast_dp_brandLogo_sto"/>
    <hyperlink ref="H35" r:id="rId174" display="https://www.amazon.com/dp/B0DFM3D32X?psc=1" tooltip="https://www.amazon.com/dp/B0DFM3D32X?psc=1"/>
    <hyperlink ref="I35" r:id="rId175" display="https://m.media-amazon.com/images/I/31DBN45XVYL._AC_SR600,600_.jpg" tooltip="https://m.media-amazon.com/images/I/31DBN45XVYL._AC_SR600,600_.jpg"/>
    <hyperlink ref="J35" r:id="rId176" display="B0DL4JVJ84" tooltip="https://www.amazon.com/dp/B0DL4JVJ84"/>
    <hyperlink ref="K35" r:id="rId6" display="Clothing, Shoes &amp; Jewelry:Women:Clothing:Active:Sets:Tracksuits" tooltip="https://www.amazon.com/b?node=14292331"/>
    <hyperlink ref="L35" r:id="rId7" display="Clothing, Shoes &amp; Jewelry"/>
    <hyperlink ref="AR35" r:id="rId100" display="https://www.amazon.com/gp/help/seller/at-a-glance.html/ref=dp_merchant_link?seller=A3S55BLY5JOGU1" tooltip="https://www.amazon.com/gp/help/seller/at-a-glance.html/ref=dp_merchant_link?seller=A3S55BLY5JOGU1"/>
    <hyperlink ref="B36" r:id="rId177" display="B0B6JB5H4D" tooltip="https://www.amazon.com/dp/B0B6JB5H4D"/>
    <hyperlink ref="F36" r:id="rId178" display="https://www.amazon.com/stores/PINSV/page/82228BCF-2BCE-43CE-9E04-3DDCAF5F5AA3?ref_=ast_bln&amp;store_ref=bl_ast_dp_brandLogo_sto" tooltip="https://www.amazon.com/stores/PINSV/page/82228BCF-2BCE-43CE-9E04-3DDCAF5F5AA3?ref_=ast_bln&amp;store_ref=bl_ast_dp_brandLogo_sto"/>
    <hyperlink ref="H36" r:id="rId179" display="https://www.amazon.com/dp/B0B6JB5H4D?psc=1" tooltip="https://www.amazon.com/dp/B0B6JB5H4D?psc=1"/>
    <hyperlink ref="I36" r:id="rId180" display="https://m.media-amazon.com/images/I/31J-lYaPRhL._AC_SR600,600_.jpg" tooltip="https://m.media-amazon.com/images/I/31J-lYaPRhL._AC_SR600,600_.jpg"/>
    <hyperlink ref="J36" r:id="rId181" display="B0CKZ815S1" tooltip="https://www.amazon.com/dp/B0CKZ815S1"/>
    <hyperlink ref="K36" r:id="rId6" display="Clothing, Shoes &amp; Jewelry:Women:Clothing:Active:Sets:Tracksuits" tooltip="https://www.amazon.com/b?node=14292331"/>
    <hyperlink ref="L36" r:id="rId7" display="Clothing, Shoes &amp; Jewelry"/>
    <hyperlink ref="AR36" r:id="rId182" display="https://www.amazon.com/gp/help/seller/at-a-glance.html/ref=dp_merchant_link?seller=A24Y5PP0V9OJ80" tooltip="https://www.amazon.com/gp/help/seller/at-a-glance.html/ref=dp_merchant_link?seller=A24Y5PP0V9OJ80"/>
    <hyperlink ref="B37" r:id="rId183" display="B0DCFYZ8MH" tooltip="https://www.amazon.com/dp/B0DCFYZ8MH"/>
    <hyperlink ref="F37" r:id="rId184" display="https://www.amazon.com/stores/WIHOLL/page/E91F5574-606A-4B44-8C58-AE466877417A?ref_=ast_bln&amp;store_ref=bl_ast_dp_brandLogo_sto" tooltip="https://www.amazon.com/stores/WIHOLL/page/E91F5574-606A-4B44-8C58-AE466877417A?ref_=ast_bln&amp;store_ref=bl_ast_dp_brandLogo_sto"/>
    <hyperlink ref="H37" r:id="rId185" display="https://www.amazon.com/dp/B0DCFYZ8MH?psc=1" tooltip="https://www.amazon.com/dp/B0DCFYZ8MH?psc=1"/>
    <hyperlink ref="I37" r:id="rId186" display="https://m.media-amazon.com/images/I/311nZZxTXGL._AC_SR600,600_.jpg" tooltip="https://m.media-amazon.com/images/I/311nZZxTXGL._AC_SR600,600_.jpg"/>
    <hyperlink ref="J37" r:id="rId187" display="B0DCFXVQD2" tooltip="https://www.amazon.com/dp/B0DCFXVQD2"/>
    <hyperlink ref="K37" r:id="rId6" display="Clothing, Shoes &amp; Jewelry:Women:Clothing:Active:Sets:Tracksuits" tooltip="https://www.amazon.com/b?node=14292331"/>
    <hyperlink ref="L37" r:id="rId7" display="Clothing, Shoes &amp; Jewelry"/>
    <hyperlink ref="AR37" r:id="rId188" display="https://www.amazon.com/gp/help/seller/at-a-glance.html/ref=dp_merchant_link?seller=ANOUR7ZCMRO5" tooltip="https://www.amazon.com/gp/help/seller/at-a-glance.html/ref=dp_merchant_link?seller=ANOUR7ZCMRO5"/>
    <hyperlink ref="B38" r:id="rId189" display="B0D5HKDYY6" tooltip="https://www.amazon.com/dp/B0D5HKDYY6"/>
    <hyperlink ref="F38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38" r:id="rId190" display="https://www.amazon.com/dp/B0D5HKDYY6?psc=1" tooltip="https://www.amazon.com/dp/B0D5HKDYY6?psc=1"/>
    <hyperlink ref="I38" r:id="rId191" display="https://m.media-amazon.com/images/I/31UyDWxjYrL._AC_SR600,600_.jpg" tooltip="https://m.media-amazon.com/images/I/31UyDWxjYrL._AC_SR600,600_.jpg"/>
    <hyperlink ref="J38" r:id="rId192" display="B0D5HJXWPD" tooltip="https://www.amazon.com/dp/B0D5HJXWPD"/>
    <hyperlink ref="K38" r:id="rId6" display="Clothing, Shoes &amp; Jewelry:Women:Clothing:Active:Sets:Tracksuits" tooltip="https://www.amazon.com/b?node=14292331"/>
    <hyperlink ref="L38" r:id="rId7" display="Clothing, Shoes &amp; Jewelry"/>
    <hyperlink ref="AR38" r:id="rId14" display="https://www.amazon.com/gp/help/seller/at-a-glance.html/ref=dp_merchant_link?seller=ADPI9LE50EUV" tooltip="https://www.amazon.com/gp/help/seller/at-a-glance.html/ref=dp_merchant_link?seller=ADPI9LE50EUV"/>
    <hyperlink ref="B39" r:id="rId193" display="B0CRKNFNKS" tooltip="https://www.amazon.com/dp/B0CRKNFNKS"/>
    <hyperlink ref="F39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39" r:id="rId194" display="https://www.amazon.com/dp/B0CRKNFNKS?psc=1" tooltip="https://www.amazon.com/dp/B0CRKNFNKS?psc=1"/>
    <hyperlink ref="I39" r:id="rId195" display="https://m.media-amazon.com/images/I/21vtAaE93CL._AC_SR600,600_.jpg" tooltip="https://m.media-amazon.com/images/I/21vtAaE93CL._AC_SR600,600_.jpg"/>
    <hyperlink ref="J39" r:id="rId196" display="B0CRKHQXZY" tooltip="https://www.amazon.com/dp/B0CRKHQXZY"/>
    <hyperlink ref="K39" r:id="rId6" display="Clothing, Shoes &amp; Jewelry:Women:Clothing:Active:Sets:Tracksuits" tooltip="https://www.amazon.com/b?node=14292331"/>
    <hyperlink ref="L39" r:id="rId7" display="Clothing, Shoes &amp; Jewelry"/>
    <hyperlink ref="AR39" r:id="rId54" display="https://www.amazon.com/gp/help/seller/at-a-glance.html/ref=dp_merchant_link?seller=AW513678AUV06" tooltip="https://www.amazon.com/gp/help/seller/at-a-glance.html/ref=dp_merchant_link?seller=AW513678AUV06"/>
    <hyperlink ref="B40" r:id="rId197" display="B0D78P8Z3V" tooltip="https://www.amazon.com/dp/B0D78P8Z3V"/>
    <hyperlink ref="F40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40" r:id="rId198" display="https://www.amazon.com/dp/B0D78P8Z3V?psc=1" tooltip="https://www.amazon.com/dp/B0D78P8Z3V?psc=1"/>
    <hyperlink ref="I40" r:id="rId199" display="https://m.media-amazon.com/images/I/31ztGY0bBxL._AC_SR600,600_.jpg" tooltip="https://m.media-amazon.com/images/I/31ztGY0bBxL._AC_SR600,600_.jpg"/>
    <hyperlink ref="J40" r:id="rId200" display="B0D78W5GZV" tooltip="https://www.amazon.com/dp/B0D78W5GZV"/>
    <hyperlink ref="K40" r:id="rId6" display="Clothing, Shoes &amp; Jewelry:Women:Clothing:Active:Sets:Tracksuits" tooltip="https://www.amazon.com/b?node=14292331"/>
    <hyperlink ref="L40" r:id="rId7" display="Clothing, Shoes &amp; Jewelry"/>
    <hyperlink ref="AR40" r:id="rId14" display="https://www.amazon.com/gp/help/seller/at-a-glance.html/ref=dp_merchant_link?seller=ADPI9LE50EUV" tooltip="https://www.amazon.com/gp/help/seller/at-a-glance.html/ref=dp_merchant_link?seller=ADPI9LE50EUV"/>
    <hyperlink ref="B41" r:id="rId201" display="B0DG1QC2BH" tooltip="https://www.amazon.com/dp/B0DG1QC2BH"/>
    <hyperlink ref="F41" r:id="rId202" display="https://www.amazon.com/stores/SANTINY/page/C8E491B5-0FA2-4D0C-979E-F3B657EE0FA5?ref_=ast_bln&amp;store_ref=bl_ast_dp_brandLogo_sto" tooltip="https://www.amazon.com/stores/SANTINY/page/C8E491B5-0FA2-4D0C-979E-F3B657EE0FA5?ref_=ast_bln&amp;store_ref=bl_ast_dp_brandLogo_sto"/>
    <hyperlink ref="H41" r:id="rId203" display="https://www.amazon.com/dp/B0DG1QC2BH?psc=1" tooltip="https://www.amazon.com/dp/B0DG1QC2BH?psc=1"/>
    <hyperlink ref="I41" r:id="rId204" display="https://m.media-amazon.com/images/I/31P0jeAeQML._AC_SR600,600_.jpg" tooltip="https://m.media-amazon.com/images/I/31P0jeAeQML._AC_SR600,600_.jpg"/>
    <hyperlink ref="J41" r:id="rId205" display="B0DG1R11YJ" tooltip="https://www.amazon.com/dp/B0DG1R11YJ"/>
    <hyperlink ref="K41" r:id="rId6" display="Clothing, Shoes &amp; Jewelry:Women:Clothing:Active:Sets:Tracksuits" tooltip="https://www.amazon.com/b?node=14292331"/>
    <hyperlink ref="L41" r:id="rId7" display="Clothing, Shoes &amp; Jewelry"/>
    <hyperlink ref="AR41" r:id="rId206" display="https://www.amazon.com/gp/help/seller/at-a-glance.html/ref=dp_merchant_link?seller=A3E1SQM5WUB3RR" tooltip="https://www.amazon.com/gp/help/seller/at-a-glance.html/ref=dp_merchant_link?seller=A3E1SQM5WUB3RR"/>
    <hyperlink ref="B42" r:id="rId207" display="B0D6G8MPKD" tooltip="https://www.amazon.com/dp/B0D6G8MPKD"/>
    <hyperlink ref="F42" r:id="rId84" display="https://www.amazon.com/stores/Nimsruc/page/B8B9097D-5777-44DC-B796-E510A9A3A113?ref_=ast_bln&amp;store_ref=bl_ast_dp_brandLogo_sto" tooltip="https://www.amazon.com/stores/Nimsruc/page/B8B9097D-5777-44DC-B796-E510A9A3A113?ref_=ast_bln&amp;store_ref=bl_ast_dp_brandLogo_sto"/>
    <hyperlink ref="H42" r:id="rId208" display="https://www.amazon.com/dp/B0D6G8MPKD?psc=1" tooltip="https://www.amazon.com/dp/B0D6G8MPKD?psc=1"/>
    <hyperlink ref="I42" r:id="rId209" display="https://images-na.ssl-images-amazon.com/images/I/41IY0Q2GLuL._AC_US600_.jpg" tooltip="https://images-na.ssl-images-amazon.com/images/I/41IY0Q2GLuL._AC_US600_.jpg"/>
    <hyperlink ref="J42" r:id="rId210" display="B0D6G5NLRZ" tooltip="https://www.amazon.com/dp/B0D6G5NLRZ"/>
    <hyperlink ref="K42" r:id="rId6" display="Clothing, Shoes &amp; Jewelry:Women:Clothing:Active:Sets:Tracksuits" tooltip="https://www.amazon.com/b?node=14292331"/>
    <hyperlink ref="L42" r:id="rId7" display="Clothing, Shoes &amp; Jewelry"/>
    <hyperlink ref="AR42" r:id="rId88" display="https://www.amazon.com/gp/help/seller/at-a-glance.html/ref=dp_merchant_link?seller=A379FXF78PEIQJ" tooltip="https://www.amazon.com/gp/help/seller/at-a-glance.html/ref=dp_merchant_link?seller=A379FXF78PEIQJ"/>
    <hyperlink ref="B43" r:id="rId211" display="B0D669YP7Z" tooltip="https://www.amazon.com/dp/B0D669YP7Z"/>
    <hyperlink ref="F43" r:id="rId184" display="https://www.amazon.com/stores/WIHOLL/page/E91F5574-606A-4B44-8C58-AE466877417A?ref_=ast_bln&amp;store_ref=bl_ast_dp_brandLogo_sto" tooltip="https://www.amazon.com/stores/WIHOLL/page/E91F5574-606A-4B44-8C58-AE466877417A?ref_=ast_bln&amp;store_ref=bl_ast_dp_brandLogo_sto"/>
    <hyperlink ref="H43" r:id="rId212" display="https://www.amazon.com/dp/B0D669YP7Z?psc=1" tooltip="https://www.amazon.com/dp/B0D669YP7Z?psc=1"/>
    <hyperlink ref="I43" r:id="rId213" display="https://m.media-amazon.com/images/I/31kSqJm3nRL._AC_SR600,600_.jpg" tooltip="https://m.media-amazon.com/images/I/31kSqJm3nRL._AC_SR600,600_.jpg"/>
    <hyperlink ref="J43" r:id="rId214" display="B0D669HNLK" tooltip="https://www.amazon.com/dp/B0D669HNLK"/>
    <hyperlink ref="K43" r:id="rId6" display="Clothing, Shoes &amp; Jewelry:Women:Clothing:Active:Sets:Tracksuits" tooltip="https://www.amazon.com/b?node=14292331"/>
    <hyperlink ref="L43" r:id="rId7" display="Clothing, Shoes &amp; Jewelry"/>
    <hyperlink ref="AR43" r:id="rId188" display="https://www.amazon.com/gp/help/seller/at-a-glance.html/ref=dp_merchant_link?seller=ANOUR7ZCMRO5" tooltip="https://www.amazon.com/gp/help/seller/at-a-glance.html/ref=dp_merchant_link?seller=ANOUR7ZCMRO5"/>
    <hyperlink ref="B44" r:id="rId215" display="B0D1MTJYFR" tooltip="https://www.amazon.com/dp/B0D1MTJYFR"/>
    <hyperlink ref="F44" r:id="rId84" display="https://www.amazon.com/stores/Nimsruc/page/B8B9097D-5777-44DC-B796-E510A9A3A113?ref_=ast_bln&amp;store_ref=bl_ast_dp_brandLogo_sto" tooltip="https://www.amazon.com/stores/Nimsruc/page/B8B9097D-5777-44DC-B796-E510A9A3A113?ref_=ast_bln&amp;store_ref=bl_ast_dp_brandLogo_sto"/>
    <hyperlink ref="H44" r:id="rId216" display="https://www.amazon.com/dp/B0D1MTJYFR?psc=1" tooltip="https://www.amazon.com/dp/B0D1MTJYFR?psc=1"/>
    <hyperlink ref="I44" r:id="rId217" display="https://m.media-amazon.com/images/I/317enVKhnLL._AC_SR600,600_.jpg" tooltip="https://m.media-amazon.com/images/I/317enVKhnLL._AC_SR600,600_.jpg"/>
    <hyperlink ref="J44" r:id="rId218" display="B0D7P521YL" tooltip="https://www.amazon.com/dp/B0D7P521YL"/>
    <hyperlink ref="K44" r:id="rId6" display="Clothing, Shoes &amp; Jewelry:Women:Clothing:Active:Sets:Tracksuits" tooltip="https://www.amazon.com/b?node=14292331"/>
    <hyperlink ref="L44" r:id="rId7" display="Clothing, Shoes &amp; Jewelry"/>
    <hyperlink ref="AR44" r:id="rId88" display="https://www.amazon.com/gp/help/seller/at-a-glance.html/ref=dp_merchant_link?seller=A379FXF78PEIQJ" tooltip="https://www.amazon.com/gp/help/seller/at-a-glance.html/ref=dp_merchant_link?seller=A379FXF78PEIQJ"/>
    <hyperlink ref="B45" r:id="rId219" display="B0DCN54RP8" tooltip="https://www.amazon.com/dp/B0DCN54RP8"/>
    <hyperlink ref="F45" r:id="rId220" display="https://www.amazon.com/stores/OFEEFAN/page/44FF0B91-99D1-40BD-ABE7-0AE07D0E5B48?ref_=ast_bln&amp;store_ref=bl_ast_dp_brandLogo_sto" tooltip="https://www.amazon.com/stores/OFEEFAN/page/44FF0B91-99D1-40BD-ABE7-0AE07D0E5B48?ref_=ast_bln&amp;store_ref=bl_ast_dp_brandLogo_sto"/>
    <hyperlink ref="H45" r:id="rId221" display="https://www.amazon.com/dp/B0DCN54RP8?psc=1" tooltip="https://www.amazon.com/dp/B0DCN54RP8?psc=1"/>
    <hyperlink ref="I45" r:id="rId222" display="https://m.media-amazon.com/images/I/31dJkdnVUvL._AC_SR600,600_.jpg" tooltip="https://m.media-amazon.com/images/I/31dJkdnVUvL._AC_SR600,600_.jpg"/>
    <hyperlink ref="J45" r:id="rId223" display="B0DGY44QFF" tooltip="https://www.amazon.com/dp/B0DGY44QFF"/>
    <hyperlink ref="K45" r:id="rId6" display="Clothing, Shoes &amp; Jewelry:Women:Clothing:Active:Sets:Tracksuits" tooltip="https://www.amazon.com/b?node=14292331"/>
    <hyperlink ref="L45" r:id="rId7" display="Clothing, Shoes &amp; Jewelry"/>
    <hyperlink ref="AR45" r:id="rId224" display="https://www.amazon.com/gp/help/seller/at-a-glance.html/ref=dp_merchant_link?seller=A3452MZW8LXF6S" tooltip="https://www.amazon.com/gp/help/seller/at-a-glance.html/ref=dp_merchant_link?seller=A3452MZW8LXF6S"/>
    <hyperlink ref="B46" r:id="rId225" display="B08NPKK24X" tooltip="https://www.amazon.com/dp/B08NPKK24X"/>
    <hyperlink ref="F46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46" r:id="rId226" display="https://www.amazon.com/dp/B08NPKK24X?psc=1" tooltip="https://www.amazon.com/dp/B08NPKK24X?psc=1"/>
    <hyperlink ref="I46" r:id="rId227" display="https://m.media-amazon.com/images/I/31-OTMWFueL._AC_SR600,600_.jpg" tooltip="https://m.media-amazon.com/images/I/31-OTMWFueL._AC_SR600,600_.jpg"/>
    <hyperlink ref="J46" r:id="rId228" display="B08NX52TQS" tooltip="https://www.amazon.com/dp/B08NX52TQS"/>
    <hyperlink ref="K46" r:id="rId6" display="Clothing, Shoes &amp; Jewelry:Women:Clothing:Active:Sets:Tracksuits" tooltip="https://www.amazon.com/b?node=14292331"/>
    <hyperlink ref="L46" r:id="rId7" display="Clothing, Shoes &amp; Jewelry"/>
    <hyperlink ref="AR46" r:id="rId54" display="https://www.amazon.com/gp/help/seller/at-a-glance.html/ref=dp_merchant_link?seller=AW513678AUV06" tooltip="https://www.amazon.com/gp/help/seller/at-a-glance.html/ref=dp_merchant_link?seller=AW513678AUV06"/>
    <hyperlink ref="B47" r:id="rId229" display="B0D3WLMSYR" tooltip="https://www.amazon.com/dp/B0D3WLMSYR"/>
    <hyperlink ref="F47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47" r:id="rId230" display="https://www.amazon.com/dp/B0D3WLMSYR?psc=1" tooltip="https://www.amazon.com/dp/B0D3WLMSYR?psc=1"/>
    <hyperlink ref="I47" r:id="rId231" display="https://m.media-amazon.com/images/I/31lC-NLfF3L._AC_SR600,600_.jpg" tooltip="https://m.media-amazon.com/images/I/31lC-NLfF3L._AC_SR600,600_.jpg"/>
    <hyperlink ref="J47" r:id="rId232" display="B0D3XCK633" tooltip="https://www.amazon.com/dp/B0D3XCK633"/>
    <hyperlink ref="K47" r:id="rId6" display="Clothing, Shoes &amp; Jewelry:Women:Clothing:Active:Sets:Tracksuits" tooltip="https://www.amazon.com/b?node=14292331"/>
    <hyperlink ref="L47" r:id="rId7" display="Clothing, Shoes &amp; Jewelry"/>
    <hyperlink ref="AR47" r:id="rId14" display="https://www.amazon.com/gp/help/seller/at-a-glance.html/ref=dp_merchant_link?seller=ADPI9LE50EUV" tooltip="https://www.amazon.com/gp/help/seller/at-a-glance.html/ref=dp_merchant_link?seller=ADPI9LE50EUV"/>
    <hyperlink ref="B48" r:id="rId233" display="B07XJ24QSM" tooltip="https://www.amazon.com/dp/B07XJ24QSM"/>
    <hyperlink ref="F48" r:id="rId234" display="https://www.amazon.com/EOSIEDUR/b/ref=bl_sl_s_ap_web_21154592011?ie=UTF8&amp;node=21154592011&amp;field-lbr_brands_browse-bin=EOSIEDUR" tooltip="https://www.amazon.com/EOSIEDUR/b/ref=bl_sl_s_ap_web_21154592011?ie=UTF8&amp;node=21154592011&amp;field-lbr_brands_browse-bin=EOSIEDUR"/>
    <hyperlink ref="H48" r:id="rId235" display="https://www.amazon.com/dp/B07XJ24QSM?psc=1" tooltip="https://www.amazon.com/dp/B07XJ24QSM?psc=1"/>
    <hyperlink ref="I48" r:id="rId236" display="https://images-na.ssl-images-amazon.com/images/I/71Go+uRXUcL._AC_US600_.jpg" tooltip="https://images-na.ssl-images-amazon.com/images/I/71Go+uRXUcL._AC_US600_.jpg"/>
    <hyperlink ref="J48" r:id="rId237" display="B0BG5LBJHK" tooltip="https://www.amazon.com/dp/B0BG5LBJHK"/>
    <hyperlink ref="K48" r:id="rId6" display="Clothing, Shoes &amp; Jewelry:Women:Clothing:Active:Sets:Tracksuits" tooltip="https://www.amazon.com/b?node=14292331"/>
    <hyperlink ref="L48" r:id="rId7" display="Clothing, Shoes &amp; Jewelry"/>
    <hyperlink ref="AR48" r:id="rId238" display="https://www.amazon.com/gp/help/seller/at-a-glance.html/ref=dp_merchant_link?seller=A1NQPPQ6BJ336V" tooltip="https://www.amazon.com/gp/help/seller/at-a-glance.html/ref=dp_merchant_link?seller=A1NQPPQ6BJ336V"/>
    <hyperlink ref="B49" r:id="rId239" display="B0D9VMHLJQ" tooltip="https://www.amazon.com/dp/B0D9VMHLJQ"/>
    <hyperlink ref="F49" r:id="rId240" display="https://www.amazon.com/stores/SeeLuNa/page/1AFC5BCE-0F8A-4138-99B3-E9C75EBB669D?ref_=ast_bln&amp;store_ref=bl_ast_dp_brandLogo_sto" tooltip="https://www.amazon.com/stores/SeeLuNa/page/1AFC5BCE-0F8A-4138-99B3-E9C75EBB669D?ref_=ast_bln&amp;store_ref=bl_ast_dp_brandLogo_sto"/>
    <hyperlink ref="H49" r:id="rId241" display="https://www.amazon.com/dp/B0D9VMHLJQ?psc=1" tooltip="https://www.amazon.com/dp/B0D9VMHLJQ?psc=1"/>
    <hyperlink ref="I49" r:id="rId242" display="https://images-na.ssl-images-amazon.com/images/I/61DNf-uIFjL._AC_US600_.jpg" tooltip="https://images-na.ssl-images-amazon.com/images/I/61DNf-uIFjL._AC_US600_.jpg"/>
    <hyperlink ref="J49" r:id="rId243" display="B0D9VMFT15" tooltip="https://www.amazon.com/dp/B0D9VMFT15"/>
    <hyperlink ref="K49" r:id="rId6" display="Clothing, Shoes &amp; Jewelry:Women:Clothing:Active:Sets:Tracksuits" tooltip="https://www.amazon.com/b?node=14292331"/>
    <hyperlink ref="L49" r:id="rId7" display="Clothing, Shoes &amp; Jewelry"/>
    <hyperlink ref="AR49" r:id="rId244" display="https://www.amazon.com/gp/help/seller/at-a-glance.html/ref=dp_merchant_link?seller=A6O082CHH670Y" tooltip="https://www.amazon.com/gp/help/seller/at-a-glance.html/ref=dp_merchant_link?seller=A6O082CHH670Y"/>
    <hyperlink ref="B50" r:id="rId245" display="B0CDKSQXG9" tooltip="https://www.amazon.com/dp/B0CDKSQXG9"/>
    <hyperlink ref="F50" r:id="rId246" display="https://www.amazon.com/stores/mascomoda/page/B01262B6-B2C8-4563-B3EC-AF6864758462?ref_=ast_bln&amp;store_ref=bl_ast_dp_brandLogo_sto" tooltip="https://www.amazon.com/stores/mascomoda/page/B01262B6-B2C8-4563-B3EC-AF6864758462?ref_=ast_bln&amp;store_ref=bl_ast_dp_brandLogo_sto"/>
    <hyperlink ref="H50" r:id="rId247" display="https://www.amazon.com/dp/B0CDKSQXG9?psc=1" tooltip="https://www.amazon.com/dp/B0CDKSQXG9?psc=1"/>
    <hyperlink ref="I50" r:id="rId248" display="https://m.media-amazon.com/images/I/31cPhYLZ7vL._AC_SR600,600_.jpg" tooltip="https://m.media-amazon.com/images/I/31cPhYLZ7vL._AC_SR600,600_.jpg"/>
    <hyperlink ref="J50" r:id="rId249" display="B0CDKSLZGQ" tooltip="https://www.amazon.com/dp/B0CDKSLZGQ"/>
    <hyperlink ref="K50" r:id="rId6" display="Clothing, Shoes &amp; Jewelry:Women:Clothing:Active:Sets:Tracksuits" tooltip="https://www.amazon.com/b?node=14292331"/>
    <hyperlink ref="L50" r:id="rId7" display="Clothing, Shoes &amp; Jewelry"/>
    <hyperlink ref="AR50" r:id="rId250" display="https://www.amazon.com/gp/help/seller/at-a-glance.html/ref=dp_merchant_link?seller=A2S4LMK88KEJRK" tooltip="https://www.amazon.com/gp/help/seller/at-a-glance.html/ref=dp_merchant_link?seller=A2S4LMK88KEJRK"/>
    <hyperlink ref="B51" r:id="rId251" display="B0D5R2Q1P4" tooltip="https://www.amazon.com/dp/B0D5R2Q1P4"/>
    <hyperlink ref="F51" r:id="rId68" display="https://www.amazon.com/stores/CaslyLamiit/page/DC549CB9-0B31-48D0-BAA1-324ED1F56092?ref_=ast_bln&amp;store_ref=bl_ast_dp_brandLogo_sto" tooltip="https://www.amazon.com/stores/CaslyLamiit/page/DC549CB9-0B31-48D0-BAA1-324ED1F56092?ref_=ast_bln&amp;store_ref=bl_ast_dp_brandLogo_sto"/>
    <hyperlink ref="H51" r:id="rId252" display="https://www.amazon.com/dp/B0D5R2Q1P4?psc=1" tooltip="https://www.amazon.com/dp/B0D5R2Q1P4?psc=1"/>
    <hyperlink ref="I51" r:id="rId253" display="https://images-na.ssl-images-amazon.com/images/I/51di5ZROhxL._AC_US600_.jpg" tooltip="https://images-na.ssl-images-amazon.com/images/I/51di5ZROhxL._AC_US600_.jpg"/>
    <hyperlink ref="J51" r:id="rId254" display="B0D5R3W2HK" tooltip="https://www.amazon.com/dp/B0D5R3W2HK"/>
    <hyperlink ref="K51" r:id="rId6" display="Clothing, Shoes &amp; Jewelry:Women:Clothing:Active:Sets:Tracksuits" tooltip="https://www.amazon.com/b?node=14292331"/>
    <hyperlink ref="L51" r:id="rId7" display="Clothing, Shoes &amp; Jewelry"/>
    <hyperlink ref="AR51" r:id="rId72" display="https://www.amazon.com/gp/help/seller/at-a-glance.html/ref=dp_merchant_link?seller=A1LE12BR09LON4" tooltip="https://www.amazon.com/gp/help/seller/at-a-glance.html/ref=dp_merchant_link?seller=A1LE12BR09LON4"/>
    <hyperlink ref="B52" r:id="rId255" display="B0BGFVH4Z5" tooltip="https://www.amazon.com/dp/B0BGFVH4Z5"/>
    <hyperlink ref="F52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52" r:id="rId256" display="https://www.amazon.com/dp/B0BGFVH4Z5?psc=1" tooltip="https://www.amazon.com/dp/B0BGFVH4Z5?psc=1"/>
    <hyperlink ref="I52" r:id="rId257" display="https://m.media-amazon.com/images/I/31Bsn7qu6jL._AC_SR600,600_.jpg" tooltip="https://m.media-amazon.com/images/I/31Bsn7qu6jL._AC_SR600,600_.jpg"/>
    <hyperlink ref="J52" r:id="rId255" display="B0BGFVH4Z5" tooltip="https://www.amazon.com/dp/B0BGFVH4Z5"/>
    <hyperlink ref="K52" r:id="rId6" display="Clothing, Shoes &amp; Jewelry:Women:Clothing:Active:Sets:Tracksuits" tooltip="https://www.amazon.com/b?node=14292331"/>
    <hyperlink ref="L52" r:id="rId7" display="Clothing, Shoes &amp; Jewelry"/>
    <hyperlink ref="AR52" r:id="rId258" display="https://www.amazon.com/gp/help/seller/at-a-glance.html/ref=dp_merchant_link?seller=A33ADOTJ71RZ2D" tooltip="https://www.amazon.com/gp/help/seller/at-a-glance.html/ref=dp_merchant_link?seller=A33ADOTJ71RZ2D"/>
    <hyperlink ref="B53" r:id="rId259" display="B0D8VL677Q" tooltip="https://www.amazon.com/dp/B0D8VL677Q"/>
    <hyperlink ref="F53" r:id="rId260" display="https://www.amazon.com/stores/Aomice/page/086021D0-7C1B-4316-9436-EDC15BD7940D?ref_=ast_bln&amp;store_ref=bl_ast_dp_brandLogo_sto" tooltip="https://www.amazon.com/stores/Aomice/page/086021D0-7C1B-4316-9436-EDC15BD7940D?ref_=ast_bln&amp;store_ref=bl_ast_dp_brandLogo_sto"/>
    <hyperlink ref="H53" r:id="rId261" display="https://www.amazon.com/dp/B0D8VL677Q?psc=1" tooltip="https://www.amazon.com/dp/B0D8VL677Q?psc=1"/>
    <hyperlink ref="I53" r:id="rId262" display="https://images-na.ssl-images-amazon.com/images/I/41odGvPAhQL._AC_US600_.jpg" tooltip="https://images-na.ssl-images-amazon.com/images/I/41odGvPAhQL._AC_US600_.jpg"/>
    <hyperlink ref="J53" r:id="rId259" display="B0D8VL677Q" tooltip="https://www.amazon.com/dp/B0D8VL677Q"/>
    <hyperlink ref="K53" r:id="rId6" display="Clothing, Shoes &amp; Jewelry:Women:Clothing:Active:Sets:Tracksuits" tooltip="https://www.amazon.com/b?node=14292331"/>
    <hyperlink ref="L53" r:id="rId7" display="Clothing, Shoes &amp; Jewelry"/>
    <hyperlink ref="AR53" r:id="rId263" display="https://www.amazon.com/gp/help/seller/at-a-glance.html/ref=dp_merchant_link?seller=A25SC79F2I4QED" tooltip="https://www.amazon.com/gp/help/seller/at-a-glance.html/ref=dp_merchant_link?seller=A25SC79F2I4QED"/>
    <hyperlink ref="B54" r:id="rId264" display="B0CN6KNZ9M" tooltip="https://www.amazon.com/dp/B0CN6KNZ9M"/>
    <hyperlink ref="F54" r:id="rId178" display="https://www.amazon.com/stores/PINSV/page/82228BCF-2BCE-43CE-9E04-3DDCAF5F5AA3?ref_=ast_bln&amp;store_ref=bl_ast_dp_brandLogo_sto" tooltip="https://www.amazon.com/stores/PINSV/page/82228BCF-2BCE-43CE-9E04-3DDCAF5F5AA3?ref_=ast_bln&amp;store_ref=bl_ast_dp_brandLogo_sto"/>
    <hyperlink ref="H54" r:id="rId265" display="https://www.amazon.com/dp/B0CN6KNZ9M?psc=1" tooltip="https://www.amazon.com/dp/B0CN6KNZ9M?psc=1"/>
    <hyperlink ref="I54" r:id="rId266" display="https://m.media-amazon.com/images/I/31ruRuwzxaL._AC_SR600,600_.jpg" tooltip="https://m.media-amazon.com/images/I/31ruRuwzxaL._AC_SR600,600_.jpg"/>
    <hyperlink ref="J54" r:id="rId264" display="B0CN6KNZ9M" tooltip="https://www.amazon.com/dp/B0CN6KNZ9M"/>
    <hyperlink ref="K54" r:id="rId267" display="Clothing, Shoes &amp; Jewelry:Women:Clothing:Active:Sets:Active Sweatsuits" tooltip="https://www.amazon.com/b?node=1250424011"/>
    <hyperlink ref="L54" r:id="rId7" display="Clothing, Shoes &amp; Jewelry"/>
    <hyperlink ref="AR54" r:id="rId182" display="https://www.amazon.com/gp/help/seller/at-a-glance.html/ref=dp_merchant_link?seller=A24Y5PP0V9OJ80" tooltip="https://www.amazon.com/gp/help/seller/at-a-glance.html/ref=dp_merchant_link?seller=A24Y5PP0V9OJ80"/>
    <hyperlink ref="B55" r:id="rId268" display="B0CGWRZ8TK" tooltip="https://www.amazon.com/dp/B0CGWRZ8TK"/>
    <hyperlink ref="F55" r:id="rId38" display="https://www.amazon.com/stores/BTFBM/page/F5DB1F57-0171-4D2E-BD4E-5C4A8D024498?ref_=ast_bln&amp;store_ref=bl_ast_dp_brandLogo_sto" tooltip="https://www.amazon.com/stores/BTFBM/page/F5DB1F57-0171-4D2E-BD4E-5C4A8D024498?ref_=ast_bln&amp;store_ref=bl_ast_dp_brandLogo_sto"/>
    <hyperlink ref="H55" r:id="rId269" display="https://www.amazon.com/dp/B0CGWRZ8TK?psc=1" tooltip="https://www.amazon.com/dp/B0CGWRZ8TK?psc=1"/>
    <hyperlink ref="I55" r:id="rId270" display="https://m.media-amazon.com/images/I/31YSM2jzecL._AC_SR600,600_.jpg" tooltip="https://m.media-amazon.com/images/I/31YSM2jzecL._AC_SR600,600_.jpg"/>
    <hyperlink ref="J55" r:id="rId268" display="B0CGWRZ8TK" tooltip="https://www.amazon.com/dp/B0CGWRZ8TK"/>
    <hyperlink ref="K55" r:id="rId6" display="Clothing, Shoes &amp; Jewelry:Women:Clothing:Active:Sets:Tracksuits" tooltip="https://www.amazon.com/b?node=14292331"/>
    <hyperlink ref="L55" r:id="rId7" display="Clothing, Shoes &amp; Jewelry"/>
    <hyperlink ref="AR55" r:id="rId271" display="https://www.amazon.com/gp/help/seller/at-a-glance.html/ref=dp_merchant_link?seller=A3PHKV74SGJ688" tooltip="https://www.amazon.com/gp/help/seller/at-a-glance.html/ref=dp_merchant_link?seller=A3PHKV74SGJ688"/>
    <hyperlink ref="B56" r:id="rId272" display="B0CRHKCHG6" tooltip="https://www.amazon.com/dp/B0CRHKCHG6"/>
    <hyperlink ref="F56" r:id="rId273" display="https://www.amazon.com/stores/AnotherChill/page/E78F145C-4FC2-4296-B76A-89957B45A726?ref_=ast_bln&amp;store_ref=bl_ast_dp_brandLogo_sto" tooltip="https://www.amazon.com/stores/AnotherChill/page/E78F145C-4FC2-4296-B76A-89957B45A726?ref_=ast_bln&amp;store_ref=bl_ast_dp_brandLogo_sto"/>
    <hyperlink ref="H56" r:id="rId274" display="https://www.amazon.com/dp/B0CRHKCHG6?psc=1" tooltip="https://www.amazon.com/dp/B0CRHKCHG6?psc=1"/>
    <hyperlink ref="I56" r:id="rId275" display="https://images-na.ssl-images-amazon.com/images/I/51UiPN+XT6L._AC_US600_.jpg" tooltip="https://images-na.ssl-images-amazon.com/images/I/51UiPN+XT6L._AC_US600_.jpg"/>
    <hyperlink ref="J56" r:id="rId272" display="B0CRHKCHG6" tooltip="https://www.amazon.com/dp/B0CRHKCHG6"/>
    <hyperlink ref="K56" r:id="rId6" display="Clothing, Shoes &amp; Jewelry:Women:Clothing:Active:Sets:Tracksuits" tooltip="https://www.amazon.com/b?node=14292331"/>
    <hyperlink ref="L56" r:id="rId7" display="Clothing, Shoes &amp; Jewelry"/>
    <hyperlink ref="AR56" r:id="rId276" display="https://www.amazon.com/gp/help/seller/at-a-glance.html/ref=dp_merchant_link?seller=A28JI03MWIS017" tooltip="https://www.amazon.com/gp/help/seller/at-a-glance.html/ref=dp_merchant_link?seller=A28JI03MWIS017"/>
    <hyperlink ref="B57" r:id="rId277" display="B0CBBJ2V9L" tooltip="https://www.amazon.com/dp/B0CBBJ2V9L"/>
    <hyperlink ref="F57" r:id="rId2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57" r:id="rId278" display="https://www.amazon.com/dp/B0CBBJ2V9L?psc=1" tooltip="https://www.amazon.com/dp/B0CBBJ2V9L?psc=1"/>
    <hyperlink ref="I57" r:id="rId279" display="https://images-na.ssl-images-amazon.com/images/I/61OkSF8XhEL._AC_US600_.jpg" tooltip="https://images-na.ssl-images-amazon.com/images/I/61OkSF8XhEL._AC_US600_.jpg"/>
    <hyperlink ref="J57" r:id="rId277" display="B0CBBJ2V9L" tooltip="https://www.amazon.com/dp/B0CBBJ2V9L"/>
    <hyperlink ref="K57" r:id="rId6" display="Clothing, Shoes &amp; Jewelry:Women:Clothing:Active:Sets:Tracksuits" tooltip="https://www.amazon.com/b?node=14292331"/>
    <hyperlink ref="L57" r:id="rId7" display="Clothing, Shoes &amp; Jewelry"/>
    <hyperlink ref="AR57" r:id="rId8" display="https://www.amazon.com/gp/help/seller/at-a-glance.html/ref=dp_merchant_link?seller=AB2NECOE3B4S7" tooltip="https://www.amazon.com/gp/help/seller/at-a-glance.html/ref=dp_merchant_link?seller=AB2NECOE3B4S7"/>
    <hyperlink ref="B58" r:id="rId280" display="B0D7P3M9PH" tooltip="https://www.amazon.com/dp/B0D7P3M9PH"/>
    <hyperlink ref="F58" r:id="rId281" display="https://www.amazon.com/stores/KIRUNDO/page/FF9388C4-7759-469C-8268-127F21B498D1?ref_=ast_bln&amp;store_ref=bl_ast_dp_brandLogo_sto" tooltip="https://www.amazon.com/stores/KIRUNDO/page/FF9388C4-7759-469C-8268-127F21B498D1?ref_=ast_bln&amp;store_ref=bl_ast_dp_brandLogo_sto"/>
    <hyperlink ref="H58" r:id="rId282" display="https://www.amazon.com/dp/B0D7P3M9PH?psc=1" tooltip="https://www.amazon.com/dp/B0D7P3M9PH?psc=1"/>
    <hyperlink ref="I58" r:id="rId283" display="https://images-na.ssl-images-amazon.com/images/I/71xrR6lxzlL._AC_US600_.jpg" tooltip="https://images-na.ssl-images-amazon.com/images/I/71xrR6lxzlL._AC_US600_.jpg"/>
    <hyperlink ref="J58" r:id="rId280" display="B0D7P3M9PH" tooltip="https://www.amazon.com/dp/B0D7P3M9PH"/>
    <hyperlink ref="K58" r:id="rId6" display="Clothing, Shoes &amp; Jewelry:Women:Clothing:Active:Sets:Tracksuits" tooltip="https://www.amazon.com/b?node=14292331"/>
    <hyperlink ref="L58" r:id="rId7" display="Clothing, Shoes &amp; Jewelry"/>
    <hyperlink ref="AR58" r:id="rId284" display="https://www.amazon.com/gp/help/seller/at-a-glance.html/ref=dp_merchant_link?seller=A2XQ1SBCAIOTCN" tooltip="https://www.amazon.com/gp/help/seller/at-a-glance.html/ref=dp_merchant_link?seller=A2XQ1SBCAIOTCN"/>
    <hyperlink ref="B59" r:id="rId285" display="B0D22L5DXN" tooltip="https://www.amazon.com/dp/B0D22L5DXN"/>
    <hyperlink ref="F59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59" r:id="rId286" display="https://www.amazon.com/dp/B0D22L5DXN?psc=1" tooltip="https://www.amazon.com/dp/B0D22L5DXN?psc=1"/>
    <hyperlink ref="I59" r:id="rId287" display="https://m.media-amazon.com/images/I/31wxan-op2L._AC_SR600,600_.jpg" tooltip="https://m.media-amazon.com/images/I/31wxan-op2L._AC_SR600,600_.jpg"/>
    <hyperlink ref="J59" r:id="rId285" display="B0D22L5DXN" tooltip="https://www.amazon.com/dp/B0D22L5DXN"/>
    <hyperlink ref="K59" r:id="rId6" display="Clothing, Shoes &amp; Jewelry:Women:Clothing:Active:Sets:Tracksuits" tooltip="https://www.amazon.com/b?node=14292331"/>
    <hyperlink ref="L59" r:id="rId7" display="Clothing, Shoes &amp; Jewelry"/>
    <hyperlink ref="AR59" r:id="rId54" display="https://www.amazon.com/gp/help/seller/at-a-glance.html/ref=dp_merchant_link?seller=AW513678AUV06" tooltip="https://www.amazon.com/gp/help/seller/at-a-glance.html/ref=dp_merchant_link?seller=AW513678AUV06"/>
    <hyperlink ref="B60" r:id="rId288" display="B0CZ6MW2PN" tooltip="https://www.amazon.com/dp/B0CZ6MW2PN"/>
    <hyperlink ref="F60" r:id="rId38" display="https://www.amazon.com/stores/BTFBM/page/F5DB1F57-0171-4D2E-BD4E-5C4A8D024498?ref_=ast_bln&amp;store_ref=bl_ast_dp_brandLogo_sto" tooltip="https://www.amazon.com/stores/BTFBM/page/F5DB1F57-0171-4D2E-BD4E-5C4A8D024498?ref_=ast_bln&amp;store_ref=bl_ast_dp_brandLogo_sto"/>
    <hyperlink ref="H60" r:id="rId289" display="https://www.amazon.com/dp/B0CZ6MW2PN?psc=1" tooltip="https://www.amazon.com/dp/B0CZ6MW2PN?psc=1"/>
    <hyperlink ref="I60" r:id="rId290" display="https://m.media-amazon.com/images/I/21sBNhcOPWL._AC_SR600,600_.jpg" tooltip="https://m.media-amazon.com/images/I/21sBNhcOPWL._AC_SR600,600_.jpg"/>
    <hyperlink ref="J60" r:id="rId288" display="B0CZ6MW2PN" tooltip="https://www.amazon.com/dp/B0CZ6MW2PN"/>
    <hyperlink ref="K60" r:id="rId6" display="Clothing, Shoes &amp; Jewelry:Women:Clothing:Active:Sets:Tracksuits" tooltip="https://www.amazon.com/b?node=14292331"/>
    <hyperlink ref="L60" r:id="rId7" display="Clothing, Shoes &amp; Jewelry"/>
    <hyperlink ref="AR60" r:id="rId271" display="https://www.amazon.com/gp/help/seller/at-a-glance.html/ref=dp_merchant_link?seller=A3PHKV74SGJ688" tooltip="https://www.amazon.com/gp/help/seller/at-a-glance.html/ref=dp_merchant_link?seller=A3PHKV74SGJ688"/>
    <hyperlink ref="B61" r:id="rId291" display="B0D4PT8CF2" tooltip="https://www.amazon.com/dp/B0D4PT8CF2"/>
    <hyperlink ref="F61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61" r:id="rId292" display="https://www.amazon.com/dp/B0D4PT8CF2?psc=1" tooltip="https://www.amazon.com/dp/B0D4PT8CF2?psc=1"/>
    <hyperlink ref="I61" r:id="rId293" display="https://m.media-amazon.com/images/I/41PeUb2qCBL._AC_SR600,600_.jpg" tooltip="https://m.media-amazon.com/images/I/41PeUb2qCBL._AC_SR600,600_.jpg"/>
    <hyperlink ref="J61" r:id="rId291" display="B0D4PT8CF2" tooltip="https://www.amazon.com/dp/B0D4PT8CF2"/>
    <hyperlink ref="K61" r:id="rId6" display="Clothing, Shoes &amp; Jewelry:Women:Clothing:Active:Sets:Tracksuits" tooltip="https://www.amazon.com/b?node=14292331"/>
    <hyperlink ref="L61" r:id="rId7" display="Clothing, Shoes &amp; Jewelry"/>
    <hyperlink ref="AR61" r:id="rId14" display="https://www.amazon.com/gp/help/seller/at-a-glance.html/ref=dp_merchant_link?seller=ADPI9LE50EUV" tooltip="https://www.amazon.com/gp/help/seller/at-a-glance.html/ref=dp_merchant_link?seller=ADPI9LE50EUV"/>
    <hyperlink ref="B62" r:id="rId294" display="B0D2HF6L3G" tooltip="https://www.amazon.com/dp/B0D2HF6L3G"/>
    <hyperlink ref="F62" r:id="rId295" display="https://www.amazon.com/Yioaga/b/ref=bl_sl_s_ap_web_115834660011?ie=UTF8&amp;node=115834660011&amp;field-lbr_brands_browse-bin=Yioaga" tooltip="https://www.amazon.com/Yioaga/b/ref=bl_sl_s_ap_web_115834660011?ie=UTF8&amp;node=115834660011&amp;field-lbr_brands_browse-bin=Yioaga"/>
    <hyperlink ref="H62" r:id="rId296" display="https://www.amazon.com/dp/B0D2HF6L3G?psc=1" tooltip="https://www.amazon.com/dp/B0D2HF6L3G?psc=1"/>
    <hyperlink ref="I62" r:id="rId297" display="https://m.media-amazon.com/images/I/31zN8aC0HgL._AC_SR600,600_.jpg" tooltip="https://m.media-amazon.com/images/I/31zN8aC0HgL._AC_SR600,600_.jpg"/>
    <hyperlink ref="J62" r:id="rId294" display="B0D2HF6L3G" tooltip="https://www.amazon.com/dp/B0D2HF6L3G"/>
    <hyperlink ref="K62" r:id="rId6" display="Clothing, Shoes &amp; Jewelry:Women:Clothing:Active:Sets:Tracksuits" tooltip="https://www.amazon.com/b?node=14292331"/>
    <hyperlink ref="L62" r:id="rId7" display="Clothing, Shoes &amp; Jewelry"/>
    <hyperlink ref="AR62" r:id="rId298" display="https://www.amazon.com/gp/help/seller/at-a-glance.html/ref=dp_merchant_link?seller=A1JHDEC5E8DHGE" tooltip="https://www.amazon.com/gp/help/seller/at-a-glance.html/ref=dp_merchant_link?seller=A1JHDEC5E8DHGE"/>
    <hyperlink ref="B63" r:id="rId299" display="B0D2CTT3X1" tooltip="https://www.amazon.com/dp/B0D2CTT3X1"/>
    <hyperlink ref="F63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63" r:id="rId300" display="https://www.amazon.com/dp/B0D2CTT3X1?psc=1" tooltip="https://www.amazon.com/dp/B0D2CTT3X1?psc=1"/>
    <hyperlink ref="I63" r:id="rId301" display="https://m.media-amazon.com/images/I/31WoJkVnZ2L._AC_SR600,600_.jpg" tooltip="https://m.media-amazon.com/images/I/31WoJkVnZ2L._AC_SR600,600_.jpg"/>
    <hyperlink ref="J63" r:id="rId299" display="B0D2CTT3X1" tooltip="https://www.amazon.com/dp/B0D2CTT3X1"/>
    <hyperlink ref="K63" r:id="rId6" display="Clothing, Shoes &amp; Jewelry:Women:Clothing:Active:Sets:Tracksuits" tooltip="https://www.amazon.com/b?node=14292331"/>
    <hyperlink ref="L63" r:id="rId7" display="Clothing, Shoes &amp; Jewelry"/>
    <hyperlink ref="AR63" r:id="rId54" display="https://www.amazon.com/gp/help/seller/at-a-glance.html/ref=dp_merchant_link?seller=AW513678AUV06" tooltip="https://www.amazon.com/gp/help/seller/at-a-glance.html/ref=dp_merchant_link?seller=AW513678AUV06"/>
    <hyperlink ref="B64" r:id="rId302" display="B07VC63689" tooltip="https://www.amazon.com/dp/B07VC63689"/>
    <hyperlink ref="F64" r:id="rId303" display="https://www.amazon.com/stores/Yasumond/page/3D60F832-7186-461F-9A65-AD88D6BCB2B7?ref_=ast_bln&amp;store_ref=bl_ast_dp_brandLogo_sto" tooltip="https://www.amazon.com/stores/Yasumond/page/3D60F832-7186-461F-9A65-AD88D6BCB2B7?ref_=ast_bln&amp;store_ref=bl_ast_dp_brandLogo_sto"/>
    <hyperlink ref="H64" r:id="rId304" display="https://www.amazon.com/dp/B07VC63689?psc=1" tooltip="https://www.amazon.com/dp/B07VC63689?psc=1"/>
    <hyperlink ref="I64" r:id="rId305" display="https://images-na.ssl-images-amazon.com/images/I/51-zJ06pZOL._AC_US600_.jpg" tooltip="https://images-na.ssl-images-amazon.com/images/I/51-zJ06pZOL._AC_US600_.jpg"/>
    <hyperlink ref="J64" r:id="rId302" display="B07VC63689" tooltip="https://www.amazon.com/dp/B07VC63689"/>
    <hyperlink ref="K64" r:id="rId6" display="Clothing, Shoes &amp; Jewelry:Women:Clothing:Active:Sets:Tracksuits" tooltip="https://www.amazon.com/b?node=14292331"/>
    <hyperlink ref="L64" r:id="rId7" display="Clothing, Shoes &amp; Jewelry"/>
    <hyperlink ref="AR64" r:id="rId306" display="https://www.amazon.com/gp/help/seller/at-a-glance.html/ref=dp_merchant_link?seller=A2G1QHS96IQWKH" tooltip="https://www.amazon.com/gp/help/seller/at-a-glance.html/ref=dp_merchant_link?seller=A2G1QHS96IQWKH"/>
    <hyperlink ref="B65" r:id="rId307" display="B0D73P1KX2" tooltip="https://www.amazon.com/dp/B0D73P1KX2"/>
    <hyperlink ref="F65" r:id="rId150" display="https://www.amazon.com/stores/Lillusory/page/81CBC909-44D5-427C-8E22-7D1E4971F917?ref_=ast_bln&amp;store_ref=bl_ast_dp_brandLogo_sto" tooltip="https://www.amazon.com/stores/Lillusory/page/81CBC909-44D5-427C-8E22-7D1E4971F917?ref_=ast_bln&amp;store_ref=bl_ast_dp_brandLogo_sto"/>
    <hyperlink ref="H65" r:id="rId308" display="https://www.amazon.com/dp/B0D73P1KX2?psc=1" tooltip="https://www.amazon.com/dp/B0D73P1KX2?psc=1"/>
    <hyperlink ref="I65" r:id="rId309" display="https://m.media-amazon.com/images/I/41Uy90S4U9L._AC_SR600,600_.jpg" tooltip="https://m.media-amazon.com/images/I/41Uy90S4U9L._AC_SR600,600_.jpg"/>
    <hyperlink ref="J65" r:id="rId307" display="B0D73P1KX2" tooltip="https://www.amazon.com/dp/B0D73P1KX2"/>
    <hyperlink ref="K65" r:id="rId6" display="Clothing, Shoes &amp; Jewelry:Women:Clothing:Active:Sets:Tracksuits" tooltip="https://www.amazon.com/b?node=14292331"/>
    <hyperlink ref="L65" r:id="rId7" display="Clothing, Shoes &amp; Jewelry"/>
    <hyperlink ref="AR65" r:id="rId154" display="https://www.amazon.com/gp/help/seller/at-a-glance.html/ref=dp_merchant_link?seller=ADQ75HXOS0E4Z" tooltip="https://www.amazon.com/gp/help/seller/at-a-glance.html/ref=dp_merchant_link?seller=ADQ75HXOS0E4Z"/>
    <hyperlink ref="B66" r:id="rId310" display="B0DCVGVP5Y" tooltip="https://www.amazon.com/dp/B0DCVGVP5Y"/>
    <hyperlink ref="F66" r:id="rId96" display="https://www.amazon.com/stores/SUUKSESS/page/86C0C647-C07D-423B-BD1C-7EB6676E0F3F?ref_=ast_bln&amp;store_ref=bl_ast_dp_brandLogo_sto" tooltip="https://www.amazon.com/stores/SUUKSESS/page/86C0C647-C07D-423B-BD1C-7EB6676E0F3F?ref_=ast_bln&amp;store_ref=bl_ast_dp_brandLogo_sto"/>
    <hyperlink ref="H66" r:id="rId311" display="https://www.amazon.com/dp/B0DCVGVP5Y?psc=1" tooltip="https://www.amazon.com/dp/B0DCVGVP5Y?psc=1"/>
    <hyperlink ref="I66" r:id="rId312" display="https://images-na.ssl-images-amazon.com/images/I/51jZUwH1cyL._AC_US600_.jpg" tooltip="https://images-na.ssl-images-amazon.com/images/I/51jZUwH1cyL._AC_US600_.jpg"/>
    <hyperlink ref="J66" r:id="rId310" display="B0DCVGVP5Y" tooltip="https://www.amazon.com/dp/B0DCVGVP5Y"/>
    <hyperlink ref="K66" r:id="rId6" display="Clothing, Shoes &amp; Jewelry:Women:Clothing:Active:Sets:Tracksuits" tooltip="https://www.amazon.com/b?node=14292331"/>
    <hyperlink ref="L66" r:id="rId7" display="Clothing, Shoes &amp; Jewelry"/>
    <hyperlink ref="AR66" r:id="rId100" display="https://www.amazon.com/gp/help/seller/at-a-glance.html/ref=dp_merchant_link?seller=A3S55BLY5JOGU1" tooltip="https://www.amazon.com/gp/help/seller/at-a-glance.html/ref=dp_merchant_link?seller=A3S55BLY5JOGU1"/>
    <hyperlink ref="B67" r:id="rId313" display="B0D3QJ25Z7" tooltip="https://www.amazon.com/dp/B0D3QJ25Z7"/>
    <hyperlink ref="F67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67" r:id="rId314" display="https://www.amazon.com/dp/B0D3QJ25Z7?psc=1" tooltip="https://www.amazon.com/dp/B0D3QJ25Z7?psc=1"/>
    <hyperlink ref="I67" r:id="rId315" display="https://images-na.ssl-images-amazon.com/images/I/61-V8agpxqL._AC_US600_.jpg" tooltip="https://images-na.ssl-images-amazon.com/images/I/61-V8agpxqL._AC_US600_.jpg"/>
    <hyperlink ref="J67" r:id="rId313" display="B0D3QJ25Z7" tooltip="https://www.amazon.com/dp/B0D3QJ25Z7"/>
    <hyperlink ref="K67" r:id="rId6" display="Clothing, Shoes &amp; Jewelry:Women:Clothing:Active:Sets:Tracksuits" tooltip="https://www.amazon.com/b?node=14292331"/>
    <hyperlink ref="L67" r:id="rId7" display="Clothing, Shoes &amp; Jewelry"/>
    <hyperlink ref="AR67" r:id="rId14" display="https://www.amazon.com/gp/help/seller/at-a-glance.html/ref=dp_merchant_link?seller=ADPI9LE50EUV" tooltip="https://www.amazon.com/gp/help/seller/at-a-glance.html/ref=dp_merchant_link?seller=ADPI9LE50EUV"/>
    <hyperlink ref="B68" r:id="rId316" display="B0CDP4KNLN" tooltip="https://www.amazon.com/dp/B0CDP4KNLN"/>
    <hyperlink ref="F68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68" r:id="rId317" display="https://www.amazon.com/dp/B0CDP4KNLN?psc=1" tooltip="https://www.amazon.com/dp/B0CDP4KNLN?psc=1"/>
    <hyperlink ref="I68" r:id="rId318" display="https://m.media-amazon.com/images/I/31d2fJ4D1JL._AC_SR600,600_.jpg" tooltip="https://m.media-amazon.com/images/I/31d2fJ4D1JL._AC_SR600,600_.jpg"/>
    <hyperlink ref="J68" r:id="rId316" display="B0CDP4KNLN" tooltip="https://www.amazon.com/dp/B0CDP4KNLN"/>
    <hyperlink ref="K68" r:id="rId6" display="Clothing, Shoes &amp; Jewelry:Women:Clothing:Active:Sets:Tracksuits" tooltip="https://www.amazon.com/b?node=14292331"/>
    <hyperlink ref="L68" r:id="rId7" display="Clothing, Shoes &amp; Jewelry"/>
    <hyperlink ref="AR68" r:id="rId54" display="https://www.amazon.com/gp/help/seller/at-a-glance.html/ref=dp_merchant_link?seller=AW513678AUV06" tooltip="https://www.amazon.com/gp/help/seller/at-a-glance.html/ref=dp_merchant_link?seller=AW513678AUV06"/>
    <hyperlink ref="B69" r:id="rId319" display="B0CBMGFZRH" tooltip="https://www.amazon.com/dp/B0CBMGFZRH"/>
    <hyperlink ref="F69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69" r:id="rId320" display="https://www.amazon.com/dp/B0CBMGFZRH?psc=1" tooltip="https://www.amazon.com/dp/B0CBMGFZRH?psc=1"/>
    <hyperlink ref="I69" r:id="rId321" display="https://m.media-amazon.com/images/I/41VvoBWnk6L._AC_SR600,600_.jpg" tooltip="https://m.media-amazon.com/images/I/41VvoBWnk6L._AC_SR600,600_.jpg"/>
    <hyperlink ref="J69" r:id="rId319" display="B0CBMGFZRH" tooltip="https://www.amazon.com/dp/B0CBMGFZRH"/>
    <hyperlink ref="K69" r:id="rId6" display="Clothing, Shoes &amp; Jewelry:Women:Clothing:Active:Sets:Tracksuits" tooltip="https://www.amazon.com/b?node=14292331"/>
    <hyperlink ref="L69" r:id="rId7" display="Clothing, Shoes &amp; Jewelry"/>
    <hyperlink ref="AR69" r:id="rId14" display="https://www.amazon.com/gp/help/seller/at-a-glance.html/ref=dp_merchant_link?seller=ADPI9LE50EUV" tooltip="https://www.amazon.com/gp/help/seller/at-a-glance.html/ref=dp_merchant_link?seller=ADPI9LE50EUV"/>
    <hyperlink ref="B70" r:id="rId322" display="B0D2NP6P8C" tooltip="https://www.amazon.com/dp/B0D2NP6P8C"/>
    <hyperlink ref="F70" r:id="rId323" display="https://www.amazon.com/stores/UOUAFASHION/page/9EC63F78-31EB-421B-A486-313728B9A5C2?ref_=ast_bln&amp;store_ref=bl_ast_dp_brandLogo_sto" tooltip="https://www.amazon.com/stores/UOUAFASHION/page/9EC63F78-31EB-421B-A486-313728B9A5C2?ref_=ast_bln&amp;store_ref=bl_ast_dp_brandLogo_sto"/>
    <hyperlink ref="H70" r:id="rId324" display="https://www.amazon.com/dp/B0D2NP6P8C?psc=1" tooltip="https://www.amazon.com/dp/B0D2NP6P8C?psc=1"/>
    <hyperlink ref="I70" r:id="rId325" display="https://m.media-amazon.com/images/I/31F+jq3kGGL._AC_SR600,600_.jpg" tooltip="https://m.media-amazon.com/images/I/31F+jq3kGGL._AC_SR600,600_.jpg"/>
    <hyperlink ref="J70" r:id="rId322" display="B0D2NP6P8C" tooltip="https://www.amazon.com/dp/B0D2NP6P8C"/>
    <hyperlink ref="K70" r:id="rId6" display="Clothing, Shoes &amp; Jewelry:Women:Clothing:Active:Sets:Tracksuits" tooltip="https://www.amazon.com/b?node=14292331"/>
    <hyperlink ref="L70" r:id="rId7" display="Clothing, Shoes &amp; Jewelry"/>
    <hyperlink ref="AR70" r:id="rId326" display="https://www.amazon.com/gp/help/seller/at-a-glance.html/ref=dp_merchant_link?seller=A2CMKR8PBX8UTO" tooltip="https://www.amazon.com/gp/help/seller/at-a-glance.html/ref=dp_merchant_link?seller=A2CMKR8PBX8UTO"/>
    <hyperlink ref="B71" r:id="rId327" display="B0D3TSQ3PG" tooltip="https://www.amazon.com/dp/B0D3TSQ3PG"/>
    <hyperlink ref="F71" r:id="rId328" display="https://www.amazon.com/stores/Saloogoe/page/50F6AD1F-09ED-4EF0-B9AF-C7CD12F20D54?ref_=ast_bln&amp;store_ref=bl_ast_dp_brandLogo_sto" tooltip="https://www.amazon.com/stores/Saloogoe/page/50F6AD1F-09ED-4EF0-B9AF-C7CD12F20D54?ref_=ast_bln&amp;store_ref=bl_ast_dp_brandLogo_sto"/>
    <hyperlink ref="H71" r:id="rId329" display="https://www.amazon.com/dp/B0D3TSQ3PG?psc=1" tooltip="https://www.amazon.com/dp/B0D3TSQ3PG?psc=1"/>
    <hyperlink ref="I71" r:id="rId330" display="https://images-na.ssl-images-amazon.com/images/I/61PDiPSTcQL._AC_US600_.jpg" tooltip="https://images-na.ssl-images-amazon.com/images/I/61PDiPSTcQL._AC_US600_.jpg"/>
    <hyperlink ref="J71" r:id="rId327" display="B0D3TSQ3PG" tooltip="https://www.amazon.com/dp/B0D3TSQ3PG"/>
    <hyperlink ref="K71" r:id="rId6" display="Clothing, Shoes &amp; Jewelry:Women:Clothing:Active:Sets:Tracksuits" tooltip="https://www.amazon.com/b?node=14292331"/>
    <hyperlink ref="L71" r:id="rId7" display="Clothing, Shoes &amp; Jewelry"/>
    <hyperlink ref="AR71" r:id="rId331" display="https://www.amazon.com/gp/help/seller/at-a-glance.html/ref=dp_merchant_link?seller=A1HOHCHFP9W3W5" tooltip="https://www.amazon.com/gp/help/seller/at-a-glance.html/ref=dp_merchant_link?seller=A1HOHCHFP9W3W5"/>
    <hyperlink ref="B72" r:id="rId332" display="B0D2NS5ZYM" tooltip="https://www.amazon.com/dp/B0D2NS5ZYM"/>
    <hyperlink ref="F72" r:id="rId38" display="https://www.amazon.com/stores/BTFBM/page/F5DB1F57-0171-4D2E-BD4E-5C4A8D024498?ref_=ast_bln&amp;store_ref=bl_ast_dp_brandLogo_sto" tooltip="https://www.amazon.com/stores/BTFBM/page/F5DB1F57-0171-4D2E-BD4E-5C4A8D024498?ref_=ast_bln&amp;store_ref=bl_ast_dp_brandLogo_sto"/>
    <hyperlink ref="H72" r:id="rId333" display="https://www.amazon.com/dp/B0D2NS5ZYM?psc=1" tooltip="https://www.amazon.com/dp/B0D2NS5ZYM?psc=1"/>
    <hyperlink ref="I72" r:id="rId334" display="https://m.media-amazon.com/images/I/31AD7ABjoNL._AC_SR600,600_.jpg" tooltip="https://m.media-amazon.com/images/I/31AD7ABjoNL._AC_SR600,600_.jpg"/>
    <hyperlink ref="J72" r:id="rId332" display="B0D2NS5ZYM" tooltip="https://www.amazon.com/dp/B0D2NS5ZYM"/>
    <hyperlink ref="K72" r:id="rId6" display="Clothing, Shoes &amp; Jewelry:Women:Clothing:Active:Sets:Tracksuits" tooltip="https://www.amazon.com/b?node=14292331"/>
    <hyperlink ref="L72" r:id="rId7" display="Clothing, Shoes &amp; Jewelry"/>
    <hyperlink ref="AR72" r:id="rId42" display="https://www.amazon.com/gp/help/seller/at-a-glance.html/ref=dp_merchant_link?seller=A16JH42LGBJNLY" tooltip="https://www.amazon.com/gp/help/seller/at-a-glance.html/ref=dp_merchant_link?seller=A16JH42LGBJNLY"/>
    <hyperlink ref="B73" r:id="rId335" display="B0DCJ7Y95J" tooltip="https://www.amazon.com/dp/B0DCJ7Y95J"/>
    <hyperlink ref="F73" r:id="rId336" display="https://www.amazon.com/stores/wxglndab/page/5F7BD875-A43E-459C-8EEF-963757829AAB?ref_=ast_bln" tooltip="https://www.amazon.com/stores/wxglndab/page/5F7BD875-A43E-459C-8EEF-963757829AAB?ref_=ast_bln"/>
    <hyperlink ref="H73" r:id="rId337" display="https://www.amazon.com/dp/B0DCJ7Y95J?psc=1" tooltip="https://www.amazon.com/dp/B0DCJ7Y95J?psc=1"/>
    <hyperlink ref="I73" r:id="rId338" display="https://m.media-amazon.com/images/I/419xxJsvR6L._AC_SR600,600_.jpg" tooltip="https://m.media-amazon.com/images/I/419xxJsvR6L._AC_SR600,600_.jpg"/>
    <hyperlink ref="J73" r:id="rId335" display="B0DCJ7Y95J" tooltip="https://www.amazon.com/dp/B0DCJ7Y95J"/>
    <hyperlink ref="K73" r:id="rId6" display="Clothing, Shoes &amp; Jewelry:Women:Clothing:Active:Sets:Tracksuits" tooltip="https://www.amazon.com/b?node=14292331"/>
    <hyperlink ref="L73" r:id="rId7" display="Clothing, Shoes &amp; Jewelry"/>
    <hyperlink ref="AR73" r:id="rId339" display="https://www.amazon.com/gp/help/seller/at-a-glance.html/ref=dp_merchant_link?seller=AN0R5HDOHPC36" tooltip="https://www.amazon.com/gp/help/seller/at-a-glance.html/ref=dp_merchant_link?seller=AN0R5HDOHPC36"/>
    <hyperlink ref="B74" r:id="rId340" display="B0D6RH3CZ6" tooltip="https://www.amazon.com/dp/B0D6RH3CZ6"/>
    <hyperlink ref="F74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74" r:id="rId341" display="https://www.amazon.com/dp/B0D6RH3CZ6?psc=1" tooltip="https://www.amazon.com/dp/B0D6RH3CZ6?psc=1"/>
    <hyperlink ref="I74" r:id="rId342" display="https://m.media-amazon.com/images/I/31LJeCa7bxL._AC_SR600,600_.jpg" tooltip="https://m.media-amazon.com/images/I/31LJeCa7bxL._AC_SR600,600_.jpg"/>
    <hyperlink ref="J74" r:id="rId340" display="B0D6RH3CZ6" tooltip="https://www.amazon.com/dp/B0D6RH3CZ6"/>
    <hyperlink ref="K74" r:id="rId6" display="Clothing, Shoes &amp; Jewelry:Women:Clothing:Active:Sets:Tracksuits" tooltip="https://www.amazon.com/b?node=14292331"/>
    <hyperlink ref="L74" r:id="rId7" display="Clothing, Shoes &amp; Jewelry"/>
    <hyperlink ref="AR74" r:id="rId54" display="https://www.amazon.com/gp/help/seller/at-a-glance.html/ref=dp_merchant_link?seller=AW513678AUV06" tooltip="https://www.amazon.com/gp/help/seller/at-a-glance.html/ref=dp_merchant_link?seller=AW513678AUV06"/>
    <hyperlink ref="B75" r:id="rId343" display="B081C38Q7Y" tooltip="https://www.amazon.com/dp/B081C38Q7Y"/>
    <hyperlink ref="F75" r:id="rId344" display="https://www.amazon.com/stores/Hotouch/page/FD69172B-6665-4980-BCF7-1DD7F6594521?ref_=ast_bln&amp;store_ref=bl_ast_dp_brandLogo_sto" tooltip="https://www.amazon.com/stores/Hotouch/page/FD69172B-6665-4980-BCF7-1DD7F6594521?ref_=ast_bln&amp;store_ref=bl_ast_dp_brandLogo_sto"/>
    <hyperlink ref="H75" r:id="rId345" display="https://www.amazon.com/dp/B081C38Q7Y?psc=1" tooltip="https://www.amazon.com/dp/B081C38Q7Y?psc=1"/>
    <hyperlink ref="I75" r:id="rId346" display="https://m.media-amazon.com/images/I/31UQQokwGpL._AC_SR600,600_.jpg" tooltip="https://m.media-amazon.com/images/I/31UQQokwGpL._AC_SR600,600_.jpg"/>
    <hyperlink ref="J75" r:id="rId343" display="B081C38Q7Y" tooltip="https://www.amazon.com/dp/B081C38Q7Y"/>
    <hyperlink ref="K75" r:id="rId6" display="Clothing, Shoes &amp; Jewelry:Women:Clothing:Active:Sets:Tracksuits" tooltip="https://www.amazon.com/b?node=14292331"/>
    <hyperlink ref="L75" r:id="rId7" display="Clothing, Shoes &amp; Jewelry"/>
    <hyperlink ref="AR75" r:id="rId347" display="https://www.amazon.com/gp/help/seller/at-a-glance.html/ref=dp_merchant_link?seller=AAQ6OPQ0HZ4YE" tooltip="https://www.amazon.com/gp/help/seller/at-a-glance.html/ref=dp_merchant_link?seller=AAQ6OPQ0HZ4YE"/>
    <hyperlink ref="B76" r:id="rId348" display="B0CG8BP7JZ" tooltip="https://www.amazon.com/dp/B0CG8BP7JZ"/>
    <hyperlink ref="F76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76" r:id="rId349" display="https://www.amazon.com/dp/B0CG8BP7JZ?psc=1" tooltip="https://www.amazon.com/dp/B0CG8BP7JZ?psc=1"/>
    <hyperlink ref="I76" r:id="rId350" display="https://images-na.ssl-images-amazon.com/images/I/61uIoDlsTpL._AC_US600_.jpg" tooltip="https://images-na.ssl-images-amazon.com/images/I/61uIoDlsTpL._AC_US600_.jpg"/>
    <hyperlink ref="J76" r:id="rId348" display="B0CG8BP7JZ" tooltip="https://www.amazon.com/dp/B0CG8BP7JZ"/>
    <hyperlink ref="K76" r:id="rId6" display="Clothing, Shoes &amp; Jewelry:Women:Clothing:Active:Sets:Tracksuits" tooltip="https://www.amazon.com/b?node=14292331"/>
    <hyperlink ref="L76" r:id="rId7" display="Clothing, Shoes &amp; Jewelry"/>
    <hyperlink ref="AR76" r:id="rId54" display="https://www.amazon.com/gp/help/seller/at-a-glance.html/ref=dp_merchant_link?seller=AW513678AUV06" tooltip="https://www.amazon.com/gp/help/seller/at-a-glance.html/ref=dp_merchant_link?seller=AW513678AUV06"/>
    <hyperlink ref="B77" r:id="rId351" display="B0D93M8QJ7" tooltip="https://www.amazon.com/dp/B0D93M8QJ7"/>
    <hyperlink ref="F77" r:id="rId352" display="https://www.amazon.com/stores/COPYLEAF/page/900E3D38-F862-4C24-B5BB-CFF4D4DDD96B?ref_=ast_bln" tooltip="https://www.amazon.com/stores/COPYLEAF/page/900E3D38-F862-4C24-B5BB-CFF4D4DDD96B?ref_=ast_bln"/>
    <hyperlink ref="H77" r:id="rId353" display="https://www.amazon.com/dp/B0D93M8QJ7?psc=1" tooltip="https://www.amazon.com/dp/B0D93M8QJ7?psc=1"/>
    <hyperlink ref="I77" r:id="rId354" display="https://images-na.ssl-images-amazon.com/images/I/31bKN73i6yL._AC_US600_.jpg" tooltip="https://images-na.ssl-images-amazon.com/images/I/31bKN73i6yL._AC_US600_.jpg"/>
    <hyperlink ref="J77" r:id="rId351" display="B0D93M8QJ7" tooltip="https://www.amazon.com/dp/B0D93M8QJ7"/>
    <hyperlink ref="K77" r:id="rId6" display="Clothing, Shoes &amp; Jewelry:Women:Clothing:Active:Sets:Tracksuits" tooltip="https://www.amazon.com/b?node=14292331"/>
    <hyperlink ref="L77" r:id="rId7" display="Clothing, Shoes &amp; Jewelry"/>
    <hyperlink ref="AR77" r:id="rId355" display="https://www.amazon.com/gp/help/seller/at-a-glance.html/ref=dp_merchant_link?seller=A2ZQJ5KF4EEBHB" tooltip="https://www.amazon.com/gp/help/seller/at-a-glance.html/ref=dp_merchant_link?seller=A2ZQJ5KF4EEBHB"/>
    <hyperlink ref="B78" r:id="rId356" display="B0D7MNYVZG" tooltip="https://www.amazon.com/dp/B0D7MNYVZG"/>
    <hyperlink ref="F78" r:id="rId357" display="https://www.amazon.com/stores/Aokosor/page/DE6EAD3E-63B1-4EEF-8A61-8653784C3C15?ref_=ast_bln&amp;store_ref=bl_ast_dp_brandLogo_sto" tooltip="https://www.amazon.com/stores/Aokosor/page/DE6EAD3E-63B1-4EEF-8A61-8653784C3C15?ref_=ast_bln&amp;store_ref=bl_ast_dp_brandLogo_sto"/>
    <hyperlink ref="H78" r:id="rId358" display="https://www.amazon.com/dp/B0D7MNYVZG?psc=1" tooltip="https://www.amazon.com/dp/B0D7MNYVZG?psc=1"/>
    <hyperlink ref="I78" r:id="rId359" display="https://m.media-amazon.com/images/I/31yKI9gWSzL._AC_SR600,600_.jpg" tooltip="https://m.media-amazon.com/images/I/31yKI9gWSzL._AC_SR600,600_.jpg"/>
    <hyperlink ref="J78" r:id="rId356" display="B0D7MNYVZG" tooltip="https://www.amazon.com/dp/B0D7MNYVZG"/>
    <hyperlink ref="K78" r:id="rId6" display="Clothing, Shoes &amp; Jewelry:Women:Clothing:Active:Sets:Tracksuits" tooltip="https://www.amazon.com/b?node=14292331"/>
    <hyperlink ref="L78" r:id="rId7" display="Clothing, Shoes &amp; Jewelry"/>
    <hyperlink ref="AR78" r:id="rId360" display="https://www.amazon.com/gp/help/seller/at-a-glance.html/ref=dp_merchant_link?seller=A247823AUWNPSP" tooltip="https://www.amazon.com/gp/help/seller/at-a-glance.html/ref=dp_merchant_link?seller=A247823AUWNPSP"/>
    <hyperlink ref="B79" r:id="rId361" display="B0D2ZDY584" tooltip="https://www.amazon.com/dp/B0D2ZDY584"/>
    <hyperlink ref="F79" r:id="rId90" display="https://www.amazon.com/stores/ETCYYNEW/page/02F2205D-632D-4EF1-A605-635B1B46E4C3?ref_=ast_bln&amp;store_ref=bl_ast_dp_brandLogo_sto" tooltip="https://www.amazon.com/stores/ETCYYNEW/page/02F2205D-632D-4EF1-A605-635B1B46E4C3?ref_=ast_bln&amp;store_ref=bl_ast_dp_brandLogo_sto"/>
    <hyperlink ref="H79" r:id="rId362" display="https://www.amazon.com/dp/B0D2ZDY584?psc=1" tooltip="https://www.amazon.com/dp/B0D2ZDY584?psc=1"/>
    <hyperlink ref="I79" r:id="rId363" display="https://m.media-amazon.com/images/I/31AL0RlXtIL._AC_SR600,600_.jpg" tooltip="https://m.media-amazon.com/images/I/31AL0RlXtIL._AC_SR600,600_.jpg"/>
    <hyperlink ref="J79" r:id="rId361" display="B0D2ZDY584" tooltip="https://www.amazon.com/dp/B0D2ZDY584"/>
    <hyperlink ref="K79" r:id="rId6" display="Clothing, Shoes &amp; Jewelry:Women:Clothing:Active:Sets:Tracksuits" tooltip="https://www.amazon.com/b?node=14292331"/>
    <hyperlink ref="L79" r:id="rId7" display="Clothing, Shoes &amp; Jewelry"/>
    <hyperlink ref="AR79" r:id="rId94" display="https://www.amazon.com/gp/help/seller/at-a-glance.html/ref=dp_merchant_link?seller=A1YQT2IQTLCSGZ" tooltip="https://www.amazon.com/gp/help/seller/at-a-glance.html/ref=dp_merchant_link?seller=A1YQT2IQTLCSGZ"/>
    <hyperlink ref="B80" r:id="rId364" display="B0CGRS8S5J" tooltip="https://www.amazon.com/dp/B0CGRS8S5J"/>
    <hyperlink ref="F80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80" r:id="rId365" display="https://www.amazon.com/dp/B0CGRS8S5J?psc=1" tooltip="https://www.amazon.com/dp/B0CGRS8S5J?psc=1"/>
    <hyperlink ref="I80" r:id="rId366" display="https://m.media-amazon.com/images/I/31FJkE3W-VL._AC_SR600,600_.jpg" tooltip="https://m.media-amazon.com/images/I/31FJkE3W-VL._AC_SR600,600_.jpg"/>
    <hyperlink ref="J80" r:id="rId364" display="B0CGRS8S5J" tooltip="https://www.amazon.com/dp/B0CGRS8S5J"/>
    <hyperlink ref="K80" r:id="rId267" display="Clothing, Shoes &amp; Jewelry:Women:Clothing:Active:Sets:Active Sweatsuits" tooltip="https://www.amazon.com/b?node=1250424011"/>
    <hyperlink ref="L80" r:id="rId7" display="Clothing, Shoes &amp; Jewelry"/>
    <hyperlink ref="AR80" r:id="rId14" display="https://www.amazon.com/gp/help/seller/at-a-glance.html/ref=dp_merchant_link?seller=ADPI9LE50EUV" tooltip="https://www.amazon.com/gp/help/seller/at-a-glance.html/ref=dp_merchant_link?seller=ADPI9LE50EUV"/>
    <hyperlink ref="B81" r:id="rId367" display="B09BJVFXHG" tooltip="https://www.amazon.com/dp/B09BJVFXHG"/>
    <hyperlink ref="F81" r:id="rId368" display="https://www.amazon.com/stores/CLOCOR/page/4B2AC8F6-51F5-4ED2-8E83-382C94B22C28?ref_=ast_bln&amp;store_ref=bl_ast_dp_brandLogo_sto" tooltip="https://www.amazon.com/stores/CLOCOR/page/4B2AC8F6-51F5-4ED2-8E83-382C94B22C28?ref_=ast_bln&amp;store_ref=bl_ast_dp_brandLogo_sto"/>
    <hyperlink ref="H81" r:id="rId369" display="https://www.amazon.com/dp/B09BJVFXHG?psc=1" tooltip="https://www.amazon.com/dp/B09BJVFXHG?psc=1"/>
    <hyperlink ref="I81" r:id="rId370" display="https://m.media-amazon.com/images/I/31oV1r9EQzL._AC_SR600,600_.jpg" tooltip="https://m.media-amazon.com/images/I/31oV1r9EQzL._AC_SR600,600_.jpg"/>
    <hyperlink ref="J81" r:id="rId367" display="B09BJVFXHG" tooltip="https://www.amazon.com/dp/B09BJVFXHG"/>
    <hyperlink ref="K81" r:id="rId6" display="Clothing, Shoes &amp; Jewelry:Women:Clothing:Active:Sets:Tracksuits" tooltip="https://www.amazon.com/b?node=14292331"/>
    <hyperlink ref="L81" r:id="rId7" display="Clothing, Shoes &amp; Jewelry"/>
    <hyperlink ref="AR81" r:id="rId371" display="https://www.amazon.com/gp/help/seller/at-a-glance.html/ref=dp_merchant_link?seller=A2SH64MZJQ2DFN" tooltip="https://www.amazon.com/gp/help/seller/at-a-glance.html/ref=dp_merchant_link?seller=A2SH64MZJQ2DFN"/>
    <hyperlink ref="B82" r:id="rId372" display="B0D12P7KZX" tooltip="https://www.amazon.com/dp/B0D12P7KZX"/>
    <hyperlink ref="F82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82" r:id="rId373" display="https://www.amazon.com/dp/B0D12P7KZX?psc=1" tooltip="https://www.amazon.com/dp/B0D12P7KZX?psc=1"/>
    <hyperlink ref="I82" r:id="rId374" display="https://images-na.ssl-images-amazon.com/images/I/519XE7RwtlL._AC_US600_.jpg" tooltip="https://images-na.ssl-images-amazon.com/images/I/519XE7RwtlL._AC_US600_.jpg"/>
    <hyperlink ref="J82" r:id="rId372" display="B0D12P7KZX" tooltip="https://www.amazon.com/dp/B0D12P7KZX"/>
    <hyperlink ref="K82" r:id="rId6" display="Clothing, Shoes &amp; Jewelry:Women:Clothing:Active:Sets:Tracksuits" tooltip="https://www.amazon.com/b?node=14292331"/>
    <hyperlink ref="L82" r:id="rId7" display="Clothing, Shoes &amp; Jewelry"/>
    <hyperlink ref="AR82" r:id="rId14" display="https://www.amazon.com/gp/help/seller/at-a-glance.html/ref=dp_merchant_link?seller=ADPI9LE50EUV" tooltip="https://www.amazon.com/gp/help/seller/at-a-glance.html/ref=dp_merchant_link?seller=ADPI9LE50EUV"/>
    <hyperlink ref="B83" r:id="rId375" display="B0D8L2WMY8" tooltip="https://www.amazon.com/dp/B0D8L2WMY8"/>
    <hyperlink ref="F83" r:id="rId376" display="https://www.amazon.com/stores/TrendyQueen/page/C358EA1A-E134-4D8D-90F5-BB331A2FDC37?ref_=ast_bln&amp;store_ref=bl_ast_dp_brandLogo_sto" tooltip="https://www.amazon.com/stores/TrendyQueen/page/C358EA1A-E134-4D8D-90F5-BB331A2FDC37?ref_=ast_bln&amp;store_ref=bl_ast_dp_brandLogo_sto"/>
    <hyperlink ref="H83" r:id="rId377" display="https://www.amazon.com/dp/B0D8L2WMY8?psc=1" tooltip="https://www.amazon.com/dp/B0D8L2WMY8?psc=1"/>
    <hyperlink ref="I83" r:id="rId378" display="https://m.media-amazon.com/images/I/31QcIG+ou7L._AC_SR600,600_.jpg" tooltip="https://m.media-amazon.com/images/I/31QcIG+ou7L._AC_SR600,600_.jpg"/>
    <hyperlink ref="J83" r:id="rId375" display="B0D8L2WMY8" tooltip="https://www.amazon.com/dp/B0D8L2WMY8"/>
    <hyperlink ref="K83" r:id="rId6" display="Clothing, Shoes &amp; Jewelry:Women:Clothing:Active:Sets:Tracksuits" tooltip="https://www.amazon.com/b?node=14292331"/>
    <hyperlink ref="L83" r:id="rId7" display="Clothing, Shoes &amp; Jewelry"/>
    <hyperlink ref="AR83" r:id="rId379" display="https://www.amazon.com/gp/help/seller/at-a-glance.html/ref=dp_merchant_link?seller=A2R1SX4L6FB0QR" tooltip="https://www.amazon.com/gp/help/seller/at-a-glance.html/ref=dp_merchant_link?seller=A2R1SX4L6FB0QR"/>
    <hyperlink ref="B84" r:id="rId380" display="B0CD7MKRPY" tooltip="https://www.amazon.com/dp/B0CD7MKRPY"/>
    <hyperlink ref="F84" r:id="rId178" display="https://www.amazon.com/stores/PINSV/page/82228BCF-2BCE-43CE-9E04-3DDCAF5F5AA3?ref_=ast_bln&amp;store_ref=bl_ast_dp_brandLogo_sto" tooltip="https://www.amazon.com/stores/PINSV/page/82228BCF-2BCE-43CE-9E04-3DDCAF5F5AA3?ref_=ast_bln&amp;store_ref=bl_ast_dp_brandLogo_sto"/>
    <hyperlink ref="H84" r:id="rId381" display="https://www.amazon.com/dp/B0CD7MKRPY?psc=1" tooltip="https://www.amazon.com/dp/B0CD7MKRPY?psc=1"/>
    <hyperlink ref="I84" r:id="rId382" display="https://m.media-amazon.com/images/I/31XZCxM8laL._AC_SR600,600_.jpg" tooltip="https://m.media-amazon.com/images/I/31XZCxM8laL._AC_SR600,600_.jpg"/>
    <hyperlink ref="J84" r:id="rId380" display="B0CD7MKRPY" tooltip="https://www.amazon.com/dp/B0CD7MKRPY"/>
    <hyperlink ref="K84" r:id="rId6" display="Clothing, Shoes &amp; Jewelry:Women:Clothing:Active:Sets:Tracksuits" tooltip="https://www.amazon.com/b?node=14292331"/>
    <hyperlink ref="L84" r:id="rId7" display="Clothing, Shoes &amp; Jewelry"/>
    <hyperlink ref="AR84" r:id="rId182" display="https://www.amazon.com/gp/help/seller/at-a-glance.html/ref=dp_merchant_link?seller=A24Y5PP0V9OJ80" tooltip="https://www.amazon.com/gp/help/seller/at-a-glance.html/ref=dp_merchant_link?seller=A24Y5PP0V9OJ80"/>
    <hyperlink ref="B85" r:id="rId383" display="B0C3QP7MSJ" tooltip="https://www.amazon.com/dp/B0C3QP7MSJ"/>
    <hyperlink ref="F85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85" r:id="rId384" display="https://www.amazon.com/dp/B0C3QP7MSJ?psc=1" tooltip="https://www.amazon.com/dp/B0C3QP7MSJ?psc=1"/>
    <hyperlink ref="I85" r:id="rId385" display="https://images-na.ssl-images-amazon.com/images/I/61x0GuUyRcL._AC_US600_.jpg" tooltip="https://images-na.ssl-images-amazon.com/images/I/61x0GuUyRcL._AC_US600_.jpg"/>
    <hyperlink ref="J85" r:id="rId383" display="B0C3QP7MSJ" tooltip="https://www.amazon.com/dp/B0C3QP7MSJ"/>
    <hyperlink ref="K85" r:id="rId6" display="Clothing, Shoes &amp; Jewelry:Women:Clothing:Active:Sets:Tracksuits" tooltip="https://www.amazon.com/b?node=14292331"/>
    <hyperlink ref="L85" r:id="rId7" display="Clothing, Shoes &amp; Jewelry"/>
    <hyperlink ref="AR85" r:id="rId14" display="https://www.amazon.com/gp/help/seller/at-a-glance.html/ref=dp_merchant_link?seller=ADPI9LE50EUV" tooltip="https://www.amazon.com/gp/help/seller/at-a-glance.html/ref=dp_merchant_link?seller=ADPI9LE50EUV"/>
    <hyperlink ref="B86" r:id="rId386" display="B0C7QTTJRV" tooltip="https://www.amazon.com/dp/B0C7QTTJRV"/>
    <hyperlink ref="F86" r:id="rId387" display="https://www.amazon.com/stores/CARACILIAFASHION/page/21A3E20B-2471-42E0-86AB-26C1A20FB2B0?ref_=ast_bln&amp;store_ref=bl_ast_dp_brandLogo_sto" tooltip="https://www.amazon.com/stores/CARACILIAFASHION/page/21A3E20B-2471-42E0-86AB-26C1A20FB2B0?ref_=ast_bln&amp;store_ref=bl_ast_dp_brandLogo_sto"/>
    <hyperlink ref="H86" r:id="rId388" display="https://www.amazon.com/dp/B0C7QTTJRV?psc=1" tooltip="https://www.amazon.com/dp/B0C7QTTJRV?psc=1"/>
    <hyperlink ref="I86" r:id="rId389" display="https://m.media-amazon.com/images/I/31ztFgMfdiL._AC_SR600,600_.jpg" tooltip="https://m.media-amazon.com/images/I/31ztFgMfdiL._AC_SR600,600_.jpg"/>
    <hyperlink ref="J86" r:id="rId386" display="B0C7QTTJRV" tooltip="https://www.amazon.com/dp/B0C7QTTJRV"/>
    <hyperlink ref="K86" r:id="rId6" display="Clothing, Shoes &amp; Jewelry:Women:Clothing:Active:Sets:Tracksuits" tooltip="https://www.amazon.com/b?node=14292331"/>
    <hyperlink ref="L86" r:id="rId7" display="Clothing, Shoes &amp; Jewelry"/>
    <hyperlink ref="AR86" r:id="rId390" display="https://www.amazon.com/gp/help/seller/at-a-glance.html/ref=dp_merchant_link?seller=AT5K7MIX35CRI" tooltip="https://www.amazon.com/gp/help/seller/at-a-glance.html/ref=dp_merchant_link?seller=AT5K7MIX35CRI"/>
    <hyperlink ref="B87" r:id="rId391" display="B08GPJ4DVQ" tooltip="https://www.amazon.com/dp/B08GPJ4DVQ"/>
    <hyperlink ref="F87" r:id="rId84" display="https://www.amazon.com/stores/Nimsruc/page/B8B9097D-5777-44DC-B796-E510A9A3A113?ref_=ast_bln&amp;store_ref=bl_ast_dp_brandLogo_sto" tooltip="https://www.amazon.com/stores/Nimsruc/page/B8B9097D-5777-44DC-B796-E510A9A3A113?ref_=ast_bln&amp;store_ref=bl_ast_dp_brandLogo_sto"/>
    <hyperlink ref="H87" r:id="rId392" display="https://www.amazon.com/dp/B08GPJ4DVQ?psc=1" tooltip="https://www.amazon.com/dp/B08GPJ4DVQ?psc=1"/>
    <hyperlink ref="I87" r:id="rId393" display="https://m.media-amazon.com/images/I/311vyal-ddL._AC_SR600,600_.jpg" tooltip="https://m.media-amazon.com/images/I/311vyal-ddL._AC_SR600,600_.jpg"/>
    <hyperlink ref="J87" r:id="rId391" display="B08GPJ4DVQ" tooltip="https://www.amazon.com/dp/B08GPJ4DVQ"/>
    <hyperlink ref="K87" r:id="rId6" display="Clothing, Shoes &amp; Jewelry:Women:Clothing:Active:Sets:Tracksuits" tooltip="https://www.amazon.com/b?node=14292331"/>
    <hyperlink ref="L87" r:id="rId7" display="Clothing, Shoes &amp; Jewelry"/>
    <hyperlink ref="AR87" r:id="rId88" display="https://www.amazon.com/gp/help/seller/at-a-glance.html/ref=dp_merchant_link?seller=A379FXF78PEIQJ" tooltip="https://www.amazon.com/gp/help/seller/at-a-glance.html/ref=dp_merchant_link?seller=A379FXF78PEIQJ"/>
    <hyperlink ref="B88" r:id="rId394" display="B08QTX8GPW" tooltip="https://www.amazon.com/dp/B08QTX8GPW"/>
    <hyperlink ref="F88" r:id="rId395" display="https://www.amazon.com/stores/Fixmatti/page/115C6C0B-1BE2-459C-B5F5-AD8F7D62CE2E?ref_=ast_bln&amp;store_ref=bl_ast_dp_brandLogo_sto" tooltip="https://www.amazon.com/stores/Fixmatti/page/115C6C0B-1BE2-459C-B5F5-AD8F7D62CE2E?ref_=ast_bln&amp;store_ref=bl_ast_dp_brandLogo_sto"/>
    <hyperlink ref="H88" r:id="rId396" display="https://www.amazon.com/dp/B08QTX8GPW?psc=1" tooltip="https://www.amazon.com/dp/B08QTX8GPW?psc=1"/>
    <hyperlink ref="I88" r:id="rId397" display="https://images-na.ssl-images-amazon.com/images/I/612RQaSudGS._AC_US600_.jpg" tooltip="https://images-na.ssl-images-amazon.com/images/I/612RQaSudGS._AC_US600_.jpg"/>
    <hyperlink ref="J88" r:id="rId394" display="B08QTX8GPW" tooltip="https://www.amazon.com/dp/B08QTX8GPW"/>
    <hyperlink ref="K88" r:id="rId6" display="Clothing, Shoes &amp; Jewelry:Women:Clothing:Active:Sets:Tracksuits" tooltip="https://www.amazon.com/b?node=14292331"/>
    <hyperlink ref="L88" r:id="rId7" display="Clothing, Shoes &amp; Jewelry"/>
    <hyperlink ref="AR88" r:id="rId398" display="https://www.amazon.com/gp/help/seller/at-a-glance.html/ref=dp_merchant_link?seller=A2X6H4QYRGFLXA" tooltip="https://www.amazon.com/gp/help/seller/at-a-glance.html/ref=dp_merchant_link?seller=A2X6H4QYRGFLXA"/>
    <hyperlink ref="B89" r:id="rId399" display="B09JJLS2N6" tooltip="https://www.amazon.com/dp/B09JJLS2N6"/>
    <hyperlink ref="F89" r:id="rId400" display="https://www.amazon.com/stores/AOHITE/page/EF1DFB8D-DF12-4CAE-B94F-62756CB68689?ref_=ast_bln&amp;store_ref=bl_ast_dp_brandLogo_sto" tooltip="https://www.amazon.com/stores/AOHITE/page/EF1DFB8D-DF12-4CAE-B94F-62756CB68689?ref_=ast_bln&amp;store_ref=bl_ast_dp_brandLogo_sto"/>
    <hyperlink ref="H89" r:id="rId401" display="https://www.amazon.com/dp/B09JJLS2N6?psc=1" tooltip="https://www.amazon.com/dp/B09JJLS2N6?psc=1"/>
    <hyperlink ref="I89" r:id="rId402" display="https://m.media-amazon.com/images/I/31z88KVaXXL._AC_SR600,600_.jpg" tooltip="https://m.media-amazon.com/images/I/31z88KVaXXL._AC_SR600,600_.jpg"/>
    <hyperlink ref="J89" r:id="rId399" display="B09JJLS2N6" tooltip="https://www.amazon.com/dp/B09JJLS2N6"/>
    <hyperlink ref="K89" r:id="rId6" display="Clothing, Shoes &amp; Jewelry:Women:Clothing:Active:Sets:Tracksuits" tooltip="https://www.amazon.com/b?node=14292331"/>
    <hyperlink ref="L89" r:id="rId7" display="Clothing, Shoes &amp; Jewelry"/>
    <hyperlink ref="AR89" r:id="rId403" display="https://www.amazon.com/gp/help/seller/at-a-glance.html/ref=dp_merchant_link?seller=A3A3OLX72STXBQ" tooltip="https://www.amazon.com/gp/help/seller/at-a-glance.html/ref=dp_merchant_link?seller=A3A3OLX72STXBQ"/>
    <hyperlink ref="B90" r:id="rId404" display="B0C3VJNTD5" tooltip="https://www.amazon.com/dp/B0C3VJNTD5"/>
    <hyperlink ref="F90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90" r:id="rId405" display="https://www.amazon.com/dp/B0C3VJNTD5?psc=1" tooltip="https://www.amazon.com/dp/B0C3VJNTD5?psc=1"/>
    <hyperlink ref="I90" r:id="rId406" display="https://m.media-amazon.com/images/I/31YvCHZzOJL._AC_SR600,600_.jpg" tooltip="https://m.media-amazon.com/images/I/31YvCHZzOJL._AC_SR600,600_.jpg"/>
    <hyperlink ref="J90" r:id="rId404" display="B0C3VJNTD5" tooltip="https://www.amazon.com/dp/B0C3VJNTD5"/>
    <hyperlink ref="K90" r:id="rId6" display="Clothing, Shoes &amp; Jewelry:Women:Clothing:Active:Sets:Tracksuits" tooltip="https://www.amazon.com/b?node=14292331"/>
    <hyperlink ref="L90" r:id="rId7" display="Clothing, Shoes &amp; Jewelry"/>
    <hyperlink ref="AR90" r:id="rId14" display="https://www.amazon.com/gp/help/seller/at-a-glance.html/ref=dp_merchant_link?seller=ADPI9LE50EUV" tooltip="https://www.amazon.com/gp/help/seller/at-a-glance.html/ref=dp_merchant_link?seller=ADPI9LE50EUV"/>
    <hyperlink ref="B91" r:id="rId407" display="B07GNXZT6L" tooltip="https://www.amazon.com/dp/B07GNXZT6L"/>
    <hyperlink ref="F91" r:id="rId78" display="https://www.amazon.com/stores/Facitisu/page/C6A109D2-7B68-4F3D-8BF6-1507F93DB124?ref_=ast_bln" tooltip="https://www.amazon.com/stores/Facitisu/page/C6A109D2-7B68-4F3D-8BF6-1507F93DB124?ref_=ast_bln"/>
    <hyperlink ref="H91" r:id="rId408" display="https://www.amazon.com/dp/B07GNXZT6L?psc=1" tooltip="https://www.amazon.com/dp/B07GNXZT6L?psc=1"/>
    <hyperlink ref="I91" r:id="rId409" display="https://m.media-amazon.com/images/I/310u-dkyuzL._AC_SR600,600_.jpg" tooltip="https://m.media-amazon.com/images/I/310u-dkyuzL._AC_SR600,600_.jpg"/>
    <hyperlink ref="J91" r:id="rId407" display="B07GNXZT6L" tooltip="https://www.amazon.com/dp/B07GNXZT6L"/>
    <hyperlink ref="K91" r:id="rId6" display="Clothing, Shoes &amp; Jewelry:Women:Clothing:Active:Sets:Tracksuits" tooltip="https://www.amazon.com/b?node=14292331"/>
    <hyperlink ref="L91" r:id="rId7" display="Clothing, Shoes &amp; Jewelry"/>
    <hyperlink ref="AR91" r:id="rId82" display="https://www.amazon.com/gp/help/seller/at-a-glance.html/ref=dp_merchant_link?seller=A2176U2K5GEUVV" tooltip="https://www.amazon.com/gp/help/seller/at-a-glance.html/ref=dp_merchant_link?seller=A2176U2K5GEUVV"/>
    <hyperlink ref="B92" r:id="rId410" display="B0CCR27GWJ" tooltip="https://www.amazon.com/dp/B0CCR27GWJ"/>
    <hyperlink ref="F92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92" r:id="rId411" display="https://www.amazon.com/dp/B0CCR27GWJ?psc=1" tooltip="https://www.amazon.com/dp/B0CCR27GWJ?psc=1"/>
    <hyperlink ref="I92" r:id="rId412" display="https://m.media-amazon.com/images/I/31sRZ-uB77L._AC_SR600,600_.jpg" tooltip="https://m.media-amazon.com/images/I/31sRZ-uB77L._AC_SR600,600_.jpg"/>
    <hyperlink ref="J92" r:id="rId410" display="B0CCR27GWJ" tooltip="https://www.amazon.com/dp/B0CCR27GWJ"/>
    <hyperlink ref="K92" r:id="rId6" display="Clothing, Shoes &amp; Jewelry:Women:Clothing:Active:Sets:Tracksuits" tooltip="https://www.amazon.com/b?node=14292331"/>
    <hyperlink ref="L92" r:id="rId7" display="Clothing, Shoes &amp; Jewelry"/>
    <hyperlink ref="AR92" r:id="rId54" display="https://www.amazon.com/gp/help/seller/at-a-glance.html/ref=dp_merchant_link?seller=AW513678AUV06" tooltip="https://www.amazon.com/gp/help/seller/at-a-glance.html/ref=dp_merchant_link?seller=AW513678AUV06"/>
    <hyperlink ref="B93" r:id="rId413" display="B0B4NJFXM1" tooltip="https://www.amazon.com/dp/B0B4NJFXM1"/>
    <hyperlink ref="F93" r:id="rId50" display="https://www.amazon.com/stores/PRETTYGARDEN/page/2A60D2F3-2F7C-4434-BA5F-394D3BAA8533?ref_=ast_bln&amp;store_ref=bl_ast_dp_brandLogo_sto" tooltip="https://www.amazon.com/stores/PRETTYGARDEN/page/2A60D2F3-2F7C-4434-BA5F-394D3BAA8533?ref_=ast_bln&amp;store_ref=bl_ast_dp_brandLogo_sto"/>
    <hyperlink ref="H93" r:id="rId414" display="https://www.amazon.com/dp/B0B4NJFXM1?psc=1" tooltip="https://www.amazon.com/dp/B0B4NJFXM1?psc=1"/>
    <hyperlink ref="I93" r:id="rId415" display="https://m.media-amazon.com/images/I/31B6qLgnXNL._AC_SR600,600_.jpg" tooltip="https://m.media-amazon.com/images/I/31B6qLgnXNL._AC_SR600,600_.jpg"/>
    <hyperlink ref="J93" r:id="rId413" display="B0B4NJFXM1" tooltip="https://www.amazon.com/dp/B0B4NJFXM1"/>
    <hyperlink ref="K93" r:id="rId6" display="Clothing, Shoes &amp; Jewelry:Women:Clothing:Active:Sets:Tracksuits" tooltip="https://www.amazon.com/b?node=14292331"/>
    <hyperlink ref="L93" r:id="rId7" display="Clothing, Shoes &amp; Jewelry"/>
    <hyperlink ref="AR93" r:id="rId54" display="https://www.amazon.com/gp/help/seller/at-a-glance.html/ref=dp_merchant_link?seller=AW513678AUV06" tooltip="https://www.amazon.com/gp/help/seller/at-a-glance.html/ref=dp_merchant_link?seller=AW513678AUV06"/>
    <hyperlink ref="B94" r:id="rId416" display="B0C27NRRLZ" tooltip="https://www.amazon.com/dp/B0C27NRRLZ"/>
    <hyperlink ref="F94" r:id="rId417" display="https://www.amazon.com/COREWO/b/ref=bl_sl_s_ap_web_73804549011?ie=UTF8&amp;node=73804549011&amp;field-lbr_brands_browse-bin=COREWO" tooltip="https://www.amazon.com/COREWO/b/ref=bl_sl_s_ap_web_73804549011?ie=UTF8&amp;node=73804549011&amp;field-lbr_brands_browse-bin=COREWO"/>
    <hyperlink ref="H94" r:id="rId418" display="https://www.amazon.com/dp/B0C27NRRLZ?psc=1" tooltip="https://www.amazon.com/dp/B0C27NRRLZ?psc=1"/>
    <hyperlink ref="I94" r:id="rId419" display="https://images-na.ssl-images-amazon.com/images/I/41pO-ABqzlL._AC_US600_.jpg" tooltip="https://images-na.ssl-images-amazon.com/images/I/41pO-ABqzlL._AC_US600_.jpg"/>
    <hyperlink ref="J94" r:id="rId416" display="B0C27NRRLZ" tooltip="https://www.amazon.com/dp/B0C27NRRLZ"/>
    <hyperlink ref="K94" r:id="rId6" display="Clothing, Shoes &amp; Jewelry:Women:Clothing:Active:Sets:Tracksuits" tooltip="https://www.amazon.com/b?node=14292331"/>
    <hyperlink ref="L94" r:id="rId7" display="Clothing, Shoes &amp; Jewelry"/>
    <hyperlink ref="AR94" r:id="rId420" display="https://www.amazon.com/gp/help/seller/at-a-glance.html/ref=dp_merchant_link?seller=A26V1YU835VWQX" tooltip="https://www.amazon.com/gp/help/seller/at-a-glance.html/ref=dp_merchant_link?seller=A26V1YU835VWQX"/>
    <hyperlink ref="B95" r:id="rId421" display="B0D396DM89" tooltip="https://www.amazon.com/dp/B0D396DM89"/>
    <hyperlink ref="F95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95" r:id="rId422" display="https://www.amazon.com/dp/B0D396DM89?psc=1" tooltip="https://www.amazon.com/dp/B0D396DM89?psc=1"/>
    <hyperlink ref="I95" r:id="rId423" display="https://m.media-amazon.com/images/I/31lvGh5+9dL._AC_SR600,600_.jpg" tooltip="https://m.media-amazon.com/images/I/31lvGh5+9dL._AC_SR600,600_.jpg"/>
    <hyperlink ref="J95" r:id="rId421" display="B0D396DM89" tooltip="https://www.amazon.com/dp/B0D396DM89"/>
    <hyperlink ref="K95" r:id="rId6" display="Clothing, Shoes &amp; Jewelry:Women:Clothing:Active:Sets:Tracksuits" tooltip="https://www.amazon.com/b?node=14292331"/>
    <hyperlink ref="L95" r:id="rId7" display="Clothing, Shoes &amp; Jewelry"/>
    <hyperlink ref="AR95" r:id="rId14" display="https://www.amazon.com/gp/help/seller/at-a-glance.html/ref=dp_merchant_link?seller=ADPI9LE50EUV" tooltip="https://www.amazon.com/gp/help/seller/at-a-glance.html/ref=dp_merchant_link?seller=ADPI9LE50EUV"/>
    <hyperlink ref="B96" r:id="rId424" display="B0D5B5J51K" tooltip="https://www.amazon.com/dp/B0D5B5J51K"/>
    <hyperlink ref="F96" r:id="rId387" display="https://www.amazon.com/stores/CARACILIAFASHION/page/21A3E20B-2471-42E0-86AB-26C1A20FB2B0?ref_=ast_bln&amp;store_ref=bl_ast_dp_brandLogo_sto" tooltip="https://www.amazon.com/stores/CARACILIAFASHION/page/21A3E20B-2471-42E0-86AB-26C1A20FB2B0?ref_=ast_bln&amp;store_ref=bl_ast_dp_brandLogo_sto"/>
    <hyperlink ref="H96" r:id="rId425" display="https://www.amazon.com/dp/B0D5B5J51K?psc=1" tooltip="https://www.amazon.com/dp/B0D5B5J51K?psc=1"/>
    <hyperlink ref="I96" r:id="rId426" display="https://m.media-amazon.com/images/I/41JR6v4KR+L._AC_SR600,600_.jpg" tooltip="https://m.media-amazon.com/images/I/41JR6v4KR+L._AC_SR600,600_.jpg"/>
    <hyperlink ref="J96" r:id="rId424" display="B0D5B5J51K" tooltip="https://www.amazon.com/dp/B0D5B5J51K"/>
    <hyperlink ref="K96" r:id="rId6" display="Clothing, Shoes &amp; Jewelry:Women:Clothing:Active:Sets:Tracksuits" tooltip="https://www.amazon.com/b?node=14292331"/>
    <hyperlink ref="L96" r:id="rId7" display="Clothing, Shoes &amp; Jewelry"/>
    <hyperlink ref="AR96" r:id="rId390" display="https://www.amazon.com/gp/help/seller/at-a-glance.html/ref=dp_merchant_link?seller=AT5K7MIX35CRI" tooltip="https://www.amazon.com/gp/help/seller/at-a-glance.html/ref=dp_merchant_link?seller=AT5K7MIX35CRI"/>
    <hyperlink ref="B97" r:id="rId427" display="B0D9NB6T2V" tooltip="https://www.amazon.com/dp/B0D9NB6T2V"/>
    <hyperlink ref="F97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97" r:id="rId428" display="https://www.amazon.com/dp/B0D9NB6T2V?psc=1" tooltip="https://www.amazon.com/dp/B0D9NB6T2V?psc=1"/>
    <hyperlink ref="I97" r:id="rId429" display="https://images-na.ssl-images-amazon.com/images/I/61XiDKwfWqL._AC_US600_.jpg" tooltip="https://images-na.ssl-images-amazon.com/images/I/61XiDKwfWqL._AC_US600_.jpg"/>
    <hyperlink ref="J97" r:id="rId427" display="B0D9NB6T2V" tooltip="https://www.amazon.com/dp/B0D9NB6T2V"/>
    <hyperlink ref="K97" r:id="rId6" display="Clothing, Shoes &amp; Jewelry:Women:Clothing:Active:Sets:Tracksuits" tooltip="https://www.amazon.com/b?node=14292331"/>
    <hyperlink ref="L97" r:id="rId7" display="Clothing, Shoes &amp; Jewelry"/>
    <hyperlink ref="AR97" r:id="rId14" display="https://www.amazon.com/gp/help/seller/at-a-glance.html/ref=dp_merchant_link?seller=ADPI9LE50EUV" tooltip="https://www.amazon.com/gp/help/seller/at-a-glance.html/ref=dp_merchant_link?seller=ADPI9LE50EUV"/>
    <hyperlink ref="B98" r:id="rId430" display="B0CD3V24LD" tooltip="https://www.amazon.com/dp/B0CD3V24LD"/>
    <hyperlink ref="F98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98" r:id="rId431" display="https://www.amazon.com/dp/B0CD3V24LD?psc=1" tooltip="https://www.amazon.com/dp/B0CD3V24LD?psc=1"/>
    <hyperlink ref="I98" r:id="rId432" display="https://m.media-amazon.com/images/I/31qhrwiSX7L._AC_SR600,600_.jpg" tooltip="https://m.media-amazon.com/images/I/31qhrwiSX7L._AC_SR600,600_.jpg"/>
    <hyperlink ref="J98" r:id="rId430" display="B0CD3V24LD" tooltip="https://www.amazon.com/dp/B0CD3V24LD"/>
    <hyperlink ref="K98" r:id="rId267" display="Clothing, Shoes &amp; Jewelry:Women:Clothing:Active:Sets:Active Sweatsuits" tooltip="https://www.amazon.com/b?node=1250424011"/>
    <hyperlink ref="L98" r:id="rId7" display="Clothing, Shoes &amp; Jewelry"/>
    <hyperlink ref="AR98" r:id="rId258" display="https://www.amazon.com/gp/help/seller/at-a-glance.html/ref=dp_merchant_link?seller=A33ADOTJ71RZ2D" tooltip="https://www.amazon.com/gp/help/seller/at-a-glance.html/ref=dp_merchant_link?seller=A33ADOTJ71RZ2D"/>
    <hyperlink ref="B99" r:id="rId433" display="B0D264F3Y4" tooltip="https://www.amazon.com/dp/B0D264F3Y4"/>
    <hyperlink ref="F99" r:id="rId10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99" r:id="rId434" display="https://www.amazon.com/dp/B0D264F3Y4?psc=1" tooltip="https://www.amazon.com/dp/B0D264F3Y4?psc=1"/>
    <hyperlink ref="I99" r:id="rId435" display="https://images-na.ssl-images-amazon.com/images/I/61YUJpbFaGL._AC_US600_.jpg" tooltip="https://images-na.ssl-images-amazon.com/images/I/61YUJpbFaGL._AC_US600_.jpg"/>
    <hyperlink ref="J99" r:id="rId433" display="B0D264F3Y4" tooltip="https://www.amazon.com/dp/B0D264F3Y4"/>
    <hyperlink ref="K99" r:id="rId6" display="Clothing, Shoes &amp; Jewelry:Women:Clothing:Active:Sets:Tracksuits" tooltip="https://www.amazon.com/b?node=14292331"/>
    <hyperlink ref="L99" r:id="rId7" display="Clothing, Shoes &amp; Jewelry"/>
    <hyperlink ref="AR99" r:id="rId14" display="https://www.amazon.com/gp/help/seller/at-a-glance.html/ref=dp_merchant_link?seller=ADPI9LE50EUV" tooltip="https://www.amazon.com/gp/help/seller/at-a-glance.html/ref=dp_merchant_link?seller=ADPI9LE50EUV"/>
    <hyperlink ref="B100" r:id="rId436" display="B0D5R75CS1" tooltip="https://www.amazon.com/dp/B0D5R75CS1"/>
    <hyperlink ref="F100" r:id="rId150" display="https://www.amazon.com/stores/Lillusory/page/81CBC909-44D5-427C-8E22-7D1E4971F917?ref_=ast_bln&amp;store_ref=bl_ast_dp_brandLogo_sto" tooltip="https://www.amazon.com/stores/Lillusory/page/81CBC909-44D5-427C-8E22-7D1E4971F917?ref_=ast_bln&amp;store_ref=bl_ast_dp_brandLogo_sto"/>
    <hyperlink ref="H100" r:id="rId437" display="https://www.amazon.com/dp/B0D5R75CS1?psc=1" tooltip="https://www.amazon.com/dp/B0D5R75CS1?psc=1"/>
    <hyperlink ref="I100" r:id="rId438" display="https://m.media-amazon.com/images/I/41b2R5e4efL._AC_SR600,600_.jpg" tooltip="https://m.media-amazon.com/images/I/41b2R5e4efL._AC_SR600,600_.jpg"/>
    <hyperlink ref="J100" r:id="rId436" display="B0D5R75CS1" tooltip="https://www.amazon.com/dp/B0D5R75CS1"/>
    <hyperlink ref="K100" r:id="rId6" display="Clothing, Shoes &amp; Jewelry:Women:Clothing:Active:Sets:Tracksuits" tooltip="https://www.amazon.com/b?node=14292331"/>
    <hyperlink ref="L100" r:id="rId7" display="Clothing, Shoes &amp; Jewelry"/>
    <hyperlink ref="AR100" r:id="rId154" display="https://www.amazon.com/gp/help/seller/at-a-glance.html/ref=dp_merchant_link?seller=ADQ75HXOS0E4Z" tooltip="https://www.amazon.com/gp/help/seller/at-a-glance.html/ref=dp_merchant_link?seller=ADQ75HXOS0E4Z"/>
    <hyperlink ref="B101" r:id="rId439" display="B07TZT5S4D" tooltip="https://www.amazon.com/dp/B07TZT5S4D"/>
    <hyperlink ref="F101" r:id="rId440" display="https://www.amazon.com/stores/HANMAX/page/9AC5F515-2851-4721-8DF9-E8CDED19C2BC?ref_=ast_bln" tooltip="https://www.amazon.com/stores/HANMAX/page/9AC5F515-2851-4721-8DF9-E8CDED19C2BC?ref_=ast_bln"/>
    <hyperlink ref="H101" r:id="rId441" display="https://www.amazon.com/dp/B07TZT5S4D?psc=1" tooltip="https://www.amazon.com/dp/B07TZT5S4D?psc=1"/>
    <hyperlink ref="I101" r:id="rId442" display="https://m.media-amazon.com/images/I/312Hdx8Ot+L._AC_SR600,600_.jpg" tooltip="https://m.media-amazon.com/images/I/312Hdx8Ot+L._AC_SR600,600_.jpg"/>
    <hyperlink ref="J101" r:id="rId439" display="B07TZT5S4D" tooltip="https://www.amazon.com/dp/B07TZT5S4D"/>
    <hyperlink ref="K101" r:id="rId6" display="Clothing, Shoes &amp; Jewelry:Women:Clothing:Active:Sets:Tracksuits" tooltip="https://www.amazon.com/b?node=14292331"/>
    <hyperlink ref="L101" r:id="rId7" display="Clothing, Shoes &amp; Jewelry"/>
    <hyperlink ref="AR101" r:id="rId443" display="https://www.amazon.com/gp/help/seller/at-a-glance.html/ref=dp_merchant_link?seller=AIY88B8APC8UW" tooltip="https://www.amazon.com/gp/help/seller/at-a-glance.html/ref=dp_merchant_link?seller=AIY88B8APC8UW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9" defaultRowHeight="14.4" outlineLevelRow="6"/>
  <cols>
    <col min="1" max="1" width="150" style="4" customWidth="1"/>
  </cols>
  <sheetData>
    <row r="1" s="2" customFormat="1" ht="45" customHeight="1" spans="1:1">
      <c r="A1" s="5" t="s">
        <v>1256</v>
      </c>
    </row>
    <row r="2" s="2" customFormat="1" ht="45" customHeight="1" spans="1:1">
      <c r="A2" s="5" t="s">
        <v>1257</v>
      </c>
    </row>
    <row r="3" s="2" customFormat="1" ht="100" customHeight="1" spans="1:1">
      <c r="A3" s="5" t="s">
        <v>1258</v>
      </c>
    </row>
    <row r="4" s="2" customFormat="1" ht="45" customHeight="1" spans="1:1">
      <c r="A4" s="5" t="s">
        <v>1259</v>
      </c>
    </row>
    <row r="5" s="2" customFormat="1" ht="45" customHeight="1" spans="1:1">
      <c r="A5" s="5" t="s">
        <v>1260</v>
      </c>
    </row>
    <row r="6" s="3" customFormat="1" ht="45" customHeight="1" spans="1:1">
      <c r="A6" s="6" t="s">
        <v>1261</v>
      </c>
    </row>
    <row r="7" ht="45" customHeight="1" spans="1:1">
      <c r="A7" s="7" t="s">
        <v>1262</v>
      </c>
    </row>
  </sheetData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G10" sqref="G10"/>
    </sheetView>
  </sheetViews>
  <sheetFormatPr defaultColWidth="8.88888888888889" defaultRowHeight="14.4" outlineLevelCol="7"/>
  <sheetData>
    <row r="1" ht="45.75" customHeight="1" spans="1:1">
      <c r="A1" s="1"/>
    </row>
    <row r="2" ht="45.75" customHeight="1" spans="1:1">
      <c r="A2" s="1"/>
    </row>
    <row r="10" ht="45.75" spans="8:8">
      <c r="H10" s="1" t="str">
        <f>_xlfn.DISPIMG("ID_B13AB42DF50D4C48AA1AE8CCFB525613",1)</f>
        <v>=DISPIMG("ID_B13AB42DF50D4C48AA1AE8CCFB525613",1)</v>
      </c>
    </row>
    <row r="11" ht="45.75" spans="8:8">
      <c r="H11" s="1" t="str">
        <f>_xlfn.DISPIMG("ID_88BF2F1A26084DBF835EBF2925FB1342",1)</f>
        <v>=DISPIMG("ID_88BF2F1A26084DBF835EBF2925FB1342",1)</v>
      </c>
    </row>
    <row r="12" ht="45.75" spans="8:8">
      <c r="H12" s="1" t="str">
        <f>_xlfn.DISPIMG("ID_BE67C2CDA775435AA47F93DBDF27BB42",1)</f>
        <v>=DISPIMG("ID_BE67C2CDA775435AA47F93DBDF27BB42",1)</v>
      </c>
    </row>
    <row r="13" ht="45.75" spans="8:8">
      <c r="H13" s="1" t="str">
        <f>_xlfn.DISPIMG("ID_86FA167D75334993B916C85688E5E071",1)</f>
        <v>=DISPIMG("ID_86FA167D75334993B916C85688E5E071",1)</v>
      </c>
    </row>
    <row r="14" ht="45.75" spans="8:8">
      <c r="H14" s="1" t="str">
        <f>_xlfn.DISPIMG("ID_A36799880F694DB79209D093CF5492E0",1)</f>
        <v>=DISPIMG("ID_A36799880F694DB79209D093CF5492E0",1)</v>
      </c>
    </row>
    <row r="15" ht="45.75" spans="8:8">
      <c r="H15" s="1" t="str">
        <f>_xlfn.DISPIMG("ID_0D33FAA1DB0349B193E8B4566705AC6D",1)</f>
        <v>=DISPIMG("ID_0D33FAA1DB0349B193E8B4566705AC6D",1)</v>
      </c>
    </row>
    <row r="16" ht="45.75" spans="8:8">
      <c r="H16" s="1" t="str">
        <f>_xlfn.DISPIMG("ID_A7857CBA3F804E8AA4A13C3E7F3DC78B",1)</f>
        <v>=DISPIMG("ID_A7857CBA3F804E8AA4A13C3E7F3DC78B",1)</v>
      </c>
    </row>
    <row r="17" ht="45.75" spans="8:8">
      <c r="H17" s="1" t="str">
        <f>_xlfn.DISPIMG("ID_F3A7A4F2C4024D23A2D001739BCFC0D5",1)</f>
        <v>=DISPIMG("ID_F3A7A4F2C4024D23A2D001739BCFC0D5",1)</v>
      </c>
    </row>
    <row r="18" ht="45.75" spans="8:8">
      <c r="H18" s="1" t="str">
        <f>_xlfn.DISPIMG("ID_E8C29E202388409A9668909C70E63EC7",1)</f>
        <v>=DISPIMG("ID_E8C29E202388409A9668909C70E63EC7",1)</v>
      </c>
    </row>
  </sheetData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D5" sqref="D5"/>
    </sheetView>
  </sheetViews>
  <sheetFormatPr defaultColWidth="8.88888888888889" defaultRowHeight="14.4"/>
  <cols>
    <col min="1" max="5" width="19.4537037037037" customWidth="1"/>
  </cols>
  <sheetData>
    <row r="1" ht="100" customHeight="1" spans="1:1">
      <c r="A1" s="1"/>
    </row>
    <row r="2" ht="100" customHeight="1" spans="1:1">
      <c r="A2" s="1"/>
    </row>
    <row r="3" ht="45.75" customHeight="1" spans="1:1">
      <c r="A3" s="1"/>
    </row>
    <row r="4" ht="45.75" customHeight="1" spans="1:1">
      <c r="A4" s="1"/>
    </row>
    <row r="5" ht="45.75" customHeight="1" spans="1:1">
      <c r="A5" s="1"/>
    </row>
    <row r="6" ht="45.75" customHeight="1" spans="1:1">
      <c r="A6" s="1"/>
    </row>
    <row r="7" ht="45.75" customHeight="1" spans="1:1">
      <c r="A7" s="1"/>
    </row>
    <row r="8" ht="45.75" customHeight="1" spans="1:1">
      <c r="A8" s="1"/>
    </row>
    <row r="9" ht="45.75" customHeight="1" spans="1:1">
      <c r="A9" s="1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US</vt:lpstr>
      <vt:lpstr>Note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世未宋侠涛</cp:lastModifiedBy>
  <dcterms:created xsi:type="dcterms:W3CDTF">2024-11-01T08:15:00Z</dcterms:created>
  <dcterms:modified xsi:type="dcterms:W3CDTF">2024-11-06T10:56:25Z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2A1FEF84FD2C4B67BF576041C99AB98A_12</vt:lpwstr>
  </property>
  <property fmtid="{D5CDD505-2E9C-101B-9397-08002B2CF9AE}" pid="3" name="KSOProductBuildVer">
    <vt:lpwstr>2052-12.1.0.18608</vt:lpwstr>
  </property>
</Properties>
</file>