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1"/>
  </bookViews>
  <sheets>
    <sheet name="SUMMURY" sheetId="1" r:id="rId1"/>
    <sheet name="总表" sheetId="2" r:id="rId2"/>
  </sheets>
  <definedNames>
    <definedName name="_xlnm._FilterDatabase" localSheetId="1" hidden="1">总表!$A$1:$L$113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<sst xmlns="http://schemas.openxmlformats.org/spreadsheetml/2006/main" count="550" uniqueCount="59">
  <si>
    <t>*以下数据为用户账号数据，存在一个家庭使用其他家庭成员账号购物的可能性。</t>
  </si>
  <si>
    <t>客户群体类型</t>
  </si>
  <si>
    <t>gender</t>
  </si>
  <si>
    <t>求和项:独特客户：在此客户群体中的数量%</t>
  </si>
  <si>
    <t>报告日期</t>
  </si>
  <si>
    <t>客户群体</t>
  </si>
  <si>
    <t>2023Q3</t>
  </si>
  <si>
    <t>2023Q4</t>
  </si>
  <si>
    <t>2024Q1</t>
  </si>
  <si>
    <t>2024Q2</t>
  </si>
  <si>
    <t>总计</t>
  </si>
  <si>
    <t>Female</t>
  </si>
  <si>
    <t>Male</t>
  </si>
  <si>
    <t>COOFANDY受众性别分布在过去4个季度基本维持在男女6:4， 在购物高峰季Q4达到5:5</t>
  </si>
  <si>
    <t>age_group</t>
  </si>
  <si>
    <t>18-24</t>
  </si>
  <si>
    <t>25-34</t>
  </si>
  <si>
    <t>35-44</t>
  </si>
  <si>
    <t>45-54</t>
  </si>
  <si>
    <t>55-64</t>
  </si>
  <si>
    <t>65+</t>
  </si>
  <si>
    <t>COOFANDY受众年龄在过去4个季度基本60%在25-54岁，30%在55岁及以上。</t>
  </si>
  <si>
    <t>education</t>
  </si>
  <si>
    <t>本科 Bachelors Degree</t>
  </si>
  <si>
    <t>大学水平some college</t>
  </si>
  <si>
    <t>高中 High School Graduate</t>
  </si>
  <si>
    <t>高中以下Less than High School</t>
  </si>
  <si>
    <t>研究生 Graduate Degree</t>
  </si>
  <si>
    <t>COOFANDY过去4个季度的受众，基本有60%接受过高中以上的教育，其中有本科及以上学历的约36%。</t>
  </si>
  <si>
    <t>household_income</t>
  </si>
  <si>
    <t>1)50,000 to 74,999</t>
  </si>
  <si>
    <t>2)75,000 to 99,999</t>
  </si>
  <si>
    <t>3)100,000 to 124,999</t>
  </si>
  <si>
    <t>4)125,000 to 149,999</t>
  </si>
  <si>
    <t>5)150,000 to 174,999</t>
  </si>
  <si>
    <t>6)175,000 to 199,999</t>
  </si>
  <si>
    <t>7)200,000 to 249,999</t>
  </si>
  <si>
    <t>8)250,000 or more</t>
  </si>
  <si>
    <t>COOFANDY过去4季度受众的家庭年收入水平，根据2023美国收入水平。 基本有54%在中等收入层级（$61,000-183,000)和20%在中低收入层级(‘低收入’为$61,000以下），有18%以上为高收入家庭。</t>
  </si>
  <si>
    <t>marital_status</t>
  </si>
  <si>
    <t>Married</t>
  </si>
  <si>
    <t>Single</t>
  </si>
  <si>
    <t>COOFANDY过去4个季度亚马逊的受众婚姻状态近80%为已婚。</t>
  </si>
  <si>
    <t>品牌名称</t>
  </si>
  <si>
    <t>独特客户：在此客户群体中的数量</t>
  </si>
  <si>
    <t>客户总数</t>
  </si>
  <si>
    <t>独特客户：占此客户群体总数的百分比</t>
  </si>
  <si>
    <t>独特客户：与上期环比，占此客户群体的总变化量的百分比</t>
  </si>
  <si>
    <t>订购的商品数量：此客户群体订购的商品数量</t>
  </si>
  <si>
    <t>订购的商品总数</t>
  </si>
  <si>
    <t>订购的商品数量：占此客户群体订购的商品总数的百分比</t>
  </si>
  <si>
    <t>订购的商品数量：与上期环比，占此客户群体订购的商品数量的总变化量的百分比</t>
  </si>
  <si>
    <t>COOFANDY</t>
  </si>
  <si>
    <t>Information Not Available</t>
  </si>
  <si>
    <t>High School Graduate</t>
  </si>
  <si>
    <t>Less than High School</t>
  </si>
  <si>
    <t>Some College</t>
  </si>
  <si>
    <t>Graduate Degree</t>
  </si>
  <si>
    <t>Bachelors Degree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</si>
</sst>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_ * #,##0_ ;_ * \-#,##0_ ;_ * &quot;-&quot;??_ ;_ @_ "/>
  </numFmts>
  <fonts count="20">
    <font>
      <sz val="11"/>
      <color theme="1"/>
      <name val="Arial"/>
      <charset val="134"/>
      <scheme val="minor"/>
    </font>
    <font>
      <sz val="11"/>
      <color rgb="FFFF0000"/>
      <name val="Arial"/>
      <charset val="134"/>
      <scheme val="minor"/>
    </font>
    <font>
      <b/>
      <sz val="11"/>
      <color theme="1"/>
      <name val="Arial"/>
      <charset val="134"/>
      <scheme val="minor"/>
    </font>
    <font>
      <u/>
      <sz val="11"/>
      <color indexed="4"/>
      <name val="Arial"/>
      <charset val="134"/>
      <scheme val="minor"/>
    </font>
    <font>
      <u/>
      <sz val="11"/>
      <color indexed="20"/>
      <name val="Arial"/>
      <charset val="134"/>
      <scheme val="minor"/>
    </font>
    <font>
      <sz val="11"/>
      <color indexed="2"/>
      <name val="Arial"/>
      <charset val="134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134"/>
      <scheme val="minor"/>
    </font>
    <font>
      <b/>
      <sz val="11"/>
      <color rgb="FF3F3F3F"/>
      <name val="Arial"/>
      <charset val="134"/>
      <scheme val="minor"/>
    </font>
    <font>
      <b/>
      <sz val="11"/>
      <color rgb="FFFA7D00"/>
      <name val="Arial"/>
      <charset val="134"/>
      <scheme val="minor"/>
    </font>
    <font>
      <b/>
      <sz val="11"/>
      <color indexed="65"/>
      <name val="Arial"/>
      <charset val="134"/>
      <scheme val="minor"/>
    </font>
    <font>
      <sz val="11"/>
      <color rgb="FFFA7D00"/>
      <name val="Arial"/>
      <charset val="134"/>
      <scheme val="minor"/>
    </font>
    <font>
      <sz val="11"/>
      <color rgb="FF006100"/>
      <name val="Arial"/>
      <charset val="134"/>
      <scheme val="minor"/>
    </font>
    <font>
      <sz val="11"/>
      <color rgb="FF9C0006"/>
      <name val="Arial"/>
      <charset val="134"/>
      <scheme val="minor"/>
    </font>
    <font>
      <sz val="11"/>
      <color rgb="FF9C6500"/>
      <name val="Arial"/>
      <charset val="134"/>
      <scheme val="minor"/>
    </font>
    <font>
      <sz val="11"/>
      <color theme="0"/>
      <name val="Arial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399975585192419"/>
        <bgColor theme="4" tint="0.399975585192419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theme="5" tint="0.599993896298105"/>
        <bgColor theme="5" tint="0.599993896298105"/>
      </patternFill>
    </fill>
    <fill>
      <patternFill patternType="solid">
        <fgColor theme="5" tint="0.399975585192419"/>
        <bgColor theme="5" tint="0.399975585192419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theme="6" tint="0.599993896298105"/>
        <bgColor theme="6" tint="0.599993896298105"/>
      </patternFill>
    </fill>
    <fill>
      <patternFill patternType="solid">
        <fgColor theme="6" tint="0.399975585192419"/>
        <bgColor theme="6" tint="0.399975585192419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theme="7" tint="0.599993896298105"/>
        <bgColor theme="7" tint="0.599993896298105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theme="8" tint="0.599993896298105"/>
        <bgColor theme="8" tint="0.599993896298105"/>
      </patternFill>
    </fill>
    <fill>
      <patternFill patternType="solid">
        <fgColor theme="8" tint="0.399975585192419"/>
        <bgColor theme="8" tint="0.399975585192419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theme="9" tint="0.599993896298105"/>
        <bgColor theme="9" tint="0.599993896298105"/>
      </patternFill>
    </fill>
    <fill>
      <patternFill patternType="solid">
        <fgColor theme="9" tint="0.399975585192419"/>
        <bgColor theme="9" tint="0.399975585192419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Protection="0">
      <alignment vertical="center"/>
    </xf>
    <xf numFmtId="44" fontId="0" fillId="0" borderId="0" applyFont="0" applyFill="0" applyBorder="0" applyProtection="0">
      <alignment vertical="center"/>
    </xf>
    <xf numFmtId="9" fontId="0" fillId="0" borderId="0" applyFont="0" applyFill="0" applyBorder="0" applyProtection="0">
      <alignment vertical="center"/>
    </xf>
    <xf numFmtId="41" fontId="0" fillId="0" borderId="0" applyFont="0" applyFill="0" applyBorder="0" applyProtection="0">
      <alignment vertical="center"/>
    </xf>
    <xf numFmtId="42" fontId="0" fillId="0" borderId="0" applyFont="0" applyFill="0" applyBorder="0" applyProtection="0">
      <alignment vertical="center"/>
    </xf>
    <xf numFmtId="0" fontId="3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0" fillId="3" borderId="2" applyNumberFormat="0" applyFont="0" applyProtection="0">
      <alignment vertical="center"/>
    </xf>
    <xf numFmtId="0" fontId="5" fillId="0" borderId="0" applyNumberFormat="0" applyFill="0" applyBorder="0" applyProtection="0">
      <alignment vertical="center"/>
    </xf>
    <xf numFmtId="0" fontId="6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8" fillId="0" borderId="3" applyNumberFormat="0" applyFill="0" applyProtection="0">
      <alignment vertical="center"/>
    </xf>
    <xf numFmtId="0" fontId="9" fillId="0" borderId="3" applyNumberFormat="0" applyFill="0" applyProtection="0">
      <alignment vertical="center"/>
    </xf>
    <xf numFmtId="0" fontId="10" fillId="0" borderId="4" applyNumberFormat="0" applyFill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1" fillId="4" borderId="5" applyNumberFormat="0" applyProtection="0">
      <alignment vertical="center"/>
    </xf>
    <xf numFmtId="0" fontId="12" fillId="5" borderId="6" applyNumberFormat="0" applyProtection="0">
      <alignment vertical="center"/>
    </xf>
    <xf numFmtId="0" fontId="13" fillId="5" borderId="5" applyNumberFormat="0" applyProtection="0">
      <alignment vertical="center"/>
    </xf>
    <xf numFmtId="0" fontId="14" fillId="6" borderId="7" applyNumberFormat="0" applyProtection="0">
      <alignment vertical="center"/>
    </xf>
    <xf numFmtId="0" fontId="15" fillId="0" borderId="8" applyNumberFormat="0" applyFill="0" applyProtection="0">
      <alignment vertical="center"/>
    </xf>
    <xf numFmtId="0" fontId="2" fillId="0" borderId="9" applyNumberFormat="0" applyFill="0" applyProtection="0">
      <alignment vertical="center"/>
    </xf>
    <xf numFmtId="0" fontId="16" fillId="7" borderId="0" applyNumberFormat="0" applyBorder="0" applyProtection="0">
      <alignment vertical="center"/>
    </xf>
    <xf numFmtId="0" fontId="17" fillId="8" borderId="0" applyNumberFormat="0" applyBorder="0" applyProtection="0">
      <alignment vertical="center"/>
    </xf>
    <xf numFmtId="0" fontId="18" fillId="9" borderId="0" applyNumberFormat="0" applyBorder="0" applyProtection="0">
      <alignment vertical="center"/>
    </xf>
    <xf numFmtId="0" fontId="19" fillId="10" borderId="0" applyNumberFormat="0" applyBorder="0" applyProtection="0">
      <alignment vertical="center"/>
    </xf>
    <xf numFmtId="0" fontId="0" fillId="2" borderId="0" applyNumberFormat="0" applyBorder="0" applyProtection="0">
      <alignment vertical="center"/>
    </xf>
    <xf numFmtId="0" fontId="0" fillId="11" borderId="0" applyNumberFormat="0" applyBorder="0" applyProtection="0">
      <alignment vertical="center"/>
    </xf>
    <xf numFmtId="0" fontId="19" fillId="12" borderId="0" applyNumberFormat="0" applyBorder="0" applyProtection="0">
      <alignment vertical="center"/>
    </xf>
    <xf numFmtId="0" fontId="19" fillId="13" borderId="0" applyNumberFormat="0" applyBorder="0" applyProtection="0">
      <alignment vertical="center"/>
    </xf>
    <xf numFmtId="0" fontId="0" fillId="14" borderId="0" applyNumberFormat="0" applyBorder="0" applyProtection="0">
      <alignment vertical="center"/>
    </xf>
    <xf numFmtId="0" fontId="0" fillId="15" borderId="0" applyNumberFormat="0" applyBorder="0" applyProtection="0">
      <alignment vertical="center"/>
    </xf>
    <xf numFmtId="0" fontId="19" fillId="16" borderId="0" applyNumberFormat="0" applyBorder="0" applyProtection="0">
      <alignment vertical="center"/>
    </xf>
    <xf numFmtId="0" fontId="19" fillId="17" borderId="0" applyNumberFormat="0" applyBorder="0" applyProtection="0">
      <alignment vertical="center"/>
    </xf>
    <xf numFmtId="0" fontId="0" fillId="18" borderId="0" applyNumberFormat="0" applyBorder="0" applyProtection="0">
      <alignment vertical="center"/>
    </xf>
    <xf numFmtId="0" fontId="0" fillId="19" borderId="0" applyNumberFormat="0" applyBorder="0" applyProtection="0">
      <alignment vertical="center"/>
    </xf>
    <xf numFmtId="0" fontId="19" fillId="20" borderId="0" applyNumberFormat="0" applyBorder="0" applyProtection="0">
      <alignment vertical="center"/>
    </xf>
    <xf numFmtId="0" fontId="19" fillId="21" borderId="0" applyNumberFormat="0" applyBorder="0" applyProtection="0">
      <alignment vertical="center"/>
    </xf>
    <xf numFmtId="0" fontId="0" fillId="22" borderId="0" applyNumberFormat="0" applyBorder="0" applyProtection="0">
      <alignment vertical="center"/>
    </xf>
    <xf numFmtId="0" fontId="0" fillId="23" borderId="0" applyNumberFormat="0" applyBorder="0" applyProtection="0">
      <alignment vertical="center"/>
    </xf>
    <xf numFmtId="0" fontId="19" fillId="24" borderId="0" applyNumberFormat="0" applyBorder="0" applyProtection="0">
      <alignment vertical="center"/>
    </xf>
    <xf numFmtId="0" fontId="19" fillId="25" borderId="0" applyNumberFormat="0" applyBorder="0" applyProtection="0">
      <alignment vertical="center"/>
    </xf>
    <xf numFmtId="0" fontId="0" fillId="26" borderId="0" applyNumberFormat="0" applyBorder="0" applyProtection="0">
      <alignment vertical="center"/>
    </xf>
    <xf numFmtId="0" fontId="0" fillId="27" borderId="0" applyNumberFormat="0" applyBorder="0" applyProtection="0">
      <alignment vertical="center"/>
    </xf>
    <xf numFmtId="0" fontId="19" fillId="28" borderId="0" applyNumberFormat="0" applyBorder="0" applyProtection="0">
      <alignment vertical="center"/>
    </xf>
    <xf numFmtId="0" fontId="19" fillId="29" borderId="0" applyNumberFormat="0" applyBorder="0" applyProtection="0">
      <alignment vertical="center"/>
    </xf>
    <xf numFmtId="0" fontId="0" fillId="30" borderId="0" applyNumberFormat="0" applyBorder="0" applyProtection="0">
      <alignment vertical="center"/>
    </xf>
    <xf numFmtId="0" fontId="0" fillId="31" borderId="0" applyNumberFormat="0" applyBorder="0" applyProtection="0">
      <alignment vertical="center"/>
    </xf>
    <xf numFmtId="0" fontId="19" fillId="32" borderId="0" applyNumberFormat="0" applyBorder="0" applyProtection="0">
      <alignment vertical="center"/>
    </xf>
  </cellStyleXfs>
  <cellXfs count="11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177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/>
        <right/>
        <top style="double">
          <color theme="4"/>
        </top>
        <bottom/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</dxfs>
  <tableStyles count="2" defaultTableStyle="TableStyleMedium2" defaultPivotStyle="PivotStyleLight16">
    <tableStyle name="TableStylePreset3_Accent1 1" pivot="0" count="7" xr9:uid="{5B146944-1E0F-4200-B688-070BD9234D05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FFE66D41-2B28-4636-AF53-AA840DEA79F8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23.6227430556" refreshedBy="admin" recordCount="113">
  <cacheSource type="worksheet">
    <worksheetSource ref="A1:L1048576" sheet="总表"/>
  </cacheSource>
  <cacheFields count="12">
    <cacheField name="品牌名称" numFmtId="0">
      <sharedItems containsBlank="1" count="2">
        <s v="COOFANDY"/>
        <m/>
      </sharedItems>
    </cacheField>
    <cacheField name="客户群体类型" numFmtId="0">
      <sharedItems containsBlank="1" count="7">
        <s v="household_income"/>
        <s v="education"/>
        <s v="marital_status"/>
        <s v="gender"/>
        <s v="age_group"/>
        <m/>
        <s v="客户群体类型" u="1"/>
      </sharedItems>
    </cacheField>
    <cacheField name="客户群体" numFmtId="0">
      <sharedItems containsBlank="1" count="34">
        <s v="7)200,000 to 249,999"/>
        <s v="Information Not Available"/>
        <s v="High School Graduate"/>
        <s v="Less than High School"/>
        <s v="Single"/>
        <s v="Some College"/>
        <s v="3)100,000 to 124,999"/>
        <s v="5)150,000 to 174,999"/>
        <s v="1)50,000 to 74,999"/>
        <s v="Female"/>
        <s v="35-44"/>
        <s v="6)175,000 to 199,999"/>
        <s v="Graduate Degree"/>
        <s v="4)125,000 to 149,999"/>
        <s v="65+"/>
        <s v="Male"/>
        <s v="Bachelors Degree"/>
        <s v="2)75,000 to 99,999"/>
        <s v="8)250,000 or more"/>
        <s v="55-64"/>
        <s v="45-54"/>
        <s v="Married"/>
        <s v="25-34"/>
        <s v="18-24"/>
        <m/>
        <s v="200,000 to 249,999" u="1"/>
        <s v="100,000 to 124,999" u="1"/>
        <s v="150,000 to 174,999" u="1"/>
        <s v="50,000 to 74,999" u="1"/>
        <s v="175,000 to 199,999" u="1"/>
        <s v="125,000 to 149,999" u="1"/>
        <s v="75,000 to 99,999" u="1"/>
        <s v="250,000 or more" u="1"/>
        <s v="客户群体" u="1"/>
      </sharedItems>
    </cacheField>
    <cacheField name="独特客户：在此客户群体中的数量" numFmtId="0">
      <sharedItems containsString="0" containsBlank="1" containsNumber="1" containsInteger="1" minValue="0" maxValue="923930" count="109">
        <n v="62402"/>
        <n v="670381"/>
        <n v="204583"/>
        <n v="94641"/>
        <n v="130111"/>
        <n v="296894"/>
        <n v="97604"/>
        <n v="48528"/>
        <n v="151381"/>
        <n v="448016"/>
        <n v="200806"/>
        <n v="54035"/>
        <n v="487501"/>
        <n v="516097"/>
        <n v="786289"/>
        <n v="122610"/>
        <n v="113119"/>
        <n v="140462"/>
        <n v="463759"/>
        <n v="221643"/>
        <n v="151338"/>
        <n v="79084"/>
        <n v="140735"/>
        <n v="197001"/>
        <n v="511472"/>
        <n v="197877"/>
        <n v="63490"/>
        <n v="245374"/>
        <n v="83534"/>
        <n v="327149"/>
        <n v="356874"/>
        <n v="573240"/>
        <n v="126809"/>
        <n v="417843"/>
        <n v="176100"/>
        <n v="112114"/>
        <n v="49823"/>
        <n v="92327"/>
        <n v="107802"/>
        <n v="331361"/>
        <n v="57476"/>
        <n v="423002"/>
        <n v="63753"/>
        <n v="158259"/>
        <n v="104180"/>
        <n v="43637"/>
        <n v="40194"/>
        <n v="166163"/>
        <n v="79524"/>
        <n v="115942"/>
        <n v="180423"/>
        <n v="127692"/>
        <n v="479256"/>
        <n v="163913"/>
        <n v="108202"/>
        <n v="64292"/>
        <n v="162786"/>
        <n v="244323"/>
        <n v="124880"/>
        <n v="100044"/>
        <n v="52850"/>
        <n v="124172"/>
        <n v="162349"/>
        <n v="178090"/>
        <n v="374950"/>
        <n v="93494"/>
        <n v="113576"/>
        <n v="79348"/>
        <n v="351165"/>
        <n v="502422"/>
        <n v="80276"/>
        <n v="422903"/>
        <n v="112259"/>
        <n v="591274"/>
        <n v="324587"/>
        <n v="50638"/>
        <n v="39220"/>
        <n v="168481"/>
        <n v="422842"/>
        <n v="167394"/>
        <n v="43913"/>
        <n v="146717"/>
        <n v="114135"/>
        <n v="564571"/>
        <n v="151806"/>
        <n v="91669"/>
        <n v="785058"/>
        <n v="350568"/>
        <n v="72360"/>
        <n v="478641"/>
        <n v="180788"/>
        <n v="232773"/>
        <n v="62976"/>
        <n v="114831"/>
        <n v="231573"/>
        <n v="606228"/>
        <n v="595932"/>
        <n v="174273"/>
        <n v="56795"/>
        <n v="233190"/>
        <n v="245483"/>
        <n v="258631"/>
        <n v="182171"/>
        <n v="169754"/>
        <n v="134849"/>
        <n v="74667"/>
        <n v="605065"/>
        <n v="923930"/>
        <m/>
      </sharedItems>
    </cacheField>
    <cacheField name="客户总数" numFmtId="0">
      <sharedItems containsString="0" containsBlank="1" containsNumber="1" containsInteger="1" minValue="0" maxValue="1680801" count="5">
        <n v="1427872"/>
        <n v="1107025"/>
        <n v="1122379"/>
        <n v="1680801"/>
        <m/>
      </sharedItems>
    </cacheField>
    <cacheField name="独特客户：占此客户群体总数的百分比" numFmtId="0">
      <sharedItems containsString="0" containsBlank="1" containsNumber="1" minValue="0" maxValue="55.07" count="107">
        <n v="4.37"/>
        <n v="46.95"/>
        <n v="14.33"/>
        <n v="6.63"/>
        <n v="9.11"/>
        <n v="20.79"/>
        <n v="6.84"/>
        <n v="3.4"/>
        <n v="10.6"/>
        <n v="31.38"/>
        <n v="14.06"/>
        <n v="3.78"/>
        <n v="34.14"/>
        <n v="36.14"/>
        <n v="55.07"/>
        <n v="8.59"/>
        <n v="7.92"/>
        <n v="9.84"/>
        <n v="32.48"/>
        <n v="15.52"/>
        <n v="5.54"/>
        <n v="9.86"/>
        <n v="13.8"/>
        <n v="35.82"/>
        <n v="13.86"/>
        <n v="4.45"/>
        <n v="22.17"/>
        <n v="7.55"/>
        <n v="29.55"/>
        <n v="32.24"/>
        <n v="51.78"/>
        <n v="11.45"/>
        <n v="37.74"/>
        <n v="15.91"/>
        <n v="10.13"/>
        <n v="4.5"/>
        <n v="8.34"/>
        <n v="9.74"/>
        <n v="29.93"/>
        <n v="5.19"/>
        <n v="38.21"/>
        <n v="5.76"/>
        <n v="14.3"/>
        <n v="9.41"/>
        <n v="3.94"/>
        <n v="3.63"/>
        <n v="15.01"/>
        <n v="7.18"/>
        <n v="10.47"/>
        <n v="16.3"/>
        <n v="11.53"/>
        <n v="43.29"/>
        <n v="14.81"/>
        <n v="9.64"/>
        <n v="5.73"/>
        <n v="14.5"/>
        <n v="21.77"/>
        <n v="11.13"/>
        <n v="8.91"/>
        <n v="4.71"/>
        <n v="11.06"/>
        <n v="14.46"/>
        <n v="15.87"/>
        <n v="33.41"/>
        <n v="8.33"/>
        <n v="10.12"/>
        <n v="7.07"/>
        <n v="31.29"/>
        <n v="44.76"/>
        <n v="7.15"/>
        <n v="37.68"/>
        <n v="10"/>
        <n v="52.68"/>
        <n v="28.92"/>
        <n v="4.51"/>
        <n v="3.49"/>
        <n v="37.67"/>
        <n v="14.91"/>
        <n v="3.91"/>
        <n v="8.73"/>
        <n v="6.79"/>
        <n v="33.59"/>
        <n v="9.03"/>
        <n v="5.45"/>
        <n v="46.71"/>
        <n v="20.86"/>
        <n v="4.31"/>
        <n v="28.48"/>
        <n v="10.76"/>
        <n v="13.85"/>
        <n v="3.75"/>
        <n v="6.83"/>
        <n v="13.78"/>
        <n v="36.07"/>
        <n v="35.46"/>
        <n v="10.37"/>
        <n v="3.38"/>
        <n v="13.87"/>
        <n v="14.61"/>
        <n v="15.39"/>
        <n v="10.84"/>
        <n v="10.1"/>
        <n v="8.02"/>
        <n v="4.44"/>
        <n v="36"/>
        <n v="54.97"/>
        <m/>
      </sharedItems>
    </cacheField>
    <cacheField name="独特客户：与上期环比，占此客户群体的总变化量的百分比" numFmtId="0">
      <sharedItems containsString="0" containsBlank="1" containsNumber="1" minValue="-5.73" maxValue="5.19" count="97">
        <n v="-0.13"/>
        <n v="3.66"/>
        <n v="-0.68"/>
        <n v="-0.55"/>
        <n v="-1.36"/>
        <n v="-1.38"/>
        <n v="-0.71"/>
        <n v="-0.23"/>
        <n v="-0.85"/>
        <n v="1.83"/>
        <n v="-0.75"/>
        <n v="-0.16"/>
        <n v="4.21"/>
        <n v="3.9"/>
        <n v="3.29"/>
        <n v="-0.82"/>
        <n v="-0.42"/>
        <n v="0.1"/>
        <n v="-5.73"/>
        <n v="-0.78"/>
        <n v="-0.93"/>
        <n v="-0.22"/>
        <n v="-0.27"/>
        <n v="-0.5"/>
        <n v="-1.92"/>
        <n v="-2.05"/>
        <n v="-0.74"/>
        <n v="0.47"/>
        <n v="0.24"/>
        <n v="0.71"/>
        <n v="-2.79"/>
        <n v="-1.86"/>
        <n v="0.22"/>
        <n v="1.36"/>
        <n v="1.19"/>
        <n v="0.34"/>
        <n v="0.41"/>
        <n v="0.42"/>
        <n v="0.7"/>
        <n v="-3.12"/>
        <n v="0.28"/>
        <n v="2.08"/>
        <n v="0.38"/>
        <n v="0.07"/>
        <n v="0.26"/>
        <n v="0.27"/>
        <n v="0.81"/>
        <n v="1.99"/>
        <n v="0.48"/>
        <n v="-0.02"/>
        <n v="0.54"/>
        <n v="-2.76"/>
        <n v="0.53"/>
        <n v="0.19"/>
        <n v="0.98"/>
        <n v="0.32"/>
        <n v="0.46"/>
        <n v="0.6"/>
        <n v="0.35"/>
        <n v="-2.73"/>
        <n v="0.23"/>
        <n v="-2.85"/>
        <n v="-2.19"/>
        <n v="0.52"/>
        <n v="1.86"/>
        <n v="0.16"/>
        <n v="-2.39"/>
        <n v="-2.46"/>
        <n v="0.14"/>
        <n v="0.09"/>
        <n v="0.68"/>
        <n v="5.19"/>
        <n v="0.85"/>
        <n v="0.13"/>
        <n v="-0.18"/>
        <n v="-0.28"/>
        <n v="2.3"/>
        <n v="-0.61"/>
        <n v="1.95"/>
        <n v="-0.91"/>
        <n v="-0.2"/>
        <n v="-0.44"/>
        <n v="-0.3"/>
        <n v="-0.32"/>
        <n v="-1.13"/>
        <n v="-1.6"/>
        <n v="2.05"/>
        <n v="0.37"/>
        <n v="-0.11"/>
        <n v="-0.63"/>
        <n v="-0.4"/>
        <n v="-0.48"/>
        <n v="-0.29"/>
        <n v="-0.31"/>
        <n v="-1.68"/>
        <n v="2.29"/>
        <m/>
      </sharedItems>
    </cacheField>
    <cacheField name="订购的商品数量：此客户群体订购的商品数量" numFmtId="0">
      <sharedItems containsString="0" containsBlank="1" containsNumber="1" containsInteger="1" minValue="0" maxValue="1482248" count="109">
        <n v="92750"/>
        <n v="958459"/>
        <n v="294495"/>
        <n v="136251"/>
        <n v="187945"/>
        <n v="426212"/>
        <n v="141277"/>
        <n v="70573"/>
        <n v="216972"/>
        <n v="627735"/>
        <n v="289814"/>
        <n v="79888"/>
        <n v="698998"/>
        <n v="740526"/>
        <n v="1130272"/>
        <n v="181835"/>
        <n v="165272"/>
        <n v="204678"/>
        <n v="694143"/>
        <n v="324613"/>
        <n v="218779"/>
        <n v="118434"/>
        <n v="209362"/>
        <n v="289501"/>
        <n v="744187"/>
        <n v="281793"/>
        <n v="88258"/>
        <n v="377927"/>
        <n v="130177"/>
        <n v="489643"/>
        <n v="541927"/>
        <n v="876812"/>
        <n v="193342"/>
        <n v="653295"/>
        <n v="269081"/>
        <n v="179801"/>
        <n v="80965"/>
        <n v="144955"/>
        <n v="169467"/>
        <n v="502613"/>
        <n v="84958"/>
        <n v="677943"/>
        <n v="104049"/>
        <n v="249252"/>
        <n v="166993"/>
        <n v="69245"/>
        <n v="63617"/>
        <n v="255062"/>
        <n v="121211"/>
        <n v="179406"/>
        <n v="285707"/>
        <n v="197823"/>
        <n v="725340"/>
        <n v="254341"/>
        <n v="166217"/>
        <n v="104496"/>
        <n v="258349"/>
        <n v="378497"/>
        <n v="191989"/>
        <n v="160545"/>
        <n v="78644"/>
        <n v="193668"/>
        <n v="248656"/>
        <n v="282690"/>
        <n v="571042"/>
        <n v="147691"/>
        <n v="182748"/>
        <n v="124504"/>
        <n v="534775"/>
        <n v="762553"/>
        <n v="122989"/>
        <n v="666103"/>
        <n v="176678"/>
        <n v="907709"/>
        <n v="491137"/>
        <n v="82235"/>
        <n v="62430"/>
        <n v="260533"/>
        <n v="677850"/>
        <n v="260179"/>
        <n v="70463"/>
        <n v="246747"/>
        <n v="186393"/>
        <n v="898866"/>
        <n v="243548"/>
        <n v="156934"/>
        <n v="1245596"/>
        <n v="566769"/>
        <n v="122733"/>
        <n v="749942"/>
        <n v="293539"/>
        <n v="370973"/>
        <n v="105862"/>
        <n v="183388"/>
        <n v="373322"/>
        <n v="1020860"/>
        <n v="948957"/>
        <n v="288825"/>
        <n v="94406"/>
        <n v="385679"/>
        <n v="394293"/>
        <n v="429696"/>
        <n v="292316"/>
        <n v="286913"/>
        <n v="221980"/>
        <n v="115181"/>
        <n v="993963"/>
        <n v="1482248"/>
        <m/>
      </sharedItems>
    </cacheField>
    <cacheField name="订购的商品总数" numFmtId="0">
      <sharedItems containsString="0" containsBlank="1" containsNumber="1" containsInteger="1" minValue="0" maxValue="2719759" count="5">
        <n v="2062404"/>
        <n v="1709513"/>
        <n v="1740029"/>
        <n v="2719759"/>
        <m/>
      </sharedItems>
    </cacheField>
    <cacheField name="订购的商品数量：占此客户群体订购的商品总数的百分比" numFmtId="0">
      <sharedItems containsString="0" containsBlank="1" containsNumber="1" minValue="0" maxValue="54.8" count="104">
        <n v="4.5"/>
        <n v="46.47"/>
        <n v="14.28"/>
        <n v="6.61"/>
        <n v="9.11"/>
        <n v="20.67"/>
        <n v="6.85"/>
        <n v="3.42"/>
        <n v="10.52"/>
        <n v="30.44"/>
        <n v="14.05"/>
        <n v="3.87"/>
        <n v="33.89"/>
        <n v="35.91"/>
        <n v="54.8"/>
        <n v="8.82"/>
        <n v="8.01"/>
        <n v="9.92"/>
        <n v="33.66"/>
        <n v="15.74"/>
        <n v="10.61"/>
        <n v="5.74"/>
        <n v="10.15"/>
        <n v="14.04"/>
        <n v="36.08"/>
        <n v="13.66"/>
        <n v="4.28"/>
        <n v="22.11"/>
        <n v="7.61"/>
        <n v="28.64"/>
        <n v="31.7"/>
        <n v="51.29"/>
        <n v="11.31"/>
        <n v="38.22"/>
        <n v="4.74"/>
        <n v="8.48"/>
        <n v="9.91"/>
        <n v="29.4"/>
        <n v="4.97"/>
        <n v="39.66"/>
        <n v="6.09"/>
        <n v="14.58"/>
        <n v="9.77"/>
        <n v="4.05"/>
        <n v="3.72"/>
        <n v="14.92"/>
        <n v="7.09"/>
        <n v="10.49"/>
        <n v="16.71"/>
        <n v="11.57"/>
        <n v="42.43"/>
        <n v="14.88"/>
        <n v="9.55"/>
        <n v="6.01"/>
        <n v="14.85"/>
        <n v="21.75"/>
        <n v="11.03"/>
        <n v="9.23"/>
        <n v="4.52"/>
        <n v="11.13"/>
        <n v="14.29"/>
        <n v="16.25"/>
        <n v="32.82"/>
        <n v="8.49"/>
        <n v="10.5"/>
        <n v="7.16"/>
        <n v="30.73"/>
        <n v="43.82"/>
        <n v="7.07"/>
        <n v="38.28"/>
        <n v="52.17"/>
        <n v="28.23"/>
        <n v="4.73"/>
        <n v="3.59"/>
        <n v="14.97"/>
        <n v="38.96"/>
        <n v="14.95"/>
        <n v="9.07"/>
        <n v="33.05"/>
        <n v="8.95"/>
        <n v="5.77"/>
        <n v="45.8"/>
        <n v="20.84"/>
        <n v="4.51"/>
        <n v="27.57"/>
        <n v="10.79"/>
        <n v="13.64"/>
        <n v="3.89"/>
        <n v="6.74"/>
        <n v="13.73"/>
        <n v="37.53"/>
        <n v="34.89"/>
        <n v="10.62"/>
        <n v="3.47"/>
        <n v="14.18"/>
        <n v="14.5"/>
        <n v="15.8"/>
        <n v="10.75"/>
        <n v="10.55"/>
        <n v="8.16"/>
        <n v="4.23"/>
        <n v="36.55"/>
        <n v="54.5"/>
        <m/>
      </sharedItems>
    </cacheField>
    <cacheField name="订购的商品数量：与上期环比，占此客户群体订购的商品数量的总变化量的百分比" numFmtId="0">
      <sharedItems containsString="0" containsBlank="1" containsNumber="1" minValue="-6" maxValue="5.3" count="94">
        <n v="-0.24"/>
        <n v="4.04"/>
        <n v="-0.64"/>
        <n v="-0.48"/>
        <n v="-1.38"/>
        <n v="-1.44"/>
        <n v="-0.76"/>
        <n v="-0.3"/>
        <n v="-0.79"/>
        <n v="1.8"/>
        <n v="-0.83"/>
        <n v="-0.18"/>
        <n v="4.49"/>
        <n v="4.21"/>
        <n v="3.51"/>
        <n v="-0.95"/>
        <n v="-0.47"/>
        <n v="0.01"/>
        <n v="-6"/>
        <n v="-0.97"/>
        <n v="-0.96"/>
        <n v="-0.35"/>
        <n v="-0.37"/>
        <n v="-0.54"/>
        <n v="-2.14"/>
        <n v="-2.08"/>
        <n v="-0.69"/>
        <n v="0.43"/>
        <n v="0.21"/>
        <n v="0.69"/>
        <n v="-2.65"/>
        <n v="-1.76"/>
        <n v="0.18"/>
        <n v="1.28"/>
        <n v="1.15"/>
        <n v="0.33"/>
        <n v="0.46"/>
        <n v="0.36"/>
        <n v="0.72"/>
        <n v="-2.99"/>
        <n v="0.26"/>
        <n v="1.96"/>
        <n v="0.4"/>
        <n v="-0.06"/>
        <n v="-0.22"/>
        <n v="0.19"/>
        <n v="0.27"/>
        <n v="0.82"/>
        <n v="2.03"/>
        <n v="0.48"/>
        <n v="0.51"/>
        <n v="-2.57"/>
        <n v="0.59"/>
        <n v="0.44"/>
        <n v="0.81"/>
        <n v="1.08"/>
        <n v="0.41"/>
        <n v="0.24"/>
        <n v="0.52"/>
        <n v="0.63"/>
        <n v="-3.09"/>
        <n v="0.35"/>
        <n v="0.31"/>
        <n v="-3.16"/>
        <n v="2.2"/>
        <n v="0.23"/>
        <n v="-2.63"/>
        <n v="-2.21"/>
        <n v="0.17"/>
        <n v="5.3"/>
        <n v="0.9"/>
        <n v="-0.16"/>
        <n v="-0.31"/>
        <n v="2.32"/>
        <n v="-0.6"/>
        <n v="1.98"/>
        <n v="-0.91"/>
        <n v="-0.66"/>
        <n v="-0.34"/>
        <n v="-0.65"/>
        <n v="-0.33"/>
        <n v="-1.22"/>
        <n v="-1.43"/>
        <n v="2.07"/>
        <n v="0.47"/>
        <n v="-0.12"/>
        <n v="-0.67"/>
        <n v="-0.45"/>
        <n v="-0.28"/>
        <n v="0.05"/>
        <n v="-0.29"/>
        <n v="-1.73"/>
        <n v="2.33"/>
        <m/>
      </sharedItems>
    </cacheField>
    <cacheField name="报告日期" numFmtId="176">
      <sharedItems containsBlank="1" containsDate="1" containsMixedTypes="1" count="10">
        <s v="2023Q4"/>
        <s v="2023Q3"/>
        <s v="2024Q1"/>
        <s v="2024Q2"/>
        <m/>
        <d v="2023-12-31T00:00:00" u="1"/>
        <d v="2023-09-30T00:00:00" u="1"/>
        <d v="2024-03-31T00:00:00" u="1"/>
        <s v="2024-06-30" u="1"/>
        <s v="报告日期" u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3">
  <r>
    <x v="0"/>
    <x v="0"/>
    <x v="0"/>
    <x v="0"/>
    <x v="0"/>
    <x v="0"/>
    <x v="0"/>
    <x v="0"/>
    <x v="0"/>
    <x v="0"/>
    <x v="0"/>
    <x v="0"/>
  </r>
  <r>
    <x v="0"/>
    <x v="0"/>
    <x v="1"/>
    <x v="1"/>
    <x v="0"/>
    <x v="1"/>
    <x v="1"/>
    <x v="1"/>
    <x v="0"/>
    <x v="1"/>
    <x v="1"/>
    <x v="0"/>
  </r>
  <r>
    <x v="0"/>
    <x v="1"/>
    <x v="2"/>
    <x v="2"/>
    <x v="0"/>
    <x v="2"/>
    <x v="2"/>
    <x v="2"/>
    <x v="0"/>
    <x v="2"/>
    <x v="2"/>
    <x v="0"/>
  </r>
  <r>
    <x v="0"/>
    <x v="1"/>
    <x v="3"/>
    <x v="3"/>
    <x v="0"/>
    <x v="3"/>
    <x v="3"/>
    <x v="3"/>
    <x v="0"/>
    <x v="3"/>
    <x v="3"/>
    <x v="0"/>
  </r>
  <r>
    <x v="0"/>
    <x v="2"/>
    <x v="4"/>
    <x v="4"/>
    <x v="0"/>
    <x v="4"/>
    <x v="4"/>
    <x v="4"/>
    <x v="0"/>
    <x v="4"/>
    <x v="4"/>
    <x v="0"/>
  </r>
  <r>
    <x v="0"/>
    <x v="1"/>
    <x v="5"/>
    <x v="5"/>
    <x v="0"/>
    <x v="5"/>
    <x v="5"/>
    <x v="5"/>
    <x v="0"/>
    <x v="5"/>
    <x v="5"/>
    <x v="0"/>
  </r>
  <r>
    <x v="0"/>
    <x v="0"/>
    <x v="6"/>
    <x v="6"/>
    <x v="0"/>
    <x v="6"/>
    <x v="6"/>
    <x v="6"/>
    <x v="0"/>
    <x v="6"/>
    <x v="6"/>
    <x v="0"/>
  </r>
  <r>
    <x v="0"/>
    <x v="0"/>
    <x v="7"/>
    <x v="7"/>
    <x v="0"/>
    <x v="7"/>
    <x v="7"/>
    <x v="7"/>
    <x v="0"/>
    <x v="7"/>
    <x v="7"/>
    <x v="0"/>
  </r>
  <r>
    <x v="0"/>
    <x v="0"/>
    <x v="8"/>
    <x v="8"/>
    <x v="0"/>
    <x v="8"/>
    <x v="8"/>
    <x v="8"/>
    <x v="0"/>
    <x v="8"/>
    <x v="8"/>
    <x v="0"/>
  </r>
  <r>
    <x v="0"/>
    <x v="3"/>
    <x v="9"/>
    <x v="9"/>
    <x v="0"/>
    <x v="9"/>
    <x v="9"/>
    <x v="9"/>
    <x v="0"/>
    <x v="9"/>
    <x v="9"/>
    <x v="0"/>
  </r>
  <r>
    <x v="0"/>
    <x v="4"/>
    <x v="10"/>
    <x v="10"/>
    <x v="0"/>
    <x v="10"/>
    <x v="10"/>
    <x v="10"/>
    <x v="0"/>
    <x v="10"/>
    <x v="10"/>
    <x v="0"/>
  </r>
  <r>
    <x v="0"/>
    <x v="0"/>
    <x v="11"/>
    <x v="11"/>
    <x v="0"/>
    <x v="11"/>
    <x v="11"/>
    <x v="11"/>
    <x v="0"/>
    <x v="11"/>
    <x v="11"/>
    <x v="0"/>
  </r>
  <r>
    <x v="0"/>
    <x v="4"/>
    <x v="1"/>
    <x v="12"/>
    <x v="0"/>
    <x v="12"/>
    <x v="12"/>
    <x v="12"/>
    <x v="0"/>
    <x v="12"/>
    <x v="12"/>
    <x v="0"/>
  </r>
  <r>
    <x v="0"/>
    <x v="3"/>
    <x v="1"/>
    <x v="13"/>
    <x v="0"/>
    <x v="13"/>
    <x v="13"/>
    <x v="13"/>
    <x v="0"/>
    <x v="13"/>
    <x v="13"/>
    <x v="0"/>
  </r>
  <r>
    <x v="0"/>
    <x v="2"/>
    <x v="1"/>
    <x v="14"/>
    <x v="0"/>
    <x v="14"/>
    <x v="14"/>
    <x v="14"/>
    <x v="0"/>
    <x v="14"/>
    <x v="14"/>
    <x v="0"/>
  </r>
  <r>
    <x v="0"/>
    <x v="1"/>
    <x v="12"/>
    <x v="15"/>
    <x v="0"/>
    <x v="15"/>
    <x v="15"/>
    <x v="15"/>
    <x v="0"/>
    <x v="15"/>
    <x v="15"/>
    <x v="0"/>
  </r>
  <r>
    <x v="0"/>
    <x v="0"/>
    <x v="13"/>
    <x v="16"/>
    <x v="0"/>
    <x v="16"/>
    <x v="16"/>
    <x v="16"/>
    <x v="0"/>
    <x v="16"/>
    <x v="16"/>
    <x v="0"/>
  </r>
  <r>
    <x v="0"/>
    <x v="4"/>
    <x v="14"/>
    <x v="17"/>
    <x v="0"/>
    <x v="17"/>
    <x v="17"/>
    <x v="17"/>
    <x v="0"/>
    <x v="17"/>
    <x v="17"/>
    <x v="0"/>
  </r>
  <r>
    <x v="0"/>
    <x v="1"/>
    <x v="1"/>
    <x v="12"/>
    <x v="0"/>
    <x v="12"/>
    <x v="12"/>
    <x v="12"/>
    <x v="0"/>
    <x v="12"/>
    <x v="12"/>
    <x v="0"/>
  </r>
  <r>
    <x v="0"/>
    <x v="3"/>
    <x v="15"/>
    <x v="18"/>
    <x v="0"/>
    <x v="18"/>
    <x v="18"/>
    <x v="18"/>
    <x v="0"/>
    <x v="18"/>
    <x v="18"/>
    <x v="0"/>
  </r>
  <r>
    <x v="0"/>
    <x v="1"/>
    <x v="16"/>
    <x v="19"/>
    <x v="0"/>
    <x v="19"/>
    <x v="19"/>
    <x v="19"/>
    <x v="0"/>
    <x v="19"/>
    <x v="19"/>
    <x v="0"/>
  </r>
  <r>
    <x v="0"/>
    <x v="0"/>
    <x v="17"/>
    <x v="20"/>
    <x v="0"/>
    <x v="8"/>
    <x v="20"/>
    <x v="20"/>
    <x v="0"/>
    <x v="20"/>
    <x v="20"/>
    <x v="0"/>
  </r>
  <r>
    <x v="0"/>
    <x v="0"/>
    <x v="18"/>
    <x v="21"/>
    <x v="0"/>
    <x v="20"/>
    <x v="21"/>
    <x v="21"/>
    <x v="0"/>
    <x v="21"/>
    <x v="21"/>
    <x v="0"/>
  </r>
  <r>
    <x v="0"/>
    <x v="4"/>
    <x v="19"/>
    <x v="22"/>
    <x v="0"/>
    <x v="21"/>
    <x v="22"/>
    <x v="22"/>
    <x v="0"/>
    <x v="22"/>
    <x v="22"/>
    <x v="0"/>
  </r>
  <r>
    <x v="0"/>
    <x v="4"/>
    <x v="20"/>
    <x v="23"/>
    <x v="0"/>
    <x v="22"/>
    <x v="23"/>
    <x v="23"/>
    <x v="0"/>
    <x v="23"/>
    <x v="23"/>
    <x v="0"/>
  </r>
  <r>
    <x v="0"/>
    <x v="2"/>
    <x v="21"/>
    <x v="24"/>
    <x v="0"/>
    <x v="23"/>
    <x v="24"/>
    <x v="24"/>
    <x v="0"/>
    <x v="24"/>
    <x v="24"/>
    <x v="0"/>
  </r>
  <r>
    <x v="0"/>
    <x v="4"/>
    <x v="22"/>
    <x v="25"/>
    <x v="0"/>
    <x v="24"/>
    <x v="25"/>
    <x v="25"/>
    <x v="0"/>
    <x v="25"/>
    <x v="25"/>
    <x v="0"/>
  </r>
  <r>
    <x v="0"/>
    <x v="4"/>
    <x v="23"/>
    <x v="26"/>
    <x v="0"/>
    <x v="25"/>
    <x v="26"/>
    <x v="26"/>
    <x v="0"/>
    <x v="26"/>
    <x v="26"/>
    <x v="0"/>
  </r>
  <r>
    <x v="0"/>
    <x v="1"/>
    <x v="5"/>
    <x v="27"/>
    <x v="1"/>
    <x v="26"/>
    <x v="27"/>
    <x v="27"/>
    <x v="1"/>
    <x v="27"/>
    <x v="27"/>
    <x v="1"/>
  </r>
  <r>
    <x v="0"/>
    <x v="0"/>
    <x v="6"/>
    <x v="28"/>
    <x v="1"/>
    <x v="27"/>
    <x v="28"/>
    <x v="28"/>
    <x v="1"/>
    <x v="28"/>
    <x v="28"/>
    <x v="1"/>
  </r>
  <r>
    <x v="0"/>
    <x v="3"/>
    <x v="9"/>
    <x v="29"/>
    <x v="1"/>
    <x v="28"/>
    <x v="29"/>
    <x v="29"/>
    <x v="1"/>
    <x v="29"/>
    <x v="29"/>
    <x v="1"/>
  </r>
  <r>
    <x v="0"/>
    <x v="3"/>
    <x v="1"/>
    <x v="30"/>
    <x v="1"/>
    <x v="29"/>
    <x v="30"/>
    <x v="30"/>
    <x v="1"/>
    <x v="30"/>
    <x v="30"/>
    <x v="1"/>
  </r>
  <r>
    <x v="0"/>
    <x v="2"/>
    <x v="1"/>
    <x v="31"/>
    <x v="1"/>
    <x v="30"/>
    <x v="31"/>
    <x v="31"/>
    <x v="1"/>
    <x v="31"/>
    <x v="31"/>
    <x v="1"/>
  </r>
  <r>
    <x v="0"/>
    <x v="0"/>
    <x v="8"/>
    <x v="32"/>
    <x v="1"/>
    <x v="31"/>
    <x v="32"/>
    <x v="32"/>
    <x v="1"/>
    <x v="32"/>
    <x v="32"/>
    <x v="1"/>
  </r>
  <r>
    <x v="0"/>
    <x v="2"/>
    <x v="21"/>
    <x v="33"/>
    <x v="1"/>
    <x v="32"/>
    <x v="33"/>
    <x v="33"/>
    <x v="1"/>
    <x v="33"/>
    <x v="33"/>
    <x v="1"/>
  </r>
  <r>
    <x v="0"/>
    <x v="4"/>
    <x v="22"/>
    <x v="34"/>
    <x v="1"/>
    <x v="33"/>
    <x v="34"/>
    <x v="34"/>
    <x v="1"/>
    <x v="19"/>
    <x v="34"/>
    <x v="1"/>
  </r>
  <r>
    <x v="0"/>
    <x v="4"/>
    <x v="19"/>
    <x v="35"/>
    <x v="1"/>
    <x v="34"/>
    <x v="35"/>
    <x v="35"/>
    <x v="1"/>
    <x v="8"/>
    <x v="35"/>
    <x v="1"/>
  </r>
  <r>
    <x v="0"/>
    <x v="0"/>
    <x v="0"/>
    <x v="36"/>
    <x v="1"/>
    <x v="35"/>
    <x v="36"/>
    <x v="36"/>
    <x v="1"/>
    <x v="34"/>
    <x v="36"/>
    <x v="1"/>
  </r>
  <r>
    <x v="0"/>
    <x v="0"/>
    <x v="13"/>
    <x v="37"/>
    <x v="1"/>
    <x v="36"/>
    <x v="37"/>
    <x v="37"/>
    <x v="1"/>
    <x v="35"/>
    <x v="37"/>
    <x v="1"/>
  </r>
  <r>
    <x v="0"/>
    <x v="4"/>
    <x v="14"/>
    <x v="38"/>
    <x v="1"/>
    <x v="37"/>
    <x v="38"/>
    <x v="38"/>
    <x v="1"/>
    <x v="36"/>
    <x v="38"/>
    <x v="1"/>
  </r>
  <r>
    <x v="0"/>
    <x v="1"/>
    <x v="1"/>
    <x v="39"/>
    <x v="1"/>
    <x v="38"/>
    <x v="39"/>
    <x v="39"/>
    <x v="1"/>
    <x v="37"/>
    <x v="39"/>
    <x v="1"/>
  </r>
  <r>
    <x v="0"/>
    <x v="4"/>
    <x v="23"/>
    <x v="40"/>
    <x v="1"/>
    <x v="39"/>
    <x v="40"/>
    <x v="40"/>
    <x v="1"/>
    <x v="38"/>
    <x v="40"/>
    <x v="1"/>
  </r>
  <r>
    <x v="0"/>
    <x v="3"/>
    <x v="15"/>
    <x v="41"/>
    <x v="1"/>
    <x v="40"/>
    <x v="41"/>
    <x v="41"/>
    <x v="1"/>
    <x v="39"/>
    <x v="41"/>
    <x v="1"/>
  </r>
  <r>
    <x v="0"/>
    <x v="0"/>
    <x v="18"/>
    <x v="42"/>
    <x v="1"/>
    <x v="41"/>
    <x v="42"/>
    <x v="42"/>
    <x v="1"/>
    <x v="40"/>
    <x v="42"/>
    <x v="1"/>
  </r>
  <r>
    <x v="0"/>
    <x v="4"/>
    <x v="20"/>
    <x v="43"/>
    <x v="1"/>
    <x v="42"/>
    <x v="43"/>
    <x v="43"/>
    <x v="1"/>
    <x v="41"/>
    <x v="43"/>
    <x v="1"/>
  </r>
  <r>
    <x v="0"/>
    <x v="1"/>
    <x v="12"/>
    <x v="44"/>
    <x v="1"/>
    <x v="43"/>
    <x v="0"/>
    <x v="44"/>
    <x v="1"/>
    <x v="42"/>
    <x v="44"/>
    <x v="1"/>
  </r>
  <r>
    <x v="0"/>
    <x v="0"/>
    <x v="11"/>
    <x v="45"/>
    <x v="1"/>
    <x v="44"/>
    <x v="44"/>
    <x v="45"/>
    <x v="1"/>
    <x v="43"/>
    <x v="45"/>
    <x v="1"/>
  </r>
  <r>
    <x v="0"/>
    <x v="0"/>
    <x v="7"/>
    <x v="46"/>
    <x v="1"/>
    <x v="45"/>
    <x v="45"/>
    <x v="46"/>
    <x v="1"/>
    <x v="44"/>
    <x v="46"/>
    <x v="1"/>
  </r>
  <r>
    <x v="0"/>
    <x v="1"/>
    <x v="2"/>
    <x v="47"/>
    <x v="1"/>
    <x v="46"/>
    <x v="46"/>
    <x v="47"/>
    <x v="1"/>
    <x v="45"/>
    <x v="47"/>
    <x v="1"/>
  </r>
  <r>
    <x v="0"/>
    <x v="1"/>
    <x v="3"/>
    <x v="48"/>
    <x v="1"/>
    <x v="47"/>
    <x v="47"/>
    <x v="48"/>
    <x v="1"/>
    <x v="46"/>
    <x v="48"/>
    <x v="1"/>
  </r>
  <r>
    <x v="0"/>
    <x v="2"/>
    <x v="4"/>
    <x v="49"/>
    <x v="1"/>
    <x v="48"/>
    <x v="48"/>
    <x v="49"/>
    <x v="1"/>
    <x v="47"/>
    <x v="49"/>
    <x v="1"/>
  </r>
  <r>
    <x v="0"/>
    <x v="4"/>
    <x v="1"/>
    <x v="39"/>
    <x v="1"/>
    <x v="38"/>
    <x v="39"/>
    <x v="39"/>
    <x v="1"/>
    <x v="37"/>
    <x v="39"/>
    <x v="1"/>
  </r>
  <r>
    <x v="0"/>
    <x v="1"/>
    <x v="16"/>
    <x v="50"/>
    <x v="1"/>
    <x v="49"/>
    <x v="49"/>
    <x v="50"/>
    <x v="1"/>
    <x v="48"/>
    <x v="43"/>
    <x v="1"/>
  </r>
  <r>
    <x v="0"/>
    <x v="0"/>
    <x v="17"/>
    <x v="51"/>
    <x v="1"/>
    <x v="50"/>
    <x v="50"/>
    <x v="51"/>
    <x v="1"/>
    <x v="49"/>
    <x v="50"/>
    <x v="1"/>
  </r>
  <r>
    <x v="0"/>
    <x v="0"/>
    <x v="1"/>
    <x v="52"/>
    <x v="1"/>
    <x v="51"/>
    <x v="51"/>
    <x v="52"/>
    <x v="1"/>
    <x v="50"/>
    <x v="51"/>
    <x v="1"/>
  </r>
  <r>
    <x v="0"/>
    <x v="4"/>
    <x v="10"/>
    <x v="53"/>
    <x v="1"/>
    <x v="52"/>
    <x v="50"/>
    <x v="53"/>
    <x v="1"/>
    <x v="51"/>
    <x v="52"/>
    <x v="1"/>
  </r>
  <r>
    <x v="0"/>
    <x v="2"/>
    <x v="4"/>
    <x v="54"/>
    <x v="2"/>
    <x v="53"/>
    <x v="52"/>
    <x v="54"/>
    <x v="2"/>
    <x v="52"/>
    <x v="53"/>
    <x v="2"/>
  </r>
  <r>
    <x v="0"/>
    <x v="0"/>
    <x v="18"/>
    <x v="55"/>
    <x v="2"/>
    <x v="54"/>
    <x v="53"/>
    <x v="55"/>
    <x v="2"/>
    <x v="53"/>
    <x v="46"/>
    <x v="2"/>
  </r>
  <r>
    <x v="0"/>
    <x v="4"/>
    <x v="20"/>
    <x v="56"/>
    <x v="2"/>
    <x v="55"/>
    <x v="38"/>
    <x v="56"/>
    <x v="2"/>
    <x v="54"/>
    <x v="54"/>
    <x v="2"/>
  </r>
  <r>
    <x v="0"/>
    <x v="1"/>
    <x v="5"/>
    <x v="57"/>
    <x v="2"/>
    <x v="56"/>
    <x v="54"/>
    <x v="57"/>
    <x v="2"/>
    <x v="55"/>
    <x v="55"/>
    <x v="2"/>
  </r>
  <r>
    <x v="0"/>
    <x v="0"/>
    <x v="8"/>
    <x v="58"/>
    <x v="2"/>
    <x v="57"/>
    <x v="52"/>
    <x v="58"/>
    <x v="2"/>
    <x v="56"/>
    <x v="50"/>
    <x v="2"/>
  </r>
  <r>
    <x v="0"/>
    <x v="1"/>
    <x v="12"/>
    <x v="59"/>
    <x v="2"/>
    <x v="58"/>
    <x v="55"/>
    <x v="59"/>
    <x v="2"/>
    <x v="57"/>
    <x v="56"/>
    <x v="2"/>
  </r>
  <r>
    <x v="0"/>
    <x v="4"/>
    <x v="23"/>
    <x v="60"/>
    <x v="2"/>
    <x v="59"/>
    <x v="44"/>
    <x v="60"/>
    <x v="2"/>
    <x v="58"/>
    <x v="57"/>
    <x v="2"/>
  </r>
  <r>
    <x v="0"/>
    <x v="0"/>
    <x v="17"/>
    <x v="61"/>
    <x v="2"/>
    <x v="60"/>
    <x v="56"/>
    <x v="61"/>
    <x v="2"/>
    <x v="59"/>
    <x v="58"/>
    <x v="2"/>
  </r>
  <r>
    <x v="0"/>
    <x v="4"/>
    <x v="22"/>
    <x v="62"/>
    <x v="2"/>
    <x v="61"/>
    <x v="57"/>
    <x v="62"/>
    <x v="2"/>
    <x v="60"/>
    <x v="59"/>
    <x v="2"/>
  </r>
  <r>
    <x v="0"/>
    <x v="1"/>
    <x v="16"/>
    <x v="63"/>
    <x v="2"/>
    <x v="62"/>
    <x v="58"/>
    <x v="63"/>
    <x v="2"/>
    <x v="61"/>
    <x v="50"/>
    <x v="2"/>
  </r>
  <r>
    <x v="0"/>
    <x v="3"/>
    <x v="1"/>
    <x v="64"/>
    <x v="2"/>
    <x v="63"/>
    <x v="59"/>
    <x v="64"/>
    <x v="2"/>
    <x v="62"/>
    <x v="60"/>
    <x v="2"/>
  </r>
  <r>
    <x v="0"/>
    <x v="0"/>
    <x v="13"/>
    <x v="65"/>
    <x v="2"/>
    <x v="64"/>
    <x v="36"/>
    <x v="65"/>
    <x v="2"/>
    <x v="63"/>
    <x v="49"/>
    <x v="2"/>
  </r>
  <r>
    <x v="0"/>
    <x v="4"/>
    <x v="19"/>
    <x v="66"/>
    <x v="2"/>
    <x v="65"/>
    <x v="44"/>
    <x v="66"/>
    <x v="2"/>
    <x v="64"/>
    <x v="61"/>
    <x v="2"/>
  </r>
  <r>
    <x v="0"/>
    <x v="0"/>
    <x v="6"/>
    <x v="67"/>
    <x v="2"/>
    <x v="66"/>
    <x v="60"/>
    <x v="67"/>
    <x v="2"/>
    <x v="65"/>
    <x v="62"/>
    <x v="2"/>
  </r>
  <r>
    <x v="0"/>
    <x v="1"/>
    <x v="1"/>
    <x v="68"/>
    <x v="2"/>
    <x v="67"/>
    <x v="61"/>
    <x v="68"/>
    <x v="2"/>
    <x v="66"/>
    <x v="63"/>
    <x v="2"/>
  </r>
  <r>
    <x v="0"/>
    <x v="0"/>
    <x v="1"/>
    <x v="69"/>
    <x v="2"/>
    <x v="68"/>
    <x v="62"/>
    <x v="69"/>
    <x v="2"/>
    <x v="67"/>
    <x v="30"/>
    <x v="2"/>
  </r>
  <r>
    <x v="0"/>
    <x v="1"/>
    <x v="3"/>
    <x v="70"/>
    <x v="2"/>
    <x v="69"/>
    <x v="63"/>
    <x v="70"/>
    <x v="2"/>
    <x v="68"/>
    <x v="36"/>
    <x v="2"/>
  </r>
  <r>
    <x v="0"/>
    <x v="2"/>
    <x v="21"/>
    <x v="71"/>
    <x v="2"/>
    <x v="70"/>
    <x v="64"/>
    <x v="71"/>
    <x v="2"/>
    <x v="69"/>
    <x v="64"/>
    <x v="2"/>
  </r>
  <r>
    <x v="0"/>
    <x v="4"/>
    <x v="1"/>
    <x v="68"/>
    <x v="2"/>
    <x v="67"/>
    <x v="61"/>
    <x v="68"/>
    <x v="2"/>
    <x v="66"/>
    <x v="63"/>
    <x v="2"/>
  </r>
  <r>
    <x v="0"/>
    <x v="4"/>
    <x v="14"/>
    <x v="72"/>
    <x v="2"/>
    <x v="71"/>
    <x v="65"/>
    <x v="72"/>
    <x v="2"/>
    <x v="22"/>
    <x v="65"/>
    <x v="2"/>
  </r>
  <r>
    <x v="0"/>
    <x v="2"/>
    <x v="1"/>
    <x v="73"/>
    <x v="2"/>
    <x v="72"/>
    <x v="66"/>
    <x v="73"/>
    <x v="2"/>
    <x v="70"/>
    <x v="66"/>
    <x v="2"/>
  </r>
  <r>
    <x v="0"/>
    <x v="3"/>
    <x v="9"/>
    <x v="74"/>
    <x v="2"/>
    <x v="73"/>
    <x v="67"/>
    <x v="74"/>
    <x v="2"/>
    <x v="71"/>
    <x v="67"/>
    <x v="2"/>
  </r>
  <r>
    <x v="0"/>
    <x v="0"/>
    <x v="0"/>
    <x v="75"/>
    <x v="2"/>
    <x v="74"/>
    <x v="68"/>
    <x v="75"/>
    <x v="2"/>
    <x v="72"/>
    <x v="65"/>
    <x v="2"/>
  </r>
  <r>
    <x v="0"/>
    <x v="0"/>
    <x v="7"/>
    <x v="76"/>
    <x v="2"/>
    <x v="75"/>
    <x v="69"/>
    <x v="76"/>
    <x v="2"/>
    <x v="73"/>
    <x v="68"/>
    <x v="2"/>
  </r>
  <r>
    <x v="0"/>
    <x v="1"/>
    <x v="2"/>
    <x v="77"/>
    <x v="2"/>
    <x v="46"/>
    <x v="70"/>
    <x v="77"/>
    <x v="2"/>
    <x v="74"/>
    <x v="29"/>
    <x v="2"/>
  </r>
  <r>
    <x v="0"/>
    <x v="3"/>
    <x v="15"/>
    <x v="78"/>
    <x v="2"/>
    <x v="76"/>
    <x v="71"/>
    <x v="78"/>
    <x v="2"/>
    <x v="75"/>
    <x v="69"/>
    <x v="2"/>
  </r>
  <r>
    <x v="0"/>
    <x v="4"/>
    <x v="10"/>
    <x v="79"/>
    <x v="2"/>
    <x v="77"/>
    <x v="72"/>
    <x v="79"/>
    <x v="2"/>
    <x v="76"/>
    <x v="70"/>
    <x v="2"/>
  </r>
  <r>
    <x v="0"/>
    <x v="0"/>
    <x v="11"/>
    <x v="80"/>
    <x v="2"/>
    <x v="78"/>
    <x v="73"/>
    <x v="80"/>
    <x v="2"/>
    <x v="43"/>
    <x v="32"/>
    <x v="2"/>
  </r>
  <r>
    <x v="0"/>
    <x v="1"/>
    <x v="12"/>
    <x v="81"/>
    <x v="3"/>
    <x v="79"/>
    <x v="74"/>
    <x v="81"/>
    <x v="3"/>
    <x v="77"/>
    <x v="71"/>
    <x v="3"/>
  </r>
  <r>
    <x v="0"/>
    <x v="0"/>
    <x v="6"/>
    <x v="82"/>
    <x v="3"/>
    <x v="80"/>
    <x v="75"/>
    <x v="82"/>
    <x v="3"/>
    <x v="6"/>
    <x v="72"/>
    <x v="3"/>
  </r>
  <r>
    <x v="0"/>
    <x v="1"/>
    <x v="1"/>
    <x v="83"/>
    <x v="3"/>
    <x v="81"/>
    <x v="76"/>
    <x v="83"/>
    <x v="3"/>
    <x v="78"/>
    <x v="73"/>
    <x v="3"/>
  </r>
  <r>
    <x v="0"/>
    <x v="2"/>
    <x v="4"/>
    <x v="84"/>
    <x v="3"/>
    <x v="82"/>
    <x v="77"/>
    <x v="84"/>
    <x v="3"/>
    <x v="79"/>
    <x v="74"/>
    <x v="3"/>
  </r>
  <r>
    <x v="0"/>
    <x v="0"/>
    <x v="18"/>
    <x v="85"/>
    <x v="3"/>
    <x v="83"/>
    <x v="75"/>
    <x v="85"/>
    <x v="3"/>
    <x v="80"/>
    <x v="0"/>
    <x v="3"/>
  </r>
  <r>
    <x v="0"/>
    <x v="0"/>
    <x v="1"/>
    <x v="86"/>
    <x v="3"/>
    <x v="84"/>
    <x v="78"/>
    <x v="86"/>
    <x v="3"/>
    <x v="81"/>
    <x v="75"/>
    <x v="3"/>
  </r>
  <r>
    <x v="0"/>
    <x v="1"/>
    <x v="5"/>
    <x v="87"/>
    <x v="3"/>
    <x v="85"/>
    <x v="79"/>
    <x v="87"/>
    <x v="3"/>
    <x v="82"/>
    <x v="76"/>
    <x v="3"/>
  </r>
  <r>
    <x v="0"/>
    <x v="0"/>
    <x v="0"/>
    <x v="88"/>
    <x v="3"/>
    <x v="86"/>
    <x v="80"/>
    <x v="88"/>
    <x v="3"/>
    <x v="83"/>
    <x v="44"/>
    <x v="3"/>
  </r>
  <r>
    <x v="0"/>
    <x v="3"/>
    <x v="9"/>
    <x v="89"/>
    <x v="3"/>
    <x v="87"/>
    <x v="81"/>
    <x v="89"/>
    <x v="3"/>
    <x v="84"/>
    <x v="77"/>
    <x v="3"/>
  </r>
  <r>
    <x v="0"/>
    <x v="0"/>
    <x v="17"/>
    <x v="90"/>
    <x v="3"/>
    <x v="88"/>
    <x v="82"/>
    <x v="90"/>
    <x v="3"/>
    <x v="85"/>
    <x v="78"/>
    <x v="3"/>
  </r>
  <r>
    <x v="0"/>
    <x v="4"/>
    <x v="22"/>
    <x v="91"/>
    <x v="3"/>
    <x v="89"/>
    <x v="77"/>
    <x v="91"/>
    <x v="3"/>
    <x v="86"/>
    <x v="79"/>
    <x v="3"/>
  </r>
  <r>
    <x v="0"/>
    <x v="0"/>
    <x v="11"/>
    <x v="92"/>
    <x v="3"/>
    <x v="90"/>
    <x v="11"/>
    <x v="92"/>
    <x v="3"/>
    <x v="87"/>
    <x v="71"/>
    <x v="3"/>
  </r>
  <r>
    <x v="0"/>
    <x v="1"/>
    <x v="3"/>
    <x v="93"/>
    <x v="3"/>
    <x v="91"/>
    <x v="83"/>
    <x v="93"/>
    <x v="3"/>
    <x v="88"/>
    <x v="80"/>
    <x v="3"/>
  </r>
  <r>
    <x v="0"/>
    <x v="4"/>
    <x v="10"/>
    <x v="94"/>
    <x v="3"/>
    <x v="92"/>
    <x v="84"/>
    <x v="94"/>
    <x v="3"/>
    <x v="89"/>
    <x v="81"/>
    <x v="3"/>
  </r>
  <r>
    <x v="0"/>
    <x v="3"/>
    <x v="15"/>
    <x v="95"/>
    <x v="3"/>
    <x v="93"/>
    <x v="85"/>
    <x v="95"/>
    <x v="3"/>
    <x v="90"/>
    <x v="82"/>
    <x v="3"/>
  </r>
  <r>
    <x v="0"/>
    <x v="3"/>
    <x v="1"/>
    <x v="96"/>
    <x v="3"/>
    <x v="94"/>
    <x v="86"/>
    <x v="96"/>
    <x v="3"/>
    <x v="91"/>
    <x v="83"/>
    <x v="3"/>
  </r>
  <r>
    <x v="0"/>
    <x v="4"/>
    <x v="14"/>
    <x v="97"/>
    <x v="3"/>
    <x v="95"/>
    <x v="87"/>
    <x v="97"/>
    <x v="3"/>
    <x v="92"/>
    <x v="84"/>
    <x v="3"/>
  </r>
  <r>
    <x v="0"/>
    <x v="0"/>
    <x v="7"/>
    <x v="98"/>
    <x v="3"/>
    <x v="96"/>
    <x v="88"/>
    <x v="98"/>
    <x v="3"/>
    <x v="93"/>
    <x v="85"/>
    <x v="3"/>
  </r>
  <r>
    <x v="0"/>
    <x v="4"/>
    <x v="20"/>
    <x v="99"/>
    <x v="3"/>
    <x v="97"/>
    <x v="89"/>
    <x v="99"/>
    <x v="3"/>
    <x v="94"/>
    <x v="86"/>
    <x v="3"/>
  </r>
  <r>
    <x v="0"/>
    <x v="1"/>
    <x v="2"/>
    <x v="100"/>
    <x v="3"/>
    <x v="98"/>
    <x v="90"/>
    <x v="100"/>
    <x v="3"/>
    <x v="95"/>
    <x v="16"/>
    <x v="3"/>
  </r>
  <r>
    <x v="0"/>
    <x v="1"/>
    <x v="16"/>
    <x v="101"/>
    <x v="3"/>
    <x v="99"/>
    <x v="91"/>
    <x v="101"/>
    <x v="3"/>
    <x v="96"/>
    <x v="87"/>
    <x v="3"/>
  </r>
  <r>
    <x v="0"/>
    <x v="0"/>
    <x v="8"/>
    <x v="102"/>
    <x v="3"/>
    <x v="100"/>
    <x v="92"/>
    <x v="102"/>
    <x v="3"/>
    <x v="97"/>
    <x v="88"/>
    <x v="3"/>
  </r>
  <r>
    <x v="0"/>
    <x v="4"/>
    <x v="19"/>
    <x v="103"/>
    <x v="3"/>
    <x v="101"/>
    <x v="49"/>
    <x v="103"/>
    <x v="3"/>
    <x v="98"/>
    <x v="89"/>
    <x v="3"/>
  </r>
  <r>
    <x v="0"/>
    <x v="0"/>
    <x v="13"/>
    <x v="104"/>
    <x v="3"/>
    <x v="102"/>
    <x v="93"/>
    <x v="104"/>
    <x v="3"/>
    <x v="99"/>
    <x v="80"/>
    <x v="3"/>
  </r>
  <r>
    <x v="0"/>
    <x v="4"/>
    <x v="23"/>
    <x v="105"/>
    <x v="3"/>
    <x v="103"/>
    <x v="22"/>
    <x v="105"/>
    <x v="3"/>
    <x v="100"/>
    <x v="90"/>
    <x v="3"/>
  </r>
  <r>
    <x v="0"/>
    <x v="2"/>
    <x v="21"/>
    <x v="106"/>
    <x v="3"/>
    <x v="104"/>
    <x v="94"/>
    <x v="106"/>
    <x v="3"/>
    <x v="101"/>
    <x v="91"/>
    <x v="3"/>
  </r>
  <r>
    <x v="0"/>
    <x v="4"/>
    <x v="1"/>
    <x v="83"/>
    <x v="3"/>
    <x v="81"/>
    <x v="76"/>
    <x v="83"/>
    <x v="3"/>
    <x v="78"/>
    <x v="73"/>
    <x v="3"/>
  </r>
  <r>
    <x v="0"/>
    <x v="2"/>
    <x v="1"/>
    <x v="107"/>
    <x v="3"/>
    <x v="105"/>
    <x v="95"/>
    <x v="107"/>
    <x v="3"/>
    <x v="102"/>
    <x v="92"/>
    <x v="3"/>
  </r>
  <r>
    <x v="1"/>
    <x v="5"/>
    <x v="24"/>
    <x v="108"/>
    <x v="4"/>
    <x v="106"/>
    <x v="96"/>
    <x v="108"/>
    <x v="4"/>
    <x v="103"/>
    <x v="9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6" cacheId="0" dataOnRows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56:F60" firstHeaderRow="1" firstDataRow="2" firstDataCol="1" rowPageCount="1" colPageCount="1"/>
  <pivotFields count="12">
    <pivotField compact="0" showAll="0">
      <items count="3">
        <item x="0"/>
        <item x="1"/>
        <item t="default"/>
      </items>
    </pivotField>
    <pivotField axis="axisPage" compact="0" showAll="0">
      <items count="8">
        <item x="4"/>
        <item x="1"/>
        <item x="3"/>
        <item x="0"/>
        <item x="2"/>
        <item m="1" x="6"/>
        <item x="5"/>
        <item t="default"/>
      </items>
    </pivotField>
    <pivotField axis="axisRow" compact="0" sortType="ascending" multipleItemSelectionAllowed="1" showAll="0">
      <items count="35">
        <item x="8"/>
        <item m="1" x="26"/>
        <item m="1" x="30"/>
        <item m="1" x="27"/>
        <item m="1" x="29"/>
        <item x="23"/>
        <item x="17"/>
        <item m="1" x="25"/>
        <item m="1" x="32"/>
        <item x="22"/>
        <item x="6"/>
        <item x="10"/>
        <item x="13"/>
        <item x="20"/>
        <item x="7"/>
        <item m="1" x="28"/>
        <item x="19"/>
        <item x="11"/>
        <item x="14"/>
        <item x="0"/>
        <item m="1" x="31"/>
        <item x="18"/>
        <item x="9"/>
        <item h="1" x="1"/>
        <item x="15"/>
        <item x="21"/>
        <item x="4"/>
        <item n="本科 Bachelors Degree" x="16"/>
        <item n="大学水平some college" x="5"/>
        <item n="高中 High School Graduate" x="2"/>
        <item n="高中以下Less than High School" x="3"/>
        <item m="1" x="33"/>
        <item n="研究生 Graduate Degree" x="12"/>
        <item x="24"/>
        <item t="default"/>
      </items>
    </pivotField>
    <pivotField dataField="1" compact="0" showAll="0">
      <items count="110">
        <item x="76"/>
        <item x="46"/>
        <item x="45"/>
        <item x="80"/>
        <item x="7"/>
        <item x="36"/>
        <item x="75"/>
        <item x="60"/>
        <item x="11"/>
        <item x="98"/>
        <item x="40"/>
        <item x="0"/>
        <item x="92"/>
        <item x="26"/>
        <item x="42"/>
        <item x="55"/>
        <item x="88"/>
        <item x="105"/>
        <item x="21"/>
        <item x="67"/>
        <item x="48"/>
        <item x="70"/>
        <item x="28"/>
        <item x="85"/>
        <item x="37"/>
        <item x="65"/>
        <item x="3"/>
        <item x="6"/>
        <item x="59"/>
        <item x="44"/>
        <item x="38"/>
        <item x="54"/>
        <item x="35"/>
        <item x="72"/>
        <item x="16"/>
        <item x="66"/>
        <item x="82"/>
        <item x="93"/>
        <item x="49"/>
        <item x="15"/>
        <item x="61"/>
        <item x="58"/>
        <item x="32"/>
        <item x="51"/>
        <item x="4"/>
        <item x="104"/>
        <item x="17"/>
        <item x="22"/>
        <item x="81"/>
        <item x="20"/>
        <item x="8"/>
        <item x="84"/>
        <item x="43"/>
        <item x="62"/>
        <item x="56"/>
        <item x="53"/>
        <item x="47"/>
        <item x="79"/>
        <item x="77"/>
        <item x="103"/>
        <item x="97"/>
        <item x="34"/>
        <item x="63"/>
        <item x="50"/>
        <item x="90"/>
        <item x="102"/>
        <item x="23"/>
        <item x="25"/>
        <item x="10"/>
        <item x="2"/>
        <item x="19"/>
        <item x="94"/>
        <item x="91"/>
        <item x="99"/>
        <item x="57"/>
        <item x="27"/>
        <item x="100"/>
        <item x="101"/>
        <item x="5"/>
        <item x="74"/>
        <item x="29"/>
        <item x="39"/>
        <item x="87"/>
        <item x="68"/>
        <item x="30"/>
        <item x="64"/>
        <item x="33"/>
        <item x="78"/>
        <item x="71"/>
        <item x="41"/>
        <item x="9"/>
        <item x="18"/>
        <item x="89"/>
        <item x="52"/>
        <item x="12"/>
        <item x="69"/>
        <item x="24"/>
        <item x="13"/>
        <item x="83"/>
        <item x="31"/>
        <item x="73"/>
        <item x="96"/>
        <item x="106"/>
        <item x="95"/>
        <item x="1"/>
        <item x="86"/>
        <item x="14"/>
        <item x="107"/>
        <item x="10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compact="0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0" showAl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axis="axisCol" compact="0" sortType="ascending" showAll="0">
      <items count="11">
        <item x="1"/>
        <item x="0"/>
        <item m="1" x="8"/>
        <item x="2"/>
        <item x="3"/>
        <item m="1" x="9"/>
        <item m="1" x="6"/>
        <item m="1" x="5"/>
        <item m="1" x="7"/>
        <item x="4"/>
        <item t="default"/>
      </items>
    </pivotField>
  </pivotFields>
  <rowFields count="1">
    <field x="2"/>
  </rowFields>
  <rowItems count="3">
    <i>
      <x v="25"/>
    </i>
    <i>
      <x v="26"/>
    </i>
    <i t="grand">
      <x/>
    </i>
  </rowItems>
  <colFields count="1">
    <field x="11"/>
  </colFields>
  <colItems count="5">
    <i>
      <x/>
    </i>
    <i>
      <x v="1"/>
    </i>
    <i>
      <x v="3"/>
    </i>
    <i>
      <x v="4"/>
    </i>
    <i t="grand">
      <x/>
    </i>
  </colItems>
  <pageFields count="1">
    <pageField fld="1" item="4"/>
  </pageFields>
  <dataFields count="1">
    <dataField name="求和项:独特客户：在此客户群体中的数量%" fld="3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Preset2_Accent1 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5" cacheId="0" dataOnRows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41:F51" firstHeaderRow="1" firstDataRow="2" firstDataCol="1" rowPageCount="1" colPageCount="1"/>
  <pivotFields count="12">
    <pivotField compact="0" showAll="0">
      <items count="3">
        <item x="0"/>
        <item x="1"/>
        <item t="default"/>
      </items>
    </pivotField>
    <pivotField axis="axisPage" compact="0" showAll="0">
      <items count="8">
        <item x="4"/>
        <item x="1"/>
        <item x="3"/>
        <item x="0"/>
        <item x="2"/>
        <item m="1" x="6"/>
        <item x="5"/>
        <item t="default"/>
      </items>
    </pivotField>
    <pivotField axis="axisRow" compact="0" sortType="ascending" multipleItemSelectionAllowed="1" showAll="0">
      <items count="35">
        <item x="8"/>
        <item m="1" x="26"/>
        <item m="1" x="30"/>
        <item m="1" x="27"/>
        <item m="1" x="29"/>
        <item x="23"/>
        <item x="17"/>
        <item m="1" x="25"/>
        <item m="1" x="32"/>
        <item x="22"/>
        <item x="6"/>
        <item x="10"/>
        <item x="13"/>
        <item x="20"/>
        <item x="7"/>
        <item m="1" x="28"/>
        <item x="19"/>
        <item x="11"/>
        <item x="14"/>
        <item x="0"/>
        <item m="1" x="31"/>
        <item x="18"/>
        <item x="9"/>
        <item h="1" x="1"/>
        <item x="15"/>
        <item x="21"/>
        <item x="4"/>
        <item n="本科 Bachelors Degree" x="16"/>
        <item n="大学水平some college" x="5"/>
        <item n="高中 High School Graduate" x="2"/>
        <item n="高中以下Less than High School" x="3"/>
        <item m="1" x="33"/>
        <item n="研究生 Graduate Degree" x="12"/>
        <item x="24"/>
        <item t="default"/>
      </items>
    </pivotField>
    <pivotField dataField="1" compact="0" showAll="0">
      <items count="110">
        <item x="76"/>
        <item x="46"/>
        <item x="45"/>
        <item x="80"/>
        <item x="7"/>
        <item x="36"/>
        <item x="75"/>
        <item x="60"/>
        <item x="11"/>
        <item x="98"/>
        <item x="40"/>
        <item x="0"/>
        <item x="92"/>
        <item x="26"/>
        <item x="42"/>
        <item x="55"/>
        <item x="88"/>
        <item x="105"/>
        <item x="21"/>
        <item x="67"/>
        <item x="48"/>
        <item x="70"/>
        <item x="28"/>
        <item x="85"/>
        <item x="37"/>
        <item x="65"/>
        <item x="3"/>
        <item x="6"/>
        <item x="59"/>
        <item x="44"/>
        <item x="38"/>
        <item x="54"/>
        <item x="35"/>
        <item x="72"/>
        <item x="16"/>
        <item x="66"/>
        <item x="82"/>
        <item x="93"/>
        <item x="49"/>
        <item x="15"/>
        <item x="61"/>
        <item x="58"/>
        <item x="32"/>
        <item x="51"/>
        <item x="4"/>
        <item x="104"/>
        <item x="17"/>
        <item x="22"/>
        <item x="81"/>
        <item x="20"/>
        <item x="8"/>
        <item x="84"/>
        <item x="43"/>
        <item x="62"/>
        <item x="56"/>
        <item x="53"/>
        <item x="47"/>
        <item x="79"/>
        <item x="77"/>
        <item x="103"/>
        <item x="97"/>
        <item x="34"/>
        <item x="63"/>
        <item x="50"/>
        <item x="90"/>
        <item x="102"/>
        <item x="23"/>
        <item x="25"/>
        <item x="10"/>
        <item x="2"/>
        <item x="19"/>
        <item x="94"/>
        <item x="91"/>
        <item x="99"/>
        <item x="57"/>
        <item x="27"/>
        <item x="100"/>
        <item x="101"/>
        <item x="5"/>
        <item x="74"/>
        <item x="29"/>
        <item x="39"/>
        <item x="87"/>
        <item x="68"/>
        <item x="30"/>
        <item x="64"/>
        <item x="33"/>
        <item x="78"/>
        <item x="71"/>
        <item x="41"/>
        <item x="9"/>
        <item x="18"/>
        <item x="89"/>
        <item x="52"/>
        <item x="12"/>
        <item x="69"/>
        <item x="24"/>
        <item x="13"/>
        <item x="83"/>
        <item x="31"/>
        <item x="73"/>
        <item x="96"/>
        <item x="106"/>
        <item x="95"/>
        <item x="1"/>
        <item x="86"/>
        <item x="14"/>
        <item x="107"/>
        <item x="10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compact="0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0" showAl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axis="axisCol" compact="0" sortType="ascending" showAll="0">
      <items count="11">
        <item x="1"/>
        <item x="0"/>
        <item m="1" x="8"/>
        <item x="2"/>
        <item x="3"/>
        <item m="1" x="9"/>
        <item m="1" x="6"/>
        <item m="1" x="5"/>
        <item m="1" x="7"/>
        <item x="4"/>
        <item t="default"/>
      </items>
    </pivotField>
  </pivotFields>
  <rowFields count="1">
    <field x="2"/>
  </rowFields>
  <rowItems count="9">
    <i>
      <x/>
    </i>
    <i>
      <x v="6"/>
    </i>
    <i>
      <x v="10"/>
    </i>
    <i>
      <x v="12"/>
    </i>
    <i>
      <x v="14"/>
    </i>
    <i>
      <x v="17"/>
    </i>
    <i>
      <x v="19"/>
    </i>
    <i>
      <x v="21"/>
    </i>
    <i t="grand">
      <x/>
    </i>
  </rowItems>
  <colFields count="1">
    <field x="11"/>
  </colFields>
  <colItems count="5">
    <i>
      <x/>
    </i>
    <i>
      <x v="1"/>
    </i>
    <i>
      <x v="3"/>
    </i>
    <i>
      <x v="4"/>
    </i>
    <i t="grand">
      <x/>
    </i>
  </colItems>
  <pageFields count="1">
    <pageField fld="1" item="3"/>
  </pageFields>
  <dataFields count="1">
    <dataField name="求和项:独特客户：在此客户群体中的数量%" fld="3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Preset2_Accent1 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4" cacheId="0" dataOnRows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28:F35" firstHeaderRow="1" firstDataRow="2" firstDataCol="1" rowPageCount="1" colPageCount="1"/>
  <pivotFields count="12">
    <pivotField compact="0" showAll="0">
      <items count="3">
        <item x="0"/>
        <item x="1"/>
        <item t="default"/>
      </items>
    </pivotField>
    <pivotField axis="axisPage" compact="0" showAll="0">
      <items count="8">
        <item x="4"/>
        <item x="1"/>
        <item x="3"/>
        <item x="0"/>
        <item x="2"/>
        <item m="1" x="6"/>
        <item x="5"/>
        <item t="default"/>
      </items>
    </pivotField>
    <pivotField axis="axisRow" compact="0" sortType="ascending" multipleItemSelectionAllowed="1" showAll="0">
      <items count="35">
        <item h="1" x="8"/>
        <item m="1" x="26"/>
        <item m="1" x="30"/>
        <item m="1" x="27"/>
        <item m="1" x="29"/>
        <item x="23"/>
        <item h="1" x="17"/>
        <item m="1" x="25"/>
        <item m="1" x="32"/>
        <item x="22"/>
        <item h="1" x="6"/>
        <item x="10"/>
        <item h="1" x="13"/>
        <item x="20"/>
        <item h="1" x="7"/>
        <item m="1" x="28"/>
        <item x="19"/>
        <item h="1" x="11"/>
        <item x="14"/>
        <item h="1" x="0"/>
        <item m="1" x="31"/>
        <item h="1" x="18"/>
        <item x="9"/>
        <item h="1" x="1"/>
        <item x="15"/>
        <item x="21"/>
        <item x="4"/>
        <item n="本科 Bachelors Degree" x="16"/>
        <item n="大学水平some college" x="5"/>
        <item n="高中 High School Graduate" x="2"/>
        <item n="高中以下Less than High School" x="3"/>
        <item m="1" x="33"/>
        <item n="研究生 Graduate Degree" x="12"/>
        <item x="24"/>
        <item t="default"/>
      </items>
    </pivotField>
    <pivotField dataField="1" compact="0" showAll="0">
      <items count="110">
        <item x="76"/>
        <item x="46"/>
        <item x="45"/>
        <item x="80"/>
        <item x="7"/>
        <item x="36"/>
        <item x="75"/>
        <item x="60"/>
        <item x="11"/>
        <item x="98"/>
        <item x="40"/>
        <item x="0"/>
        <item x="92"/>
        <item x="26"/>
        <item x="42"/>
        <item x="55"/>
        <item x="88"/>
        <item x="105"/>
        <item x="21"/>
        <item x="67"/>
        <item x="48"/>
        <item x="70"/>
        <item x="28"/>
        <item x="85"/>
        <item x="37"/>
        <item x="65"/>
        <item x="3"/>
        <item x="6"/>
        <item x="59"/>
        <item x="44"/>
        <item x="38"/>
        <item x="54"/>
        <item x="35"/>
        <item x="72"/>
        <item x="16"/>
        <item x="66"/>
        <item x="82"/>
        <item x="93"/>
        <item x="49"/>
        <item x="15"/>
        <item x="61"/>
        <item x="58"/>
        <item x="32"/>
        <item x="51"/>
        <item x="4"/>
        <item x="104"/>
        <item x="17"/>
        <item x="22"/>
        <item x="81"/>
        <item x="20"/>
        <item x="8"/>
        <item x="84"/>
        <item x="43"/>
        <item x="62"/>
        <item x="56"/>
        <item x="53"/>
        <item x="47"/>
        <item x="79"/>
        <item x="77"/>
        <item x="103"/>
        <item x="97"/>
        <item x="34"/>
        <item x="63"/>
        <item x="50"/>
        <item x="90"/>
        <item x="102"/>
        <item x="23"/>
        <item x="25"/>
        <item x="10"/>
        <item x="2"/>
        <item x="19"/>
        <item x="94"/>
        <item x="91"/>
        <item x="99"/>
        <item x="57"/>
        <item x="27"/>
        <item x="100"/>
        <item x="101"/>
        <item x="5"/>
        <item x="74"/>
        <item x="29"/>
        <item x="39"/>
        <item x="87"/>
        <item x="68"/>
        <item x="30"/>
        <item x="64"/>
        <item x="33"/>
        <item x="78"/>
        <item x="71"/>
        <item x="41"/>
        <item x="9"/>
        <item x="18"/>
        <item x="89"/>
        <item x="52"/>
        <item x="12"/>
        <item x="69"/>
        <item x="24"/>
        <item x="13"/>
        <item x="83"/>
        <item x="31"/>
        <item x="73"/>
        <item x="96"/>
        <item x="106"/>
        <item x="95"/>
        <item x="1"/>
        <item x="86"/>
        <item x="14"/>
        <item x="107"/>
        <item x="10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compact="0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0" showAl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axis="axisCol" compact="0" sortType="ascending" showAll="0">
      <items count="11">
        <item x="1"/>
        <item x="0"/>
        <item m="1" x="8"/>
        <item x="2"/>
        <item x="3"/>
        <item m="1" x="9"/>
        <item m="1" x="6"/>
        <item m="1" x="5"/>
        <item m="1" x="7"/>
        <item x="4"/>
        <item t="default"/>
      </items>
    </pivotField>
  </pivotFields>
  <rowFields count="1">
    <field x="2"/>
  </rowFields>
  <rowItems count="6">
    <i>
      <x v="27"/>
    </i>
    <i>
      <x v="28"/>
    </i>
    <i>
      <x v="29"/>
    </i>
    <i>
      <x v="30"/>
    </i>
    <i>
      <x v="32"/>
    </i>
    <i t="grand">
      <x/>
    </i>
  </rowItems>
  <colFields count="1">
    <field x="11"/>
  </colFields>
  <colItems count="5">
    <i>
      <x/>
    </i>
    <i>
      <x v="1"/>
    </i>
    <i>
      <x v="3"/>
    </i>
    <i>
      <x v="4"/>
    </i>
    <i t="grand">
      <x/>
    </i>
  </colItems>
  <pageFields count="1">
    <pageField fld="1" item="1"/>
  </pageFields>
  <dataFields count="1">
    <dataField name="求和项:独特客户：在此客户群体中的数量%" fld="3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Preset2_Accent1 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3" cacheId="0" dataOnRows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0" multipleFieldFilters="0">
  <location ref="A14:F22" firstHeaderRow="1" firstDataRow="2" firstDataCol="1" rowPageCount="1" colPageCount="1"/>
  <pivotFields count="12">
    <pivotField compact="0" showAll="0">
      <items count="3">
        <item x="0"/>
        <item x="1"/>
        <item t="default"/>
      </items>
    </pivotField>
    <pivotField axis="axisPage" compact="0" showAll="0">
      <items count="8">
        <item x="4"/>
        <item x="1"/>
        <item x="3"/>
        <item x="0"/>
        <item x="2"/>
        <item m="1" x="6"/>
        <item x="5"/>
        <item t="default"/>
      </items>
    </pivotField>
    <pivotField axis="axisRow" compact="0" multipleItemSelectionAllowed="1" showAll="0">
      <items count="35">
        <item m="1" x="26"/>
        <item m="1" x="30"/>
        <item m="1" x="27"/>
        <item m="1" x="29"/>
        <item x="23"/>
        <item m="1" x="25"/>
        <item m="1" x="32"/>
        <item x="22"/>
        <item x="10"/>
        <item x="20"/>
        <item m="1" x="28"/>
        <item x="19"/>
        <item x="14"/>
        <item m="1" x="31"/>
        <item x="16"/>
        <item x="9"/>
        <item x="12"/>
        <item x="2"/>
        <item h="1" x="1"/>
        <item x="3"/>
        <item x="15"/>
        <item x="21"/>
        <item x="4"/>
        <item x="5"/>
        <item m="1" x="33"/>
        <item x="24"/>
        <item h="1" x="0"/>
        <item h="1" x="6"/>
        <item h="1" x="7"/>
        <item h="1" x="8"/>
        <item h="1" x="11"/>
        <item h="1" x="13"/>
        <item h="1" x="17"/>
        <item h="1" x="18"/>
        <item t="default"/>
      </items>
    </pivotField>
    <pivotField dataField="1" compact="0" showAll="0">
      <items count="110">
        <item x="76"/>
        <item x="46"/>
        <item x="45"/>
        <item x="80"/>
        <item x="7"/>
        <item x="36"/>
        <item x="75"/>
        <item x="60"/>
        <item x="11"/>
        <item x="98"/>
        <item x="40"/>
        <item x="0"/>
        <item x="92"/>
        <item x="26"/>
        <item x="42"/>
        <item x="55"/>
        <item x="88"/>
        <item x="105"/>
        <item x="21"/>
        <item x="67"/>
        <item x="48"/>
        <item x="70"/>
        <item x="28"/>
        <item x="85"/>
        <item x="37"/>
        <item x="65"/>
        <item x="3"/>
        <item x="6"/>
        <item x="59"/>
        <item x="44"/>
        <item x="38"/>
        <item x="54"/>
        <item x="35"/>
        <item x="72"/>
        <item x="16"/>
        <item x="66"/>
        <item x="82"/>
        <item x="93"/>
        <item x="49"/>
        <item x="15"/>
        <item x="61"/>
        <item x="58"/>
        <item x="32"/>
        <item x="51"/>
        <item x="4"/>
        <item x="104"/>
        <item x="17"/>
        <item x="22"/>
        <item x="81"/>
        <item x="20"/>
        <item x="8"/>
        <item x="84"/>
        <item x="43"/>
        <item x="62"/>
        <item x="56"/>
        <item x="53"/>
        <item x="47"/>
        <item x="79"/>
        <item x="77"/>
        <item x="103"/>
        <item x="97"/>
        <item x="34"/>
        <item x="63"/>
        <item x="50"/>
        <item x="90"/>
        <item x="102"/>
        <item x="23"/>
        <item x="25"/>
        <item x="10"/>
        <item x="2"/>
        <item x="19"/>
        <item x="94"/>
        <item x="91"/>
        <item x="99"/>
        <item x="57"/>
        <item x="27"/>
        <item x="100"/>
        <item x="101"/>
        <item x="5"/>
        <item x="74"/>
        <item x="29"/>
        <item x="39"/>
        <item x="87"/>
        <item x="68"/>
        <item x="30"/>
        <item x="64"/>
        <item x="33"/>
        <item x="78"/>
        <item x="71"/>
        <item x="41"/>
        <item x="9"/>
        <item x="18"/>
        <item x="89"/>
        <item x="52"/>
        <item x="12"/>
        <item x="69"/>
        <item x="24"/>
        <item x="13"/>
        <item x="83"/>
        <item x="31"/>
        <item x="73"/>
        <item x="96"/>
        <item x="106"/>
        <item x="95"/>
        <item x="1"/>
        <item x="86"/>
        <item x="14"/>
        <item x="107"/>
        <item x="10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compact="0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0" showAl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axis="axisCol" compact="0" sortType="ascending" showAll="0">
      <items count="11">
        <item x="1"/>
        <item x="0"/>
        <item m="1" x="8"/>
        <item x="2"/>
        <item x="3"/>
        <item m="1" x="9"/>
        <item m="1" x="6"/>
        <item m="1" x="5"/>
        <item m="1" x="7"/>
        <item x="4"/>
        <item t="default"/>
      </items>
    </pivotField>
  </pivotFields>
  <rowFields count="1">
    <field x="2"/>
  </rowFields>
  <rowItems count="7">
    <i>
      <x v="4"/>
    </i>
    <i>
      <x v="7"/>
    </i>
    <i>
      <x v="8"/>
    </i>
    <i>
      <x v="9"/>
    </i>
    <i>
      <x v="11"/>
    </i>
    <i>
      <x v="12"/>
    </i>
    <i t="grand">
      <x/>
    </i>
  </rowItems>
  <colFields count="1">
    <field x="11"/>
  </colFields>
  <colItems count="5">
    <i>
      <x/>
    </i>
    <i>
      <x v="1"/>
    </i>
    <i>
      <x v="3"/>
    </i>
    <i>
      <x v="4"/>
    </i>
    <i t="grand">
      <x/>
    </i>
  </colItems>
  <pageFields count="1">
    <pageField fld="1" item="0"/>
  </pageFields>
  <dataFields count="1">
    <dataField name="求和项:独特客户：在此客户群体中的数量%" fld="3" baseField="0" baseItem="0"/>
  </dataFields>
  <pivotTableStyleInfo name="PivotStylePreset2_Accent1 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2" cacheId="0" dataOnRows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4:F8" firstHeaderRow="1" firstDataRow="2" firstDataCol="1" rowPageCount="1" colPageCount="1"/>
  <pivotFields count="12">
    <pivotField compact="0" showAll="0">
      <items count="3">
        <item x="0"/>
        <item x="1"/>
        <item t="default"/>
      </items>
    </pivotField>
    <pivotField axis="axisPage" compact="0" showAll="0">
      <items count="8">
        <item x="4"/>
        <item x="1"/>
        <item x="3"/>
        <item x="0"/>
        <item x="2"/>
        <item m="1" x="6"/>
        <item x="5"/>
        <item t="default"/>
      </items>
    </pivotField>
    <pivotField axis="axisRow" compact="0" multipleItemSelectionAllowed="1" showAll="0">
      <items count="35">
        <item m="1" x="26"/>
        <item m="1" x="30"/>
        <item m="1" x="27"/>
        <item m="1" x="29"/>
        <item x="23"/>
        <item m="1" x="25"/>
        <item m="1" x="32"/>
        <item x="22"/>
        <item x="10"/>
        <item x="20"/>
        <item m="1" x="28"/>
        <item x="19"/>
        <item x="14"/>
        <item m="1" x="31"/>
        <item x="16"/>
        <item x="9"/>
        <item x="12"/>
        <item x="2"/>
        <item h="1" x="1"/>
        <item x="3"/>
        <item x="15"/>
        <item x="21"/>
        <item x="4"/>
        <item x="5"/>
        <item m="1" x="33"/>
        <item x="24"/>
        <item h="1" x="0"/>
        <item h="1" x="6"/>
        <item h="1" x="7"/>
        <item h="1" x="8"/>
        <item h="1" x="11"/>
        <item h="1" x="13"/>
        <item h="1" x="17"/>
        <item h="1" x="18"/>
        <item t="default"/>
      </items>
    </pivotField>
    <pivotField dataField="1" compact="0" showAll="0">
      <items count="110">
        <item x="76"/>
        <item x="46"/>
        <item x="45"/>
        <item x="80"/>
        <item x="7"/>
        <item x="36"/>
        <item x="75"/>
        <item x="60"/>
        <item x="11"/>
        <item x="98"/>
        <item x="40"/>
        <item x="0"/>
        <item x="92"/>
        <item x="26"/>
        <item x="42"/>
        <item x="55"/>
        <item x="88"/>
        <item x="105"/>
        <item x="21"/>
        <item x="67"/>
        <item x="48"/>
        <item x="70"/>
        <item x="28"/>
        <item x="85"/>
        <item x="37"/>
        <item x="65"/>
        <item x="3"/>
        <item x="6"/>
        <item x="59"/>
        <item x="44"/>
        <item x="38"/>
        <item x="54"/>
        <item x="35"/>
        <item x="72"/>
        <item x="16"/>
        <item x="66"/>
        <item x="82"/>
        <item x="93"/>
        <item x="49"/>
        <item x="15"/>
        <item x="61"/>
        <item x="58"/>
        <item x="32"/>
        <item x="51"/>
        <item x="4"/>
        <item x="104"/>
        <item x="17"/>
        <item x="22"/>
        <item x="81"/>
        <item x="20"/>
        <item x="8"/>
        <item x="84"/>
        <item x="43"/>
        <item x="62"/>
        <item x="56"/>
        <item x="53"/>
        <item x="47"/>
        <item x="79"/>
        <item x="77"/>
        <item x="103"/>
        <item x="97"/>
        <item x="34"/>
        <item x="63"/>
        <item x="50"/>
        <item x="90"/>
        <item x="102"/>
        <item x="23"/>
        <item x="25"/>
        <item x="10"/>
        <item x="2"/>
        <item x="19"/>
        <item x="94"/>
        <item x="91"/>
        <item x="99"/>
        <item x="57"/>
        <item x="27"/>
        <item x="100"/>
        <item x="101"/>
        <item x="5"/>
        <item x="74"/>
        <item x="29"/>
        <item x="39"/>
        <item x="87"/>
        <item x="68"/>
        <item x="30"/>
        <item x="64"/>
        <item x="33"/>
        <item x="78"/>
        <item x="71"/>
        <item x="41"/>
        <item x="9"/>
        <item x="18"/>
        <item x="89"/>
        <item x="52"/>
        <item x="12"/>
        <item x="69"/>
        <item x="24"/>
        <item x="13"/>
        <item x="83"/>
        <item x="31"/>
        <item x="73"/>
        <item x="96"/>
        <item x="106"/>
        <item x="95"/>
        <item x="1"/>
        <item x="86"/>
        <item x="14"/>
        <item x="107"/>
        <item x="10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compact="0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0" showAl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axis="axisCol" compact="0" sortType="ascending" showAll="0">
      <items count="11">
        <item x="1"/>
        <item x="0"/>
        <item m="1" x="8"/>
        <item x="2"/>
        <item x="3"/>
        <item m="1" x="9"/>
        <item m="1" x="6"/>
        <item m="1" x="5"/>
        <item m="1" x="7"/>
        <item x="4"/>
        <item t="default"/>
      </items>
    </pivotField>
  </pivotFields>
  <rowFields count="1">
    <field x="2"/>
  </rowFields>
  <rowItems count="3">
    <i>
      <x v="15"/>
    </i>
    <i>
      <x v="20"/>
    </i>
    <i t="grand">
      <x/>
    </i>
  </rowItems>
  <colFields count="1">
    <field x="11"/>
  </colFields>
  <colItems count="5">
    <i>
      <x/>
    </i>
    <i>
      <x v="1"/>
    </i>
    <i>
      <x v="3"/>
    </i>
    <i>
      <x v="4"/>
    </i>
    <i t="grand">
      <x/>
    </i>
  </colItems>
  <pageFields count="1">
    <pageField fld="1" item="2"/>
  </pageFields>
  <dataFields count="1">
    <dataField name="求和项:独特客户：在此客户群体中的数量%" fld="3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Preset2_Accent1 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1"/>
  <sheetViews>
    <sheetView topLeftCell="A10" workbookViewId="0">
      <selection activeCell="K23" sqref="K23"/>
    </sheetView>
  </sheetViews>
  <sheetFormatPr defaultColWidth="8.89166666666667" defaultRowHeight="13.8"/>
  <cols>
    <col min="1" max="1" width="41.3"/>
    <col min="2" max="5" width="12.1"/>
    <col min="6" max="6" width="8.5"/>
  </cols>
  <sheetData>
    <row r="1" spans="1:1">
      <c r="A1" s="3" t="s">
        <v>0</v>
      </c>
    </row>
    <row r="2" spans="1:2">
      <c r="A2" t="s">
        <v>1</v>
      </c>
      <c r="B2" s="4" t="s">
        <v>2</v>
      </c>
    </row>
    <row r="3" spans="2:2">
      <c r="B3" s="4"/>
    </row>
    <row r="4" spans="1:2">
      <c r="A4" t="s">
        <v>3</v>
      </c>
      <c r="B4" t="s">
        <v>4</v>
      </c>
    </row>
    <row r="5" spans="1:6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11</v>
      </c>
      <c r="B6" s="5">
        <v>0.436110863012913</v>
      </c>
      <c r="C6" s="5">
        <v>0.491366839406652</v>
      </c>
      <c r="D6" s="5">
        <v>0.434271348850526</v>
      </c>
      <c r="E6" s="5">
        <v>0.441197047754153</v>
      </c>
      <c r="F6" s="5">
        <v>0.451714887196699</v>
      </c>
    </row>
    <row r="7" spans="1:6">
      <c r="A7" t="s">
        <v>12</v>
      </c>
      <c r="B7" s="5">
        <v>0.563889136987087</v>
      </c>
      <c r="C7" s="5">
        <v>0.508633160593348</v>
      </c>
      <c r="D7" s="5">
        <v>0.565728651149474</v>
      </c>
      <c r="E7" s="5">
        <v>0.558802952245847</v>
      </c>
      <c r="F7" s="5">
        <v>0.548285112803301</v>
      </c>
    </row>
    <row r="8" spans="1:6">
      <c r="A8" t="s">
        <v>10</v>
      </c>
      <c r="B8" s="5">
        <v>1</v>
      </c>
      <c r="C8" s="5">
        <v>1</v>
      </c>
      <c r="D8" s="5">
        <v>1</v>
      </c>
      <c r="E8" s="5">
        <v>1</v>
      </c>
      <c r="F8" s="5">
        <v>1</v>
      </c>
    </row>
    <row r="9" spans="1:1">
      <c r="A9" t="s">
        <v>13</v>
      </c>
    </row>
    <row r="12" spans="1:2">
      <c r="A12" t="s">
        <v>1</v>
      </c>
      <c r="B12" t="s">
        <v>14</v>
      </c>
    </row>
    <row r="13" spans="2:2">
      <c r="B13" s="4"/>
    </row>
    <row r="14" spans="1:13">
      <c r="A14" t="s">
        <v>3</v>
      </c>
      <c r="B14" t="s">
        <v>4</v>
      </c>
      <c r="I14" s="9" t="s">
        <v>5</v>
      </c>
      <c r="J14" s="10" t="s">
        <v>6</v>
      </c>
      <c r="K14" s="10" t="s">
        <v>7</v>
      </c>
      <c r="L14" s="10" t="s">
        <v>8</v>
      </c>
      <c r="M14" s="10" t="s">
        <v>9</v>
      </c>
    </row>
    <row r="15" spans="1:13">
      <c r="A15" t="s">
        <v>5</v>
      </c>
      <c r="B15" t="s">
        <v>6</v>
      </c>
      <c r="C15" t="s">
        <v>7</v>
      </c>
      <c r="D15" t="s">
        <v>8</v>
      </c>
      <c r="E15" t="s">
        <v>9</v>
      </c>
      <c r="F15" t="s">
        <v>10</v>
      </c>
      <c r="I15" t="s">
        <v>15</v>
      </c>
      <c r="J15" s="6">
        <v>57476</v>
      </c>
      <c r="K15" s="6">
        <v>63490</v>
      </c>
      <c r="L15" s="6">
        <v>52850</v>
      </c>
      <c r="M15" s="6">
        <v>74667</v>
      </c>
    </row>
    <row r="16" spans="1:6">
      <c r="A16" t="s">
        <v>15</v>
      </c>
      <c r="B16" s="6">
        <v>57476</v>
      </c>
      <c r="C16" s="6">
        <v>63490</v>
      </c>
      <c r="D16" s="6">
        <v>52850</v>
      </c>
      <c r="E16" s="6">
        <v>74667</v>
      </c>
      <c r="F16" s="6">
        <v>248483</v>
      </c>
    </row>
    <row r="17" spans="1:6">
      <c r="A17" t="s">
        <v>16</v>
      </c>
      <c r="B17" s="6">
        <v>176100</v>
      </c>
      <c r="C17" s="6">
        <v>197877</v>
      </c>
      <c r="D17" s="6">
        <v>162349</v>
      </c>
      <c r="E17" s="6">
        <v>232773</v>
      </c>
      <c r="F17" s="6">
        <v>769099</v>
      </c>
    </row>
    <row r="18" spans="1:6">
      <c r="A18" t="s">
        <v>17</v>
      </c>
      <c r="B18" s="6">
        <v>163913</v>
      </c>
      <c r="C18" s="6">
        <v>200806</v>
      </c>
      <c r="D18" s="6">
        <v>167394</v>
      </c>
      <c r="E18" s="6">
        <v>231573</v>
      </c>
      <c r="F18" s="6">
        <v>763686</v>
      </c>
    </row>
    <row r="19" spans="1:6">
      <c r="A19" t="s">
        <v>18</v>
      </c>
      <c r="B19" s="6">
        <v>158259</v>
      </c>
      <c r="C19" s="6">
        <v>197001</v>
      </c>
      <c r="D19" s="6">
        <v>162786</v>
      </c>
      <c r="E19" s="6">
        <v>233190</v>
      </c>
      <c r="F19" s="6">
        <v>751236</v>
      </c>
    </row>
    <row r="20" spans="1:6">
      <c r="A20" t="s">
        <v>19</v>
      </c>
      <c r="B20" s="6">
        <v>112114</v>
      </c>
      <c r="C20" s="6">
        <v>140735</v>
      </c>
      <c r="D20" s="6">
        <v>113576</v>
      </c>
      <c r="E20" s="6">
        <v>169754</v>
      </c>
      <c r="F20" s="6">
        <v>536179</v>
      </c>
    </row>
    <row r="21" spans="1:6">
      <c r="A21" t="s">
        <v>20</v>
      </c>
      <c r="B21" s="6">
        <v>107802</v>
      </c>
      <c r="C21" s="6">
        <v>140462</v>
      </c>
      <c r="D21" s="6">
        <v>112259</v>
      </c>
      <c r="E21" s="6">
        <v>174273</v>
      </c>
      <c r="F21" s="6">
        <v>534796</v>
      </c>
    </row>
    <row r="22" spans="1:6">
      <c r="A22" t="s">
        <v>10</v>
      </c>
      <c r="B22" s="6">
        <v>775664</v>
      </c>
      <c r="C22" s="6">
        <v>940371</v>
      </c>
      <c r="D22" s="6">
        <v>771214</v>
      </c>
      <c r="E22" s="6">
        <v>1116230</v>
      </c>
      <c r="F22" s="6">
        <v>3603479</v>
      </c>
    </row>
    <row r="23" spans="1:1">
      <c r="A23" t="s">
        <v>21</v>
      </c>
    </row>
    <row r="26" spans="1:2">
      <c r="A26" t="s">
        <v>1</v>
      </c>
      <c r="B26" s="4" t="s">
        <v>22</v>
      </c>
    </row>
    <row r="27" spans="2:2">
      <c r="B27" s="4"/>
    </row>
    <row r="28" spans="1:2">
      <c r="A28" t="s">
        <v>3</v>
      </c>
      <c r="B28" t="s">
        <v>4</v>
      </c>
    </row>
    <row r="29" spans="1:6">
      <c r="A29" t="s">
        <v>5</v>
      </c>
      <c r="B29" t="s">
        <v>6</v>
      </c>
      <c r="C29" t="s">
        <v>7</v>
      </c>
      <c r="D29" t="s">
        <v>8</v>
      </c>
      <c r="E29" t="s">
        <v>9</v>
      </c>
      <c r="F29" t="s">
        <v>10</v>
      </c>
    </row>
    <row r="30" spans="1:6">
      <c r="A30" t="s">
        <v>23</v>
      </c>
      <c r="B30" s="5">
        <v>0.232604581365127</v>
      </c>
      <c r="C30" s="5">
        <v>0.235697400281378</v>
      </c>
      <c r="D30" s="5">
        <v>0.230921637833338</v>
      </c>
      <c r="E30" s="5">
        <v>0.231700455999212</v>
      </c>
      <c r="F30" s="5">
        <v>0.232771441154507</v>
      </c>
    </row>
    <row r="31" spans="1:6">
      <c r="A31" t="s">
        <v>24</v>
      </c>
      <c r="B31" s="5">
        <v>0.316340580457518</v>
      </c>
      <c r="C31" s="5">
        <v>0.315720072184276</v>
      </c>
      <c r="D31" s="5">
        <v>0.316803118200655</v>
      </c>
      <c r="E31" s="5">
        <v>0.31406430574344</v>
      </c>
      <c r="F31" s="5">
        <v>0.315572534209302</v>
      </c>
    </row>
    <row r="32" spans="1:6">
      <c r="A32" t="s">
        <v>25</v>
      </c>
      <c r="B32" s="5">
        <v>0.21422033251511</v>
      </c>
      <c r="C32" s="5">
        <v>0.217555624322741</v>
      </c>
      <c r="D32" s="5">
        <v>0.218462061114036</v>
      </c>
      <c r="E32" s="5">
        <v>0.219921521550218</v>
      </c>
      <c r="F32" s="5">
        <v>0.217764554753892</v>
      </c>
    </row>
    <row r="33" spans="1:6">
      <c r="A33" t="s">
        <v>26</v>
      </c>
      <c r="B33" s="5">
        <v>0.10252377318014</v>
      </c>
      <c r="C33" s="5">
        <v>0.100642193347094</v>
      </c>
      <c r="D33" s="5">
        <v>0.10409043404295</v>
      </c>
      <c r="E33" s="5">
        <v>0.10287395966781</v>
      </c>
      <c r="F33" s="5">
        <v>0.102476523381987</v>
      </c>
    </row>
    <row r="34" spans="1:6">
      <c r="A34" t="s">
        <v>27</v>
      </c>
      <c r="B34" s="5">
        <v>0.134310732482106</v>
      </c>
      <c r="C34" s="5">
        <v>0.130384709864511</v>
      </c>
      <c r="D34" s="5">
        <v>0.129722748809021</v>
      </c>
      <c r="E34" s="5">
        <v>0.13143975703932</v>
      </c>
      <c r="F34" s="5">
        <v>0.131414946500313</v>
      </c>
    </row>
    <row r="35" spans="1:6">
      <c r="A35" t="s">
        <v>10</v>
      </c>
      <c r="B35" s="5">
        <v>1</v>
      </c>
      <c r="C35" s="5">
        <v>1</v>
      </c>
      <c r="D35" s="5">
        <v>1</v>
      </c>
      <c r="E35" s="5">
        <v>1</v>
      </c>
      <c r="F35" s="5">
        <v>1</v>
      </c>
    </row>
    <row r="36" ht="43.2" spans="1:1">
      <c r="A36" s="7" t="s">
        <v>28</v>
      </c>
    </row>
    <row r="39" spans="1:2">
      <c r="A39" t="s">
        <v>1</v>
      </c>
      <c r="B39" s="4" t="s">
        <v>29</v>
      </c>
    </row>
    <row r="40" spans="2:2">
      <c r="B40" s="4"/>
    </row>
    <row r="41" spans="1:2">
      <c r="A41" t="s">
        <v>3</v>
      </c>
      <c r="B41" t="s">
        <v>4</v>
      </c>
    </row>
    <row r="42" spans="1:6">
      <c r="A42" t="s">
        <v>5</v>
      </c>
      <c r="B42" t="s">
        <v>6</v>
      </c>
      <c r="C42" t="s">
        <v>7</v>
      </c>
      <c r="D42" t="s">
        <v>8</v>
      </c>
      <c r="E42" t="s">
        <v>9</v>
      </c>
      <c r="F42" t="s">
        <v>10</v>
      </c>
    </row>
    <row r="43" spans="1:6">
      <c r="A43" t="s">
        <v>30</v>
      </c>
      <c r="B43" s="5">
        <v>0.201999461585392</v>
      </c>
      <c r="C43" s="5">
        <v>0.19984527868978</v>
      </c>
      <c r="D43" s="5">
        <v>0.201433325214491</v>
      </c>
      <c r="E43" s="5">
        <v>0.203374182103572</v>
      </c>
      <c r="F43" s="5">
        <v>0.201740458331035</v>
      </c>
    </row>
    <row r="44" spans="1:6">
      <c r="A44" t="s">
        <v>31</v>
      </c>
      <c r="B44" s="5">
        <v>0.20340602992502</v>
      </c>
      <c r="C44" s="5">
        <v>0.19978851233876</v>
      </c>
      <c r="D44" s="5">
        <v>0.200291310526375</v>
      </c>
      <c r="E44" s="5">
        <v>0.201830212460494</v>
      </c>
      <c r="F44" s="5">
        <v>0.201309221774861</v>
      </c>
    </row>
    <row r="45" spans="1:6">
      <c r="A45" t="s">
        <v>32</v>
      </c>
      <c r="B45" s="5">
        <v>0.133064869402599</v>
      </c>
      <c r="C45" s="5">
        <v>0.12885169592774</v>
      </c>
      <c r="D45" s="5">
        <v>0.127989521853935</v>
      </c>
      <c r="E45" s="5">
        <v>0.127419360240605</v>
      </c>
      <c r="F45" s="5">
        <v>0.129136906403398</v>
      </c>
    </row>
    <row r="46" spans="1:6">
      <c r="A46" t="s">
        <v>33</v>
      </c>
      <c r="B46" s="5">
        <v>0.147071613921681</v>
      </c>
      <c r="C46" s="5">
        <v>0.149333787464142</v>
      </c>
      <c r="D46" s="5">
        <v>0.150807233404897</v>
      </c>
      <c r="E46" s="5">
        <v>0.15054429674583</v>
      </c>
      <c r="F46" s="5">
        <v>0.149532913242513</v>
      </c>
    </row>
    <row r="47" spans="1:6">
      <c r="A47" t="s">
        <v>34</v>
      </c>
      <c r="B47" s="5">
        <v>0.0640267359490513</v>
      </c>
      <c r="C47" s="5">
        <v>0.0640641274945841</v>
      </c>
      <c r="D47" s="5">
        <v>0.063262452073289</v>
      </c>
      <c r="E47" s="5">
        <v>0.0634054633974254</v>
      </c>
      <c r="F47" s="5">
        <v>0.0636813330759473</v>
      </c>
    </row>
    <row r="48" spans="1:6">
      <c r="A48" t="s">
        <v>35</v>
      </c>
      <c r="B48" s="5">
        <v>0.0695112374137621</v>
      </c>
      <c r="C48" s="5">
        <v>0.0713341808681555</v>
      </c>
      <c r="D48" s="5">
        <v>0.0708323319197944</v>
      </c>
      <c r="E48" s="5">
        <v>0.0703058801464259</v>
      </c>
      <c r="F48" s="5">
        <v>0.0705149329877006</v>
      </c>
    </row>
    <row r="49" spans="1:6">
      <c r="A49" t="s">
        <v>36</v>
      </c>
      <c r="B49" s="5">
        <v>0.0793651805042938</v>
      </c>
      <c r="C49" s="5">
        <v>0.0823798566583629</v>
      </c>
      <c r="D49" s="5">
        <v>0.0816798584417952</v>
      </c>
      <c r="E49" s="5">
        <v>0.0807820993298301</v>
      </c>
      <c r="F49" s="5">
        <v>0.0810845375324031</v>
      </c>
    </row>
    <row r="50" spans="1:6">
      <c r="A50" t="s">
        <v>37</v>
      </c>
      <c r="B50" s="5">
        <v>0.1015548712982</v>
      </c>
      <c r="C50" s="5">
        <v>0.104402560558475</v>
      </c>
      <c r="D50" s="5">
        <v>0.103703966565423</v>
      </c>
      <c r="E50" s="5">
        <v>0.102338505575818</v>
      </c>
      <c r="F50" s="5">
        <v>0.102999696652143</v>
      </c>
    </row>
    <row r="51" spans="1:6">
      <c r="A51" t="s">
        <v>10</v>
      </c>
      <c r="B51" s="5">
        <v>1</v>
      </c>
      <c r="C51" s="5">
        <v>1</v>
      </c>
      <c r="D51" s="5">
        <v>1</v>
      </c>
      <c r="E51" s="5">
        <v>1</v>
      </c>
      <c r="F51" s="5">
        <v>1</v>
      </c>
    </row>
    <row r="52" ht="73" customHeight="1" spans="1:6">
      <c r="A52" s="8" t="s">
        <v>38</v>
      </c>
      <c r="B52" s="8"/>
      <c r="C52" s="8"/>
      <c r="D52" s="8"/>
      <c r="E52" s="8"/>
      <c r="F52" s="8"/>
    </row>
    <row r="54" spans="1:2">
      <c r="A54" t="s">
        <v>1</v>
      </c>
      <c r="B54" s="4" t="s">
        <v>39</v>
      </c>
    </row>
    <row r="55" spans="2:2">
      <c r="B55" s="4"/>
    </row>
    <row r="56" spans="1:2">
      <c r="A56" t="s">
        <v>3</v>
      </c>
      <c r="B56" t="s">
        <v>4</v>
      </c>
    </row>
    <row r="57" spans="1:6">
      <c r="A57" t="s">
        <v>5</v>
      </c>
      <c r="B57" t="s">
        <v>6</v>
      </c>
      <c r="C57" t="s">
        <v>7</v>
      </c>
      <c r="D57" t="s">
        <v>8</v>
      </c>
      <c r="E57" t="s">
        <v>9</v>
      </c>
      <c r="F57" t="s">
        <v>10</v>
      </c>
    </row>
    <row r="58" spans="1:6">
      <c r="A58" t="s">
        <v>40</v>
      </c>
      <c r="B58" s="5">
        <v>0.78279269743436</v>
      </c>
      <c r="C58" s="5">
        <v>0.79720316778967</v>
      </c>
      <c r="D58" s="5">
        <v>0.796270040764067</v>
      </c>
      <c r="E58" s="5">
        <v>0.799429493268998</v>
      </c>
      <c r="F58" s="5">
        <v>0.794563406491339</v>
      </c>
    </row>
    <row r="59" spans="1:6">
      <c r="A59" t="s">
        <v>41</v>
      </c>
      <c r="B59" s="5">
        <v>0.21720730256564</v>
      </c>
      <c r="C59" s="5">
        <v>0.20279683221033</v>
      </c>
      <c r="D59" s="5">
        <v>0.203729959235933</v>
      </c>
      <c r="E59" s="5">
        <v>0.200570506731002</v>
      </c>
      <c r="F59" s="5">
        <v>0.205436593508661</v>
      </c>
    </row>
    <row r="60" spans="1:6">
      <c r="A60" t="s">
        <v>10</v>
      </c>
      <c r="B60" s="5">
        <v>1</v>
      </c>
      <c r="C60" s="5">
        <v>1</v>
      </c>
      <c r="D60" s="5">
        <v>1</v>
      </c>
      <c r="E60" s="5">
        <v>1</v>
      </c>
      <c r="F60" s="5">
        <v>1</v>
      </c>
    </row>
    <row r="61" spans="1:1">
      <c r="A61" t="s">
        <v>42</v>
      </c>
    </row>
  </sheetData>
  <mergeCells count="1">
    <mergeCell ref="A52:F52"/>
  </mergeCells>
  <pageMargins left="0.75" right="0.75" top="1" bottom="1" header="0.5" footer="0.5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3"/>
  <sheetViews>
    <sheetView tabSelected="1" workbookViewId="0">
      <selection activeCell="B24" sqref="B24"/>
    </sheetView>
  </sheetViews>
  <sheetFormatPr defaultColWidth="8.89166666666667" defaultRowHeight="13.8"/>
  <cols>
    <col min="1" max="11" width="10"/>
    <col min="12" max="12" width="18.5583333333333" style="1" customWidth="1"/>
  </cols>
  <sheetData>
    <row r="1" spans="1:12">
      <c r="A1" t="s">
        <v>43</v>
      </c>
      <c r="B1" t="s">
        <v>1</v>
      </c>
      <c r="C1" t="s">
        <v>5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s="1" t="s">
        <v>4</v>
      </c>
    </row>
    <row r="2" spans="1:12">
      <c r="A2" t="s">
        <v>52</v>
      </c>
      <c r="B2" t="s">
        <v>29</v>
      </c>
      <c r="C2" t="s">
        <v>36</v>
      </c>
      <c r="D2">
        <v>62402</v>
      </c>
      <c r="E2">
        <v>1427872</v>
      </c>
      <c r="F2">
        <v>4.37</v>
      </c>
      <c r="G2">
        <v>-0.13</v>
      </c>
      <c r="H2">
        <v>92750</v>
      </c>
      <c r="I2">
        <v>2062404</v>
      </c>
      <c r="J2">
        <v>4.5</v>
      </c>
      <c r="K2">
        <v>-0.24</v>
      </c>
      <c r="L2" s="1" t="s">
        <v>7</v>
      </c>
    </row>
    <row r="3" spans="1:12">
      <c r="A3" t="s">
        <v>52</v>
      </c>
      <c r="B3" t="s">
        <v>29</v>
      </c>
      <c r="C3" t="s">
        <v>53</v>
      </c>
      <c r="D3">
        <v>670381</v>
      </c>
      <c r="E3">
        <v>1427872</v>
      </c>
      <c r="F3">
        <v>46.95</v>
      </c>
      <c r="G3">
        <v>3.66</v>
      </c>
      <c r="H3">
        <v>958459</v>
      </c>
      <c r="I3">
        <v>2062404</v>
      </c>
      <c r="J3">
        <v>46.47</v>
      </c>
      <c r="K3">
        <v>4.04</v>
      </c>
      <c r="L3" s="1" t="s">
        <v>7</v>
      </c>
    </row>
    <row r="4" spans="1:12">
      <c r="A4" t="s">
        <v>52</v>
      </c>
      <c r="B4" t="s">
        <v>22</v>
      </c>
      <c r="C4" t="s">
        <v>54</v>
      </c>
      <c r="D4">
        <v>204583</v>
      </c>
      <c r="E4">
        <v>1427872</v>
      </c>
      <c r="F4">
        <v>14.33</v>
      </c>
      <c r="G4">
        <v>-0.68</v>
      </c>
      <c r="H4">
        <v>294495</v>
      </c>
      <c r="I4">
        <v>2062404</v>
      </c>
      <c r="J4">
        <v>14.28</v>
      </c>
      <c r="K4">
        <v>-0.64</v>
      </c>
      <c r="L4" s="1" t="s">
        <v>7</v>
      </c>
    </row>
    <row r="5" spans="1:12">
      <c r="A5" t="s">
        <v>52</v>
      </c>
      <c r="B5" t="s">
        <v>22</v>
      </c>
      <c r="C5" t="s">
        <v>55</v>
      </c>
      <c r="D5">
        <v>94641</v>
      </c>
      <c r="E5">
        <v>1427872</v>
      </c>
      <c r="F5">
        <v>6.63</v>
      </c>
      <c r="G5">
        <v>-0.55</v>
      </c>
      <c r="H5">
        <v>136251</v>
      </c>
      <c r="I5">
        <v>2062404</v>
      </c>
      <c r="J5">
        <v>6.61</v>
      </c>
      <c r="K5">
        <v>-0.48</v>
      </c>
      <c r="L5" s="1" t="s">
        <v>7</v>
      </c>
    </row>
    <row r="6" spans="1:12">
      <c r="A6" t="s">
        <v>52</v>
      </c>
      <c r="B6" t="s">
        <v>39</v>
      </c>
      <c r="C6" t="s">
        <v>41</v>
      </c>
      <c r="D6">
        <v>130111</v>
      </c>
      <c r="E6">
        <v>1427872</v>
      </c>
      <c r="F6">
        <v>9.11</v>
      </c>
      <c r="G6">
        <v>-1.36</v>
      </c>
      <c r="H6">
        <v>187945</v>
      </c>
      <c r="I6">
        <v>2062404</v>
      </c>
      <c r="J6">
        <v>9.11</v>
      </c>
      <c r="K6">
        <v>-1.38</v>
      </c>
      <c r="L6" s="1" t="s">
        <v>7</v>
      </c>
    </row>
    <row r="7" spans="1:12">
      <c r="A7" t="s">
        <v>52</v>
      </c>
      <c r="B7" t="s">
        <v>22</v>
      </c>
      <c r="C7" t="s">
        <v>56</v>
      </c>
      <c r="D7">
        <v>296894</v>
      </c>
      <c r="E7">
        <v>1427872</v>
      </c>
      <c r="F7">
        <v>20.79</v>
      </c>
      <c r="G7">
        <v>-1.38</v>
      </c>
      <c r="H7">
        <v>426212</v>
      </c>
      <c r="I7">
        <v>2062404</v>
      </c>
      <c r="J7">
        <v>20.67</v>
      </c>
      <c r="K7">
        <v>-1.44</v>
      </c>
      <c r="L7" s="1" t="s">
        <v>7</v>
      </c>
    </row>
    <row r="8" spans="1:12">
      <c r="A8" t="s">
        <v>52</v>
      </c>
      <c r="B8" t="s">
        <v>29</v>
      </c>
      <c r="C8" t="s">
        <v>32</v>
      </c>
      <c r="D8">
        <v>97604</v>
      </c>
      <c r="E8">
        <v>1427872</v>
      </c>
      <c r="F8">
        <v>6.84</v>
      </c>
      <c r="G8">
        <v>-0.71</v>
      </c>
      <c r="H8">
        <v>141277</v>
      </c>
      <c r="I8">
        <v>2062404</v>
      </c>
      <c r="J8">
        <v>6.85</v>
      </c>
      <c r="K8">
        <v>-0.76</v>
      </c>
      <c r="L8" s="1" t="s">
        <v>7</v>
      </c>
    </row>
    <row r="9" spans="1:12">
      <c r="A9" t="s">
        <v>52</v>
      </c>
      <c r="B9" t="s">
        <v>29</v>
      </c>
      <c r="C9" t="s">
        <v>34</v>
      </c>
      <c r="D9">
        <v>48528</v>
      </c>
      <c r="E9">
        <v>1427872</v>
      </c>
      <c r="F9">
        <v>3.4</v>
      </c>
      <c r="G9">
        <v>-0.23</v>
      </c>
      <c r="H9">
        <v>70573</v>
      </c>
      <c r="I9">
        <v>2062404</v>
      </c>
      <c r="J9">
        <v>3.42</v>
      </c>
      <c r="K9">
        <v>-0.3</v>
      </c>
      <c r="L9" s="1" t="s">
        <v>7</v>
      </c>
    </row>
    <row r="10" spans="1:12">
      <c r="A10" t="s">
        <v>52</v>
      </c>
      <c r="B10" t="s">
        <v>29</v>
      </c>
      <c r="C10" t="s">
        <v>30</v>
      </c>
      <c r="D10">
        <v>151381</v>
      </c>
      <c r="E10">
        <v>1427872</v>
      </c>
      <c r="F10">
        <v>10.6</v>
      </c>
      <c r="G10">
        <v>-0.85</v>
      </c>
      <c r="H10">
        <v>216972</v>
      </c>
      <c r="I10">
        <v>2062404</v>
      </c>
      <c r="J10">
        <v>10.52</v>
      </c>
      <c r="K10">
        <v>-0.79</v>
      </c>
      <c r="L10" s="1" t="s">
        <v>7</v>
      </c>
    </row>
    <row r="11" spans="1:12">
      <c r="A11" t="s">
        <v>52</v>
      </c>
      <c r="B11" t="s">
        <v>2</v>
      </c>
      <c r="C11" t="s">
        <v>11</v>
      </c>
      <c r="D11">
        <v>448016</v>
      </c>
      <c r="E11">
        <v>1427872</v>
      </c>
      <c r="F11">
        <v>31.38</v>
      </c>
      <c r="G11">
        <v>1.83</v>
      </c>
      <c r="H11">
        <v>627735</v>
      </c>
      <c r="I11">
        <v>2062404</v>
      </c>
      <c r="J11">
        <v>30.44</v>
      </c>
      <c r="K11">
        <v>1.8</v>
      </c>
      <c r="L11" s="1" t="s">
        <v>7</v>
      </c>
    </row>
    <row r="12" spans="1:12">
      <c r="A12" t="s">
        <v>52</v>
      </c>
      <c r="B12" t="s">
        <v>14</v>
      </c>
      <c r="C12" t="s">
        <v>17</v>
      </c>
      <c r="D12">
        <v>200806</v>
      </c>
      <c r="E12">
        <v>1427872</v>
      </c>
      <c r="F12">
        <v>14.06</v>
      </c>
      <c r="G12">
        <v>-0.75</v>
      </c>
      <c r="H12">
        <v>289814</v>
      </c>
      <c r="I12">
        <v>2062404</v>
      </c>
      <c r="J12">
        <v>14.05</v>
      </c>
      <c r="K12">
        <v>-0.83</v>
      </c>
      <c r="L12" s="1" t="s">
        <v>7</v>
      </c>
    </row>
    <row r="13" spans="1:12">
      <c r="A13" t="s">
        <v>52</v>
      </c>
      <c r="B13" t="s">
        <v>29</v>
      </c>
      <c r="C13" t="s">
        <v>35</v>
      </c>
      <c r="D13">
        <v>54035</v>
      </c>
      <c r="E13">
        <v>1427872</v>
      </c>
      <c r="F13">
        <v>3.78</v>
      </c>
      <c r="G13">
        <v>-0.16</v>
      </c>
      <c r="H13">
        <v>79888</v>
      </c>
      <c r="I13">
        <v>2062404</v>
      </c>
      <c r="J13">
        <v>3.87</v>
      </c>
      <c r="K13">
        <v>-0.18</v>
      </c>
      <c r="L13" s="1" t="s">
        <v>7</v>
      </c>
    </row>
    <row r="14" spans="1:12">
      <c r="A14" t="s">
        <v>52</v>
      </c>
      <c r="B14" t="s">
        <v>14</v>
      </c>
      <c r="C14" t="s">
        <v>53</v>
      </c>
      <c r="D14">
        <v>487501</v>
      </c>
      <c r="E14">
        <v>1427872</v>
      </c>
      <c r="F14">
        <v>34.14</v>
      </c>
      <c r="G14">
        <v>4.21</v>
      </c>
      <c r="H14">
        <v>698998</v>
      </c>
      <c r="I14">
        <v>2062404</v>
      </c>
      <c r="J14">
        <v>33.89</v>
      </c>
      <c r="K14">
        <v>4.49</v>
      </c>
      <c r="L14" s="1" t="s">
        <v>7</v>
      </c>
    </row>
    <row r="15" spans="1:12">
      <c r="A15" t="s">
        <v>52</v>
      </c>
      <c r="B15" t="s">
        <v>2</v>
      </c>
      <c r="C15" t="s">
        <v>53</v>
      </c>
      <c r="D15">
        <v>516097</v>
      </c>
      <c r="E15">
        <v>1427872</v>
      </c>
      <c r="F15">
        <v>36.14</v>
      </c>
      <c r="G15">
        <v>3.9</v>
      </c>
      <c r="H15">
        <v>740526</v>
      </c>
      <c r="I15">
        <v>2062404</v>
      </c>
      <c r="J15">
        <v>35.91</v>
      </c>
      <c r="K15">
        <v>4.21</v>
      </c>
      <c r="L15" s="1" t="s">
        <v>7</v>
      </c>
    </row>
    <row r="16" spans="1:12">
      <c r="A16" t="s">
        <v>52</v>
      </c>
      <c r="B16" t="s">
        <v>39</v>
      </c>
      <c r="C16" t="s">
        <v>53</v>
      </c>
      <c r="D16">
        <v>786289</v>
      </c>
      <c r="E16">
        <v>1427872</v>
      </c>
      <c r="F16">
        <v>55.07</v>
      </c>
      <c r="G16">
        <v>3.29</v>
      </c>
      <c r="H16">
        <v>1130272</v>
      </c>
      <c r="I16">
        <v>2062404</v>
      </c>
      <c r="J16">
        <v>54.8</v>
      </c>
      <c r="K16">
        <v>3.51</v>
      </c>
      <c r="L16" s="1" t="s">
        <v>7</v>
      </c>
    </row>
    <row r="17" spans="1:12">
      <c r="A17" t="s">
        <v>52</v>
      </c>
      <c r="B17" t="s">
        <v>22</v>
      </c>
      <c r="C17" t="s">
        <v>57</v>
      </c>
      <c r="D17">
        <v>122610</v>
      </c>
      <c r="E17">
        <v>1427872</v>
      </c>
      <c r="F17">
        <v>8.59</v>
      </c>
      <c r="G17">
        <v>-0.82</v>
      </c>
      <c r="H17">
        <v>181835</v>
      </c>
      <c r="I17">
        <v>2062404</v>
      </c>
      <c r="J17">
        <v>8.82</v>
      </c>
      <c r="K17">
        <v>-0.95</v>
      </c>
      <c r="L17" s="1" t="s">
        <v>7</v>
      </c>
    </row>
    <row r="18" spans="1:12">
      <c r="A18" t="s">
        <v>52</v>
      </c>
      <c r="B18" t="s">
        <v>29</v>
      </c>
      <c r="C18" t="s">
        <v>33</v>
      </c>
      <c r="D18">
        <v>113119</v>
      </c>
      <c r="E18">
        <v>1427872</v>
      </c>
      <c r="F18">
        <v>7.92</v>
      </c>
      <c r="G18">
        <v>-0.42</v>
      </c>
      <c r="H18">
        <v>165272</v>
      </c>
      <c r="I18">
        <v>2062404</v>
      </c>
      <c r="J18">
        <v>8.01</v>
      </c>
      <c r="K18">
        <v>-0.47</v>
      </c>
      <c r="L18" s="1" t="s">
        <v>7</v>
      </c>
    </row>
    <row r="19" spans="1:12">
      <c r="A19" t="s">
        <v>52</v>
      </c>
      <c r="B19" t="s">
        <v>14</v>
      </c>
      <c r="C19" t="s">
        <v>20</v>
      </c>
      <c r="D19">
        <v>140462</v>
      </c>
      <c r="E19">
        <v>1427872</v>
      </c>
      <c r="F19">
        <v>9.84</v>
      </c>
      <c r="G19">
        <v>0.1</v>
      </c>
      <c r="H19">
        <v>204678</v>
      </c>
      <c r="I19">
        <v>2062404</v>
      </c>
      <c r="J19">
        <v>9.92</v>
      </c>
      <c r="K19">
        <v>0.01</v>
      </c>
      <c r="L19" s="1" t="s">
        <v>7</v>
      </c>
    </row>
    <row r="20" spans="1:12">
      <c r="A20" t="s">
        <v>52</v>
      </c>
      <c r="B20" t="s">
        <v>22</v>
      </c>
      <c r="C20" t="s">
        <v>53</v>
      </c>
      <c r="D20">
        <v>487501</v>
      </c>
      <c r="E20">
        <v>1427872</v>
      </c>
      <c r="F20">
        <v>34.14</v>
      </c>
      <c r="G20">
        <v>4.21</v>
      </c>
      <c r="H20">
        <v>698998</v>
      </c>
      <c r="I20">
        <v>2062404</v>
      </c>
      <c r="J20">
        <v>33.89</v>
      </c>
      <c r="K20">
        <v>4.49</v>
      </c>
      <c r="L20" s="1" t="s">
        <v>7</v>
      </c>
    </row>
    <row r="21" spans="1:12">
      <c r="A21" t="s">
        <v>52</v>
      </c>
      <c r="B21" t="s">
        <v>2</v>
      </c>
      <c r="C21" t="s">
        <v>12</v>
      </c>
      <c r="D21">
        <v>463759</v>
      </c>
      <c r="E21">
        <v>1427872</v>
      </c>
      <c r="F21">
        <v>32.48</v>
      </c>
      <c r="G21">
        <v>-5.73</v>
      </c>
      <c r="H21">
        <v>694143</v>
      </c>
      <c r="I21">
        <v>2062404</v>
      </c>
      <c r="J21">
        <v>33.66</v>
      </c>
      <c r="K21">
        <v>-6</v>
      </c>
      <c r="L21" s="1" t="s">
        <v>7</v>
      </c>
    </row>
    <row r="22" spans="1:12">
      <c r="A22" t="s">
        <v>52</v>
      </c>
      <c r="B22" t="s">
        <v>22</v>
      </c>
      <c r="C22" t="s">
        <v>58</v>
      </c>
      <c r="D22">
        <v>221643</v>
      </c>
      <c r="E22">
        <v>1427872</v>
      </c>
      <c r="F22">
        <v>15.52</v>
      </c>
      <c r="G22">
        <v>-0.78</v>
      </c>
      <c r="H22">
        <v>324613</v>
      </c>
      <c r="I22">
        <v>2062404</v>
      </c>
      <c r="J22">
        <v>15.74</v>
      </c>
      <c r="K22">
        <v>-0.97</v>
      </c>
      <c r="L22" s="1" t="s">
        <v>7</v>
      </c>
    </row>
    <row r="23" spans="1:12">
      <c r="A23" t="s">
        <v>52</v>
      </c>
      <c r="B23" t="s">
        <v>29</v>
      </c>
      <c r="C23" t="s">
        <v>31</v>
      </c>
      <c r="D23">
        <v>151338</v>
      </c>
      <c r="E23">
        <v>1427872</v>
      </c>
      <c r="F23">
        <v>10.6</v>
      </c>
      <c r="G23">
        <v>-0.93</v>
      </c>
      <c r="H23">
        <v>218779</v>
      </c>
      <c r="I23">
        <v>2062404</v>
      </c>
      <c r="J23">
        <v>10.61</v>
      </c>
      <c r="K23">
        <v>-0.96</v>
      </c>
      <c r="L23" s="1" t="s">
        <v>7</v>
      </c>
    </row>
    <row r="24" spans="1:12">
      <c r="A24" t="s">
        <v>52</v>
      </c>
      <c r="B24" t="s">
        <v>29</v>
      </c>
      <c r="C24" t="s">
        <v>37</v>
      </c>
      <c r="D24">
        <v>79084</v>
      </c>
      <c r="E24">
        <v>1427872</v>
      </c>
      <c r="F24">
        <v>5.54</v>
      </c>
      <c r="G24">
        <v>-0.22</v>
      </c>
      <c r="H24">
        <v>118434</v>
      </c>
      <c r="I24">
        <v>2062404</v>
      </c>
      <c r="J24">
        <v>5.74</v>
      </c>
      <c r="K24">
        <v>-0.35</v>
      </c>
      <c r="L24" s="1" t="s">
        <v>7</v>
      </c>
    </row>
    <row r="25" spans="1:12">
      <c r="A25" t="s">
        <v>52</v>
      </c>
      <c r="B25" t="s">
        <v>14</v>
      </c>
      <c r="C25" t="s">
        <v>19</v>
      </c>
      <c r="D25">
        <v>140735</v>
      </c>
      <c r="E25">
        <v>1427872</v>
      </c>
      <c r="F25">
        <v>9.86</v>
      </c>
      <c r="G25">
        <v>-0.27</v>
      </c>
      <c r="H25">
        <v>209362</v>
      </c>
      <c r="I25">
        <v>2062404</v>
      </c>
      <c r="J25">
        <v>10.15</v>
      </c>
      <c r="K25">
        <v>-0.37</v>
      </c>
      <c r="L25" s="1" t="s">
        <v>7</v>
      </c>
    </row>
    <row r="26" spans="1:12">
      <c r="A26" t="s">
        <v>52</v>
      </c>
      <c r="B26" t="s">
        <v>14</v>
      </c>
      <c r="C26" t="s">
        <v>18</v>
      </c>
      <c r="D26">
        <v>197001</v>
      </c>
      <c r="E26">
        <v>1427872</v>
      </c>
      <c r="F26">
        <v>13.8</v>
      </c>
      <c r="G26">
        <v>-0.5</v>
      </c>
      <c r="H26">
        <v>289501</v>
      </c>
      <c r="I26">
        <v>2062404</v>
      </c>
      <c r="J26">
        <v>14.04</v>
      </c>
      <c r="K26">
        <v>-0.54</v>
      </c>
      <c r="L26" s="1" t="s">
        <v>7</v>
      </c>
    </row>
    <row r="27" spans="1:12">
      <c r="A27" t="s">
        <v>52</v>
      </c>
      <c r="B27" t="s">
        <v>39</v>
      </c>
      <c r="C27" t="s">
        <v>40</v>
      </c>
      <c r="D27">
        <v>511472</v>
      </c>
      <c r="E27">
        <v>1427872</v>
      </c>
      <c r="F27">
        <v>35.82</v>
      </c>
      <c r="G27">
        <v>-1.92</v>
      </c>
      <c r="H27">
        <v>744187</v>
      </c>
      <c r="I27">
        <v>2062404</v>
      </c>
      <c r="J27">
        <v>36.08</v>
      </c>
      <c r="K27">
        <v>-2.14</v>
      </c>
      <c r="L27" s="1" t="s">
        <v>7</v>
      </c>
    </row>
    <row r="28" spans="1:12">
      <c r="A28" t="s">
        <v>52</v>
      </c>
      <c r="B28" t="s">
        <v>14</v>
      </c>
      <c r="C28" t="s">
        <v>16</v>
      </c>
      <c r="D28">
        <v>197877</v>
      </c>
      <c r="E28">
        <v>1427872</v>
      </c>
      <c r="F28">
        <v>13.86</v>
      </c>
      <c r="G28">
        <v>-2.05</v>
      </c>
      <c r="H28">
        <v>281793</v>
      </c>
      <c r="I28">
        <v>2062404</v>
      </c>
      <c r="J28">
        <v>13.66</v>
      </c>
      <c r="K28">
        <v>-2.08</v>
      </c>
      <c r="L28" s="1" t="s">
        <v>7</v>
      </c>
    </row>
    <row r="29" spans="1:12">
      <c r="A29" t="s">
        <v>52</v>
      </c>
      <c r="B29" t="s">
        <v>14</v>
      </c>
      <c r="C29" t="s">
        <v>15</v>
      </c>
      <c r="D29">
        <v>63490</v>
      </c>
      <c r="E29">
        <v>1427872</v>
      </c>
      <c r="F29">
        <v>4.45</v>
      </c>
      <c r="G29">
        <v>-0.74</v>
      </c>
      <c r="H29">
        <v>88258</v>
      </c>
      <c r="I29">
        <v>2062404</v>
      </c>
      <c r="J29">
        <v>4.28</v>
      </c>
      <c r="K29">
        <v>-0.69</v>
      </c>
      <c r="L29" s="1" t="s">
        <v>7</v>
      </c>
    </row>
    <row r="30" spans="1:12">
      <c r="A30" t="s">
        <v>52</v>
      </c>
      <c r="B30" t="s">
        <v>22</v>
      </c>
      <c r="C30" t="s">
        <v>56</v>
      </c>
      <c r="D30">
        <v>245374</v>
      </c>
      <c r="E30">
        <v>1107025</v>
      </c>
      <c r="F30">
        <v>22.17</v>
      </c>
      <c r="G30">
        <v>0.47</v>
      </c>
      <c r="H30">
        <v>377927</v>
      </c>
      <c r="I30">
        <v>1709513</v>
      </c>
      <c r="J30">
        <v>22.11</v>
      </c>
      <c r="K30">
        <v>0.43</v>
      </c>
      <c r="L30" s="1" t="s">
        <v>6</v>
      </c>
    </row>
    <row r="31" spans="1:12">
      <c r="A31" t="s">
        <v>52</v>
      </c>
      <c r="B31" t="s">
        <v>29</v>
      </c>
      <c r="C31" t="s">
        <v>32</v>
      </c>
      <c r="D31">
        <v>83534</v>
      </c>
      <c r="E31">
        <v>1107025</v>
      </c>
      <c r="F31">
        <v>7.55</v>
      </c>
      <c r="G31">
        <v>0.24</v>
      </c>
      <c r="H31">
        <v>130177</v>
      </c>
      <c r="I31">
        <v>1709513</v>
      </c>
      <c r="J31">
        <v>7.61</v>
      </c>
      <c r="K31">
        <v>0.21</v>
      </c>
      <c r="L31" s="1" t="s">
        <v>6</v>
      </c>
    </row>
    <row r="32" spans="1:12">
      <c r="A32" t="s">
        <v>52</v>
      </c>
      <c r="B32" t="s">
        <v>2</v>
      </c>
      <c r="C32" t="s">
        <v>11</v>
      </c>
      <c r="D32">
        <v>327149</v>
      </c>
      <c r="E32">
        <v>1107025</v>
      </c>
      <c r="F32">
        <v>29.55</v>
      </c>
      <c r="G32">
        <v>0.71</v>
      </c>
      <c r="H32">
        <v>489643</v>
      </c>
      <c r="I32">
        <v>1709513</v>
      </c>
      <c r="J32">
        <v>28.64</v>
      </c>
      <c r="K32">
        <v>0.69</v>
      </c>
      <c r="L32" s="1" t="s">
        <v>6</v>
      </c>
    </row>
    <row r="33" spans="1:12">
      <c r="A33" t="s">
        <v>52</v>
      </c>
      <c r="B33" t="s">
        <v>2</v>
      </c>
      <c r="C33" t="s">
        <v>53</v>
      </c>
      <c r="D33">
        <v>356874</v>
      </c>
      <c r="E33">
        <v>1107025</v>
      </c>
      <c r="F33">
        <v>32.24</v>
      </c>
      <c r="G33">
        <v>-2.79</v>
      </c>
      <c r="H33">
        <v>541927</v>
      </c>
      <c r="I33">
        <v>1709513</v>
      </c>
      <c r="J33">
        <v>31.7</v>
      </c>
      <c r="K33">
        <v>-2.65</v>
      </c>
      <c r="L33" s="1" t="s">
        <v>6</v>
      </c>
    </row>
    <row r="34" spans="1:12">
      <c r="A34" t="s">
        <v>52</v>
      </c>
      <c r="B34" t="s">
        <v>39</v>
      </c>
      <c r="C34" t="s">
        <v>53</v>
      </c>
      <c r="D34">
        <v>573240</v>
      </c>
      <c r="E34">
        <v>1107025</v>
      </c>
      <c r="F34">
        <v>51.78</v>
      </c>
      <c r="G34">
        <v>-1.86</v>
      </c>
      <c r="H34">
        <v>876812</v>
      </c>
      <c r="I34">
        <v>1709513</v>
      </c>
      <c r="J34">
        <v>51.29</v>
      </c>
      <c r="K34">
        <v>-1.76</v>
      </c>
      <c r="L34" s="1" t="s">
        <v>6</v>
      </c>
    </row>
    <row r="35" spans="1:12">
      <c r="A35" t="s">
        <v>52</v>
      </c>
      <c r="B35" t="s">
        <v>29</v>
      </c>
      <c r="C35" t="s">
        <v>30</v>
      </c>
      <c r="D35">
        <v>126809</v>
      </c>
      <c r="E35">
        <v>1107025</v>
      </c>
      <c r="F35">
        <v>11.45</v>
      </c>
      <c r="G35">
        <v>0.22</v>
      </c>
      <c r="H35">
        <v>193342</v>
      </c>
      <c r="I35">
        <v>1709513</v>
      </c>
      <c r="J35">
        <v>11.31</v>
      </c>
      <c r="K35">
        <v>0.18</v>
      </c>
      <c r="L35" s="1" t="s">
        <v>6</v>
      </c>
    </row>
    <row r="36" spans="1:12">
      <c r="A36" t="s">
        <v>52</v>
      </c>
      <c r="B36" t="s">
        <v>39</v>
      </c>
      <c r="C36" t="s">
        <v>40</v>
      </c>
      <c r="D36">
        <v>417843</v>
      </c>
      <c r="E36">
        <v>1107025</v>
      </c>
      <c r="F36">
        <v>37.74</v>
      </c>
      <c r="G36">
        <v>1.36</v>
      </c>
      <c r="H36">
        <v>653295</v>
      </c>
      <c r="I36">
        <v>1709513</v>
      </c>
      <c r="J36">
        <v>38.22</v>
      </c>
      <c r="K36">
        <v>1.28</v>
      </c>
      <c r="L36" s="1" t="s">
        <v>6</v>
      </c>
    </row>
    <row r="37" spans="1:12">
      <c r="A37" t="s">
        <v>52</v>
      </c>
      <c r="B37" t="s">
        <v>14</v>
      </c>
      <c r="C37" t="s">
        <v>16</v>
      </c>
      <c r="D37">
        <v>176100</v>
      </c>
      <c r="E37">
        <v>1107025</v>
      </c>
      <c r="F37">
        <v>15.91</v>
      </c>
      <c r="G37">
        <v>1.19</v>
      </c>
      <c r="H37">
        <v>269081</v>
      </c>
      <c r="I37">
        <v>1709513</v>
      </c>
      <c r="J37">
        <v>15.74</v>
      </c>
      <c r="K37">
        <v>1.15</v>
      </c>
      <c r="L37" s="1" t="s">
        <v>6</v>
      </c>
    </row>
    <row r="38" spans="1:12">
      <c r="A38" t="s">
        <v>52</v>
      </c>
      <c r="B38" t="s">
        <v>14</v>
      </c>
      <c r="C38" t="s">
        <v>19</v>
      </c>
      <c r="D38">
        <v>112114</v>
      </c>
      <c r="E38">
        <v>1107025</v>
      </c>
      <c r="F38">
        <v>10.13</v>
      </c>
      <c r="G38">
        <v>0.34</v>
      </c>
      <c r="H38">
        <v>179801</v>
      </c>
      <c r="I38">
        <v>1709513</v>
      </c>
      <c r="J38">
        <v>10.52</v>
      </c>
      <c r="K38">
        <v>0.33</v>
      </c>
      <c r="L38" s="1" t="s">
        <v>6</v>
      </c>
    </row>
    <row r="39" spans="1:12">
      <c r="A39" t="s">
        <v>52</v>
      </c>
      <c r="B39" t="s">
        <v>29</v>
      </c>
      <c r="C39" t="s">
        <v>36</v>
      </c>
      <c r="D39">
        <v>49823</v>
      </c>
      <c r="E39">
        <v>1107025</v>
      </c>
      <c r="F39">
        <v>4.5</v>
      </c>
      <c r="G39">
        <v>0.41</v>
      </c>
      <c r="H39">
        <v>80965</v>
      </c>
      <c r="I39">
        <v>1709513</v>
      </c>
      <c r="J39">
        <v>4.74</v>
      </c>
      <c r="K39">
        <v>0.46</v>
      </c>
      <c r="L39" s="1" t="s">
        <v>6</v>
      </c>
    </row>
    <row r="40" spans="1:12">
      <c r="A40" t="s">
        <v>52</v>
      </c>
      <c r="B40" t="s">
        <v>29</v>
      </c>
      <c r="C40" t="s">
        <v>33</v>
      </c>
      <c r="D40">
        <v>92327</v>
      </c>
      <c r="E40">
        <v>1107025</v>
      </c>
      <c r="F40">
        <v>8.34</v>
      </c>
      <c r="G40">
        <v>0.42</v>
      </c>
      <c r="H40">
        <v>144955</v>
      </c>
      <c r="I40">
        <v>1709513</v>
      </c>
      <c r="J40">
        <v>8.48</v>
      </c>
      <c r="K40">
        <v>0.36</v>
      </c>
      <c r="L40" s="1" t="s">
        <v>6</v>
      </c>
    </row>
    <row r="41" spans="1:12">
      <c r="A41" t="s">
        <v>52</v>
      </c>
      <c r="B41" t="s">
        <v>14</v>
      </c>
      <c r="C41" t="s">
        <v>20</v>
      </c>
      <c r="D41">
        <v>107802</v>
      </c>
      <c r="E41">
        <v>1107025</v>
      </c>
      <c r="F41">
        <v>9.74</v>
      </c>
      <c r="G41">
        <v>0.7</v>
      </c>
      <c r="H41">
        <v>169467</v>
      </c>
      <c r="I41">
        <v>1709513</v>
      </c>
      <c r="J41">
        <v>9.91</v>
      </c>
      <c r="K41">
        <v>0.72</v>
      </c>
      <c r="L41" s="1" t="s">
        <v>6</v>
      </c>
    </row>
    <row r="42" spans="1:12">
      <c r="A42" t="s">
        <v>52</v>
      </c>
      <c r="B42" t="s">
        <v>22</v>
      </c>
      <c r="C42" t="s">
        <v>53</v>
      </c>
      <c r="D42">
        <v>331361</v>
      </c>
      <c r="E42">
        <v>1107025</v>
      </c>
      <c r="F42">
        <v>29.93</v>
      </c>
      <c r="G42">
        <v>-3.12</v>
      </c>
      <c r="H42">
        <v>502613</v>
      </c>
      <c r="I42">
        <v>1709513</v>
      </c>
      <c r="J42">
        <v>29.4</v>
      </c>
      <c r="K42">
        <v>-2.99</v>
      </c>
      <c r="L42" s="1" t="s">
        <v>6</v>
      </c>
    </row>
    <row r="43" spans="1:12">
      <c r="A43" t="s">
        <v>52</v>
      </c>
      <c r="B43" t="s">
        <v>14</v>
      </c>
      <c r="C43" t="s">
        <v>15</v>
      </c>
      <c r="D43">
        <v>57476</v>
      </c>
      <c r="E43">
        <v>1107025</v>
      </c>
      <c r="F43">
        <v>5.19</v>
      </c>
      <c r="G43">
        <v>0.28</v>
      </c>
      <c r="H43">
        <v>84958</v>
      </c>
      <c r="I43">
        <v>1709513</v>
      </c>
      <c r="J43">
        <v>4.97</v>
      </c>
      <c r="K43">
        <v>0.26</v>
      </c>
      <c r="L43" s="1" t="s">
        <v>6</v>
      </c>
    </row>
    <row r="44" spans="1:12">
      <c r="A44" t="s">
        <v>52</v>
      </c>
      <c r="B44" t="s">
        <v>2</v>
      </c>
      <c r="C44" t="s">
        <v>12</v>
      </c>
      <c r="D44">
        <v>423002</v>
      </c>
      <c r="E44">
        <v>1107025</v>
      </c>
      <c r="F44">
        <v>38.21</v>
      </c>
      <c r="G44">
        <v>2.08</v>
      </c>
      <c r="H44">
        <v>677943</v>
      </c>
      <c r="I44">
        <v>1709513</v>
      </c>
      <c r="J44">
        <v>39.66</v>
      </c>
      <c r="K44">
        <v>1.96</v>
      </c>
      <c r="L44" s="1" t="s">
        <v>6</v>
      </c>
    </row>
    <row r="45" spans="1:12">
      <c r="A45" t="s">
        <v>52</v>
      </c>
      <c r="B45" t="s">
        <v>29</v>
      </c>
      <c r="C45" t="s">
        <v>37</v>
      </c>
      <c r="D45">
        <v>63753</v>
      </c>
      <c r="E45">
        <v>1107025</v>
      </c>
      <c r="F45">
        <v>5.76</v>
      </c>
      <c r="G45">
        <v>0.38</v>
      </c>
      <c r="H45">
        <v>104049</v>
      </c>
      <c r="I45">
        <v>1709513</v>
      </c>
      <c r="J45">
        <v>6.09</v>
      </c>
      <c r="K45">
        <v>0.4</v>
      </c>
      <c r="L45" s="1" t="s">
        <v>6</v>
      </c>
    </row>
    <row r="46" spans="1:12">
      <c r="A46" t="s">
        <v>52</v>
      </c>
      <c r="B46" t="s">
        <v>14</v>
      </c>
      <c r="C46" t="s">
        <v>18</v>
      </c>
      <c r="D46">
        <v>158259</v>
      </c>
      <c r="E46">
        <v>1107025</v>
      </c>
      <c r="F46">
        <v>14.3</v>
      </c>
      <c r="G46">
        <v>0.07</v>
      </c>
      <c r="H46">
        <v>249252</v>
      </c>
      <c r="I46">
        <v>1709513</v>
      </c>
      <c r="J46">
        <v>14.58</v>
      </c>
      <c r="K46">
        <v>-0.06</v>
      </c>
      <c r="L46" s="1" t="s">
        <v>6</v>
      </c>
    </row>
    <row r="47" spans="1:12">
      <c r="A47" t="s">
        <v>52</v>
      </c>
      <c r="B47" t="s">
        <v>22</v>
      </c>
      <c r="C47" t="s">
        <v>57</v>
      </c>
      <c r="D47">
        <v>104180</v>
      </c>
      <c r="E47">
        <v>1107025</v>
      </c>
      <c r="F47">
        <v>9.41</v>
      </c>
      <c r="G47">
        <v>-0.13</v>
      </c>
      <c r="H47">
        <v>166993</v>
      </c>
      <c r="I47">
        <v>1709513</v>
      </c>
      <c r="J47">
        <v>9.77</v>
      </c>
      <c r="K47">
        <v>-0.22</v>
      </c>
      <c r="L47" s="1" t="s">
        <v>6</v>
      </c>
    </row>
    <row r="48" spans="1:12">
      <c r="A48" t="s">
        <v>52</v>
      </c>
      <c r="B48" t="s">
        <v>29</v>
      </c>
      <c r="C48" t="s">
        <v>35</v>
      </c>
      <c r="D48">
        <v>43637</v>
      </c>
      <c r="E48">
        <v>1107025</v>
      </c>
      <c r="F48">
        <v>3.94</v>
      </c>
      <c r="G48">
        <v>0.26</v>
      </c>
      <c r="H48">
        <v>69245</v>
      </c>
      <c r="I48">
        <v>1709513</v>
      </c>
      <c r="J48">
        <v>4.05</v>
      </c>
      <c r="K48">
        <v>0.19</v>
      </c>
      <c r="L48" s="1" t="s">
        <v>6</v>
      </c>
    </row>
    <row r="49" spans="1:12">
      <c r="A49" t="s">
        <v>52</v>
      </c>
      <c r="B49" t="s">
        <v>29</v>
      </c>
      <c r="C49" t="s">
        <v>34</v>
      </c>
      <c r="D49">
        <v>40194</v>
      </c>
      <c r="E49">
        <v>1107025</v>
      </c>
      <c r="F49">
        <v>3.63</v>
      </c>
      <c r="G49">
        <v>0.27</v>
      </c>
      <c r="H49">
        <v>63617</v>
      </c>
      <c r="I49">
        <v>1709513</v>
      </c>
      <c r="J49">
        <v>3.72</v>
      </c>
      <c r="K49">
        <v>0.27</v>
      </c>
      <c r="L49" s="1" t="s">
        <v>6</v>
      </c>
    </row>
    <row r="50" spans="1:12">
      <c r="A50" t="s">
        <v>52</v>
      </c>
      <c r="B50" t="s">
        <v>22</v>
      </c>
      <c r="C50" t="s">
        <v>54</v>
      </c>
      <c r="D50">
        <v>166163</v>
      </c>
      <c r="E50">
        <v>1107025</v>
      </c>
      <c r="F50">
        <v>15.01</v>
      </c>
      <c r="G50">
        <v>0.81</v>
      </c>
      <c r="H50">
        <v>255062</v>
      </c>
      <c r="I50">
        <v>1709513</v>
      </c>
      <c r="J50">
        <v>14.92</v>
      </c>
      <c r="K50">
        <v>0.82</v>
      </c>
      <c r="L50" s="1" t="s">
        <v>6</v>
      </c>
    </row>
    <row r="51" spans="1:12">
      <c r="A51" t="s">
        <v>52</v>
      </c>
      <c r="B51" t="s">
        <v>22</v>
      </c>
      <c r="C51" t="s">
        <v>55</v>
      </c>
      <c r="D51">
        <v>79524</v>
      </c>
      <c r="E51">
        <v>1107025</v>
      </c>
      <c r="F51">
        <v>7.18</v>
      </c>
      <c r="G51">
        <v>1.99</v>
      </c>
      <c r="H51">
        <v>121211</v>
      </c>
      <c r="I51">
        <v>1709513</v>
      </c>
      <c r="J51">
        <v>7.09</v>
      </c>
      <c r="K51">
        <v>2.03</v>
      </c>
      <c r="L51" s="1" t="s">
        <v>6</v>
      </c>
    </row>
    <row r="52" spans="1:12">
      <c r="A52" t="s">
        <v>52</v>
      </c>
      <c r="B52" t="s">
        <v>39</v>
      </c>
      <c r="C52" t="s">
        <v>41</v>
      </c>
      <c r="D52">
        <v>115942</v>
      </c>
      <c r="E52">
        <v>1107025</v>
      </c>
      <c r="F52">
        <v>10.47</v>
      </c>
      <c r="G52">
        <v>0.48</v>
      </c>
      <c r="H52">
        <v>179406</v>
      </c>
      <c r="I52">
        <v>1709513</v>
      </c>
      <c r="J52">
        <v>10.49</v>
      </c>
      <c r="K52">
        <v>0.48</v>
      </c>
      <c r="L52" s="1" t="s">
        <v>6</v>
      </c>
    </row>
    <row r="53" spans="1:12">
      <c r="A53" t="s">
        <v>52</v>
      </c>
      <c r="B53" t="s">
        <v>14</v>
      </c>
      <c r="C53" t="s">
        <v>53</v>
      </c>
      <c r="D53">
        <v>331361</v>
      </c>
      <c r="E53">
        <v>1107025</v>
      </c>
      <c r="F53">
        <v>29.93</v>
      </c>
      <c r="G53">
        <v>-3.12</v>
      </c>
      <c r="H53">
        <v>502613</v>
      </c>
      <c r="I53">
        <v>1709513</v>
      </c>
      <c r="J53">
        <v>29.4</v>
      </c>
      <c r="K53">
        <v>-2.99</v>
      </c>
      <c r="L53" s="1" t="s">
        <v>6</v>
      </c>
    </row>
    <row r="54" spans="1:12">
      <c r="A54" t="s">
        <v>52</v>
      </c>
      <c r="B54" t="s">
        <v>22</v>
      </c>
      <c r="C54" t="s">
        <v>58</v>
      </c>
      <c r="D54">
        <v>180423</v>
      </c>
      <c r="E54">
        <v>1107025</v>
      </c>
      <c r="F54">
        <v>16.3</v>
      </c>
      <c r="G54">
        <v>-0.02</v>
      </c>
      <c r="H54">
        <v>285707</v>
      </c>
      <c r="I54">
        <v>1709513</v>
      </c>
      <c r="J54">
        <v>16.71</v>
      </c>
      <c r="K54">
        <v>-0.06</v>
      </c>
      <c r="L54" s="1" t="s">
        <v>6</v>
      </c>
    </row>
    <row r="55" spans="1:12">
      <c r="A55" t="s">
        <v>52</v>
      </c>
      <c r="B55" t="s">
        <v>29</v>
      </c>
      <c r="C55" t="s">
        <v>31</v>
      </c>
      <c r="D55">
        <v>127692</v>
      </c>
      <c r="E55">
        <v>1107025</v>
      </c>
      <c r="F55">
        <v>11.53</v>
      </c>
      <c r="G55">
        <v>0.54</v>
      </c>
      <c r="H55">
        <v>197823</v>
      </c>
      <c r="I55">
        <v>1709513</v>
      </c>
      <c r="J55">
        <v>11.57</v>
      </c>
      <c r="K55">
        <v>0.51</v>
      </c>
      <c r="L55" s="1" t="s">
        <v>6</v>
      </c>
    </row>
    <row r="56" spans="1:12">
      <c r="A56" t="s">
        <v>52</v>
      </c>
      <c r="B56" t="s">
        <v>29</v>
      </c>
      <c r="C56" t="s">
        <v>53</v>
      </c>
      <c r="D56">
        <v>479256</v>
      </c>
      <c r="E56">
        <v>1107025</v>
      </c>
      <c r="F56">
        <v>43.29</v>
      </c>
      <c r="G56">
        <v>-2.76</v>
      </c>
      <c r="H56">
        <v>725340</v>
      </c>
      <c r="I56">
        <v>1709513</v>
      </c>
      <c r="J56">
        <v>42.43</v>
      </c>
      <c r="K56">
        <v>-2.57</v>
      </c>
      <c r="L56" s="1" t="s">
        <v>6</v>
      </c>
    </row>
    <row r="57" spans="1:12">
      <c r="A57" t="s">
        <v>52</v>
      </c>
      <c r="B57" t="s">
        <v>14</v>
      </c>
      <c r="C57" t="s">
        <v>17</v>
      </c>
      <c r="D57">
        <v>163913</v>
      </c>
      <c r="E57">
        <v>1107025</v>
      </c>
      <c r="F57">
        <v>14.81</v>
      </c>
      <c r="G57">
        <v>0.54</v>
      </c>
      <c r="H57">
        <v>254341</v>
      </c>
      <c r="I57">
        <v>1709513</v>
      </c>
      <c r="J57">
        <v>14.88</v>
      </c>
      <c r="K57">
        <v>0.59</v>
      </c>
      <c r="L57" s="1" t="s">
        <v>6</v>
      </c>
    </row>
    <row r="58" spans="1:12">
      <c r="A58" t="s">
        <v>52</v>
      </c>
      <c r="B58" t="s">
        <v>39</v>
      </c>
      <c r="C58" t="s">
        <v>41</v>
      </c>
      <c r="D58">
        <v>108202</v>
      </c>
      <c r="E58">
        <v>1122379</v>
      </c>
      <c r="F58">
        <v>9.64</v>
      </c>
      <c r="G58">
        <v>0.53</v>
      </c>
      <c r="H58">
        <v>166217</v>
      </c>
      <c r="I58">
        <v>1740029</v>
      </c>
      <c r="J58">
        <v>9.55</v>
      </c>
      <c r="K58">
        <v>0.44</v>
      </c>
      <c r="L58" s="1" t="s">
        <v>8</v>
      </c>
    </row>
    <row r="59" spans="1:12">
      <c r="A59" t="s">
        <v>52</v>
      </c>
      <c r="B59" t="s">
        <v>29</v>
      </c>
      <c r="C59" t="s">
        <v>37</v>
      </c>
      <c r="D59">
        <v>64292</v>
      </c>
      <c r="E59">
        <v>1122379</v>
      </c>
      <c r="F59">
        <v>5.73</v>
      </c>
      <c r="G59">
        <v>0.19</v>
      </c>
      <c r="H59">
        <v>104496</v>
      </c>
      <c r="I59">
        <v>1740029</v>
      </c>
      <c r="J59">
        <v>6.01</v>
      </c>
      <c r="K59">
        <v>0.27</v>
      </c>
      <c r="L59" s="1" t="s">
        <v>8</v>
      </c>
    </row>
    <row r="60" spans="1:12">
      <c r="A60" t="s">
        <v>52</v>
      </c>
      <c r="B60" t="s">
        <v>14</v>
      </c>
      <c r="C60" t="s">
        <v>18</v>
      </c>
      <c r="D60">
        <v>162786</v>
      </c>
      <c r="E60">
        <v>1122379</v>
      </c>
      <c r="F60">
        <v>14.5</v>
      </c>
      <c r="G60">
        <v>0.7</v>
      </c>
      <c r="H60">
        <v>258349</v>
      </c>
      <c r="I60">
        <v>1740029</v>
      </c>
      <c r="J60">
        <v>14.85</v>
      </c>
      <c r="K60">
        <v>0.81</v>
      </c>
      <c r="L60" s="1" t="s">
        <v>8</v>
      </c>
    </row>
    <row r="61" spans="1:12">
      <c r="A61" t="s">
        <v>52</v>
      </c>
      <c r="B61" t="s">
        <v>22</v>
      </c>
      <c r="C61" t="s">
        <v>56</v>
      </c>
      <c r="D61">
        <v>244323</v>
      </c>
      <c r="E61">
        <v>1122379</v>
      </c>
      <c r="F61">
        <v>21.77</v>
      </c>
      <c r="G61">
        <v>0.98</v>
      </c>
      <c r="H61">
        <v>378497</v>
      </c>
      <c r="I61">
        <v>1740029</v>
      </c>
      <c r="J61">
        <v>21.75</v>
      </c>
      <c r="K61">
        <v>1.08</v>
      </c>
      <c r="L61" s="1" t="s">
        <v>8</v>
      </c>
    </row>
    <row r="62" spans="1:12">
      <c r="A62" t="s">
        <v>52</v>
      </c>
      <c r="B62" t="s">
        <v>29</v>
      </c>
      <c r="C62" t="s">
        <v>30</v>
      </c>
      <c r="D62">
        <v>124880</v>
      </c>
      <c r="E62">
        <v>1122379</v>
      </c>
      <c r="F62">
        <v>11.13</v>
      </c>
      <c r="G62">
        <v>0.53</v>
      </c>
      <c r="H62">
        <v>191989</v>
      </c>
      <c r="I62">
        <v>1740029</v>
      </c>
      <c r="J62">
        <v>11.03</v>
      </c>
      <c r="K62">
        <v>0.51</v>
      </c>
      <c r="L62" s="1" t="s">
        <v>8</v>
      </c>
    </row>
    <row r="63" spans="1:12">
      <c r="A63" t="s">
        <v>52</v>
      </c>
      <c r="B63" t="s">
        <v>22</v>
      </c>
      <c r="C63" t="s">
        <v>57</v>
      </c>
      <c r="D63">
        <v>100044</v>
      </c>
      <c r="E63">
        <v>1122379</v>
      </c>
      <c r="F63">
        <v>8.91</v>
      </c>
      <c r="G63">
        <v>0.32</v>
      </c>
      <c r="H63">
        <v>160545</v>
      </c>
      <c r="I63">
        <v>1740029</v>
      </c>
      <c r="J63">
        <v>9.23</v>
      </c>
      <c r="K63">
        <v>0.41</v>
      </c>
      <c r="L63" s="1" t="s">
        <v>8</v>
      </c>
    </row>
    <row r="64" spans="1:12">
      <c r="A64" t="s">
        <v>52</v>
      </c>
      <c r="B64" t="s">
        <v>14</v>
      </c>
      <c r="C64" t="s">
        <v>15</v>
      </c>
      <c r="D64">
        <v>52850</v>
      </c>
      <c r="E64">
        <v>1122379</v>
      </c>
      <c r="F64">
        <v>4.71</v>
      </c>
      <c r="G64">
        <v>0.26</v>
      </c>
      <c r="H64">
        <v>78644</v>
      </c>
      <c r="I64">
        <v>1740029</v>
      </c>
      <c r="J64">
        <v>4.52</v>
      </c>
      <c r="K64">
        <v>0.24</v>
      </c>
      <c r="L64" s="1" t="s">
        <v>8</v>
      </c>
    </row>
    <row r="65" spans="1:12">
      <c r="A65" t="s">
        <v>52</v>
      </c>
      <c r="B65" t="s">
        <v>29</v>
      </c>
      <c r="C65" t="s">
        <v>31</v>
      </c>
      <c r="D65">
        <v>124172</v>
      </c>
      <c r="E65">
        <v>1122379</v>
      </c>
      <c r="F65">
        <v>11.06</v>
      </c>
      <c r="G65">
        <v>0.46</v>
      </c>
      <c r="H65">
        <v>193668</v>
      </c>
      <c r="I65">
        <v>1740029</v>
      </c>
      <c r="J65">
        <v>11.13</v>
      </c>
      <c r="K65">
        <v>0.52</v>
      </c>
      <c r="L65" s="1" t="s">
        <v>8</v>
      </c>
    </row>
    <row r="66" spans="1:12">
      <c r="A66" t="s">
        <v>52</v>
      </c>
      <c r="B66" t="s">
        <v>14</v>
      </c>
      <c r="C66" t="s">
        <v>16</v>
      </c>
      <c r="D66">
        <v>162349</v>
      </c>
      <c r="E66">
        <v>1122379</v>
      </c>
      <c r="F66">
        <v>14.46</v>
      </c>
      <c r="G66">
        <v>0.6</v>
      </c>
      <c r="H66">
        <v>248656</v>
      </c>
      <c r="I66">
        <v>1740029</v>
      </c>
      <c r="J66">
        <v>14.29</v>
      </c>
      <c r="K66">
        <v>0.63</v>
      </c>
      <c r="L66" s="1" t="s">
        <v>8</v>
      </c>
    </row>
    <row r="67" spans="1:12">
      <c r="A67" t="s">
        <v>52</v>
      </c>
      <c r="B67" t="s">
        <v>22</v>
      </c>
      <c r="C67" t="s">
        <v>58</v>
      </c>
      <c r="D67">
        <v>178090</v>
      </c>
      <c r="E67">
        <v>1122379</v>
      </c>
      <c r="F67">
        <v>15.87</v>
      </c>
      <c r="G67">
        <v>0.35</v>
      </c>
      <c r="H67">
        <v>282690</v>
      </c>
      <c r="I67">
        <v>1740029</v>
      </c>
      <c r="J67">
        <v>16.25</v>
      </c>
      <c r="K67">
        <v>0.51</v>
      </c>
      <c r="L67" s="1" t="s">
        <v>8</v>
      </c>
    </row>
    <row r="68" spans="1:12">
      <c r="A68" t="s">
        <v>52</v>
      </c>
      <c r="B68" t="s">
        <v>2</v>
      </c>
      <c r="C68" t="s">
        <v>53</v>
      </c>
      <c r="D68">
        <v>374950</v>
      </c>
      <c r="E68">
        <v>1122379</v>
      </c>
      <c r="F68">
        <v>33.41</v>
      </c>
      <c r="G68">
        <v>-2.73</v>
      </c>
      <c r="H68">
        <v>571042</v>
      </c>
      <c r="I68">
        <v>1740029</v>
      </c>
      <c r="J68">
        <v>32.82</v>
      </c>
      <c r="K68">
        <v>-3.09</v>
      </c>
      <c r="L68" s="1" t="s">
        <v>8</v>
      </c>
    </row>
    <row r="69" spans="1:12">
      <c r="A69" t="s">
        <v>52</v>
      </c>
      <c r="B69" t="s">
        <v>29</v>
      </c>
      <c r="C69" t="s">
        <v>33</v>
      </c>
      <c r="D69">
        <v>93494</v>
      </c>
      <c r="E69">
        <v>1122379</v>
      </c>
      <c r="F69">
        <v>8.33</v>
      </c>
      <c r="G69">
        <v>0.41</v>
      </c>
      <c r="H69">
        <v>147691</v>
      </c>
      <c r="I69">
        <v>1740029</v>
      </c>
      <c r="J69">
        <v>8.49</v>
      </c>
      <c r="K69">
        <v>0.48</v>
      </c>
      <c r="L69" s="1" t="s">
        <v>8</v>
      </c>
    </row>
    <row r="70" spans="1:12">
      <c r="A70" t="s">
        <v>52</v>
      </c>
      <c r="B70" t="s">
        <v>14</v>
      </c>
      <c r="C70" t="s">
        <v>19</v>
      </c>
      <c r="D70">
        <v>113576</v>
      </c>
      <c r="E70">
        <v>1122379</v>
      </c>
      <c r="F70">
        <v>10.12</v>
      </c>
      <c r="G70">
        <v>0.26</v>
      </c>
      <c r="H70">
        <v>182748</v>
      </c>
      <c r="I70">
        <v>1740029</v>
      </c>
      <c r="J70">
        <v>10.5</v>
      </c>
      <c r="K70">
        <v>0.35</v>
      </c>
      <c r="L70" s="1" t="s">
        <v>8</v>
      </c>
    </row>
    <row r="71" spans="1:12">
      <c r="A71" t="s">
        <v>52</v>
      </c>
      <c r="B71" t="s">
        <v>29</v>
      </c>
      <c r="C71" t="s">
        <v>32</v>
      </c>
      <c r="D71">
        <v>79348</v>
      </c>
      <c r="E71">
        <v>1122379</v>
      </c>
      <c r="F71">
        <v>7.07</v>
      </c>
      <c r="G71">
        <v>0.23</v>
      </c>
      <c r="H71">
        <v>124504</v>
      </c>
      <c r="I71">
        <v>1740029</v>
      </c>
      <c r="J71">
        <v>7.16</v>
      </c>
      <c r="K71">
        <v>0.31</v>
      </c>
      <c r="L71" s="1" t="s">
        <v>8</v>
      </c>
    </row>
    <row r="72" spans="1:12">
      <c r="A72" t="s">
        <v>52</v>
      </c>
      <c r="B72" t="s">
        <v>22</v>
      </c>
      <c r="C72" t="s">
        <v>53</v>
      </c>
      <c r="D72">
        <v>351165</v>
      </c>
      <c r="E72">
        <v>1122379</v>
      </c>
      <c r="F72">
        <v>31.29</v>
      </c>
      <c r="G72">
        <v>-2.85</v>
      </c>
      <c r="H72">
        <v>534775</v>
      </c>
      <c r="I72">
        <v>1740029</v>
      </c>
      <c r="J72">
        <v>30.73</v>
      </c>
      <c r="K72">
        <v>-3.16</v>
      </c>
      <c r="L72" s="1" t="s">
        <v>8</v>
      </c>
    </row>
    <row r="73" spans="1:12">
      <c r="A73" t="s">
        <v>52</v>
      </c>
      <c r="B73" t="s">
        <v>29</v>
      </c>
      <c r="C73" t="s">
        <v>53</v>
      </c>
      <c r="D73">
        <v>502422</v>
      </c>
      <c r="E73">
        <v>1122379</v>
      </c>
      <c r="F73">
        <v>44.76</v>
      </c>
      <c r="G73">
        <v>-2.19</v>
      </c>
      <c r="H73">
        <v>762553</v>
      </c>
      <c r="I73">
        <v>1740029</v>
      </c>
      <c r="J73">
        <v>43.82</v>
      </c>
      <c r="K73">
        <v>-2.65</v>
      </c>
      <c r="L73" s="1" t="s">
        <v>8</v>
      </c>
    </row>
    <row r="74" spans="1:12">
      <c r="A74" t="s">
        <v>52</v>
      </c>
      <c r="B74" t="s">
        <v>22</v>
      </c>
      <c r="C74" t="s">
        <v>55</v>
      </c>
      <c r="D74">
        <v>80276</v>
      </c>
      <c r="E74">
        <v>1122379</v>
      </c>
      <c r="F74">
        <v>7.15</v>
      </c>
      <c r="G74">
        <v>0.52</v>
      </c>
      <c r="H74">
        <v>122989</v>
      </c>
      <c r="I74">
        <v>1740029</v>
      </c>
      <c r="J74">
        <v>7.07</v>
      </c>
      <c r="K74">
        <v>0.46</v>
      </c>
      <c r="L74" s="1" t="s">
        <v>8</v>
      </c>
    </row>
    <row r="75" spans="1:12">
      <c r="A75" t="s">
        <v>52</v>
      </c>
      <c r="B75" t="s">
        <v>39</v>
      </c>
      <c r="C75" t="s">
        <v>40</v>
      </c>
      <c r="D75">
        <v>422903</v>
      </c>
      <c r="E75">
        <v>1122379</v>
      </c>
      <c r="F75">
        <v>37.68</v>
      </c>
      <c r="G75">
        <v>1.86</v>
      </c>
      <c r="H75">
        <v>666103</v>
      </c>
      <c r="I75">
        <v>1740029</v>
      </c>
      <c r="J75">
        <v>38.28</v>
      </c>
      <c r="K75">
        <v>2.2</v>
      </c>
      <c r="L75" s="1" t="s">
        <v>8</v>
      </c>
    </row>
    <row r="76" spans="1:12">
      <c r="A76" t="s">
        <v>52</v>
      </c>
      <c r="B76" t="s">
        <v>14</v>
      </c>
      <c r="C76" t="s">
        <v>53</v>
      </c>
      <c r="D76">
        <v>351165</v>
      </c>
      <c r="E76">
        <v>1122379</v>
      </c>
      <c r="F76">
        <v>31.29</v>
      </c>
      <c r="G76">
        <v>-2.85</v>
      </c>
      <c r="H76">
        <v>534775</v>
      </c>
      <c r="I76">
        <v>1740029</v>
      </c>
      <c r="J76">
        <v>30.73</v>
      </c>
      <c r="K76">
        <v>-3.16</v>
      </c>
      <c r="L76" s="1" t="s">
        <v>8</v>
      </c>
    </row>
    <row r="77" spans="1:12">
      <c r="A77" t="s">
        <v>52</v>
      </c>
      <c r="B77" t="s">
        <v>14</v>
      </c>
      <c r="C77" t="s">
        <v>20</v>
      </c>
      <c r="D77">
        <v>112259</v>
      </c>
      <c r="E77">
        <v>1122379</v>
      </c>
      <c r="F77">
        <v>10</v>
      </c>
      <c r="G77">
        <v>0.16</v>
      </c>
      <c r="H77">
        <v>176678</v>
      </c>
      <c r="I77">
        <v>1740029</v>
      </c>
      <c r="J77">
        <v>10.15</v>
      </c>
      <c r="K77">
        <v>0.23</v>
      </c>
      <c r="L77" s="1" t="s">
        <v>8</v>
      </c>
    </row>
    <row r="78" spans="1:12">
      <c r="A78" t="s">
        <v>52</v>
      </c>
      <c r="B78" t="s">
        <v>39</v>
      </c>
      <c r="C78" t="s">
        <v>53</v>
      </c>
      <c r="D78">
        <v>591274</v>
      </c>
      <c r="E78">
        <v>1122379</v>
      </c>
      <c r="F78">
        <v>52.68</v>
      </c>
      <c r="G78">
        <v>-2.39</v>
      </c>
      <c r="H78">
        <v>907709</v>
      </c>
      <c r="I78">
        <v>1740029</v>
      </c>
      <c r="J78">
        <v>52.17</v>
      </c>
      <c r="K78">
        <v>-2.63</v>
      </c>
      <c r="L78" s="1" t="s">
        <v>8</v>
      </c>
    </row>
    <row r="79" spans="1:12">
      <c r="A79" t="s">
        <v>52</v>
      </c>
      <c r="B79" t="s">
        <v>2</v>
      </c>
      <c r="C79" t="s">
        <v>11</v>
      </c>
      <c r="D79">
        <v>324587</v>
      </c>
      <c r="E79">
        <v>1122379</v>
      </c>
      <c r="F79">
        <v>28.92</v>
      </c>
      <c r="G79">
        <v>-2.46</v>
      </c>
      <c r="H79">
        <v>491137</v>
      </c>
      <c r="I79">
        <v>1740029</v>
      </c>
      <c r="J79">
        <v>28.23</v>
      </c>
      <c r="K79">
        <v>-2.21</v>
      </c>
      <c r="L79" s="1" t="s">
        <v>8</v>
      </c>
    </row>
    <row r="80" spans="1:12">
      <c r="A80" t="s">
        <v>52</v>
      </c>
      <c r="B80" t="s">
        <v>29</v>
      </c>
      <c r="C80" t="s">
        <v>36</v>
      </c>
      <c r="D80">
        <v>50638</v>
      </c>
      <c r="E80">
        <v>1122379</v>
      </c>
      <c r="F80">
        <v>4.51</v>
      </c>
      <c r="G80">
        <v>0.14</v>
      </c>
      <c r="H80">
        <v>82235</v>
      </c>
      <c r="I80">
        <v>1740029</v>
      </c>
      <c r="J80">
        <v>4.73</v>
      </c>
      <c r="K80">
        <v>0.23</v>
      </c>
      <c r="L80" s="1" t="s">
        <v>8</v>
      </c>
    </row>
    <row r="81" spans="1:12">
      <c r="A81" t="s">
        <v>52</v>
      </c>
      <c r="B81" t="s">
        <v>29</v>
      </c>
      <c r="C81" t="s">
        <v>34</v>
      </c>
      <c r="D81">
        <v>39220</v>
      </c>
      <c r="E81">
        <v>1122379</v>
      </c>
      <c r="F81">
        <v>3.49</v>
      </c>
      <c r="G81">
        <v>0.09</v>
      </c>
      <c r="H81">
        <v>62430</v>
      </c>
      <c r="I81">
        <v>1740029</v>
      </c>
      <c r="J81">
        <v>3.59</v>
      </c>
      <c r="K81">
        <v>0.17</v>
      </c>
      <c r="L81" s="1" t="s">
        <v>8</v>
      </c>
    </row>
    <row r="82" spans="1:12">
      <c r="A82" t="s">
        <v>52</v>
      </c>
      <c r="B82" t="s">
        <v>22</v>
      </c>
      <c r="C82" t="s">
        <v>54</v>
      </c>
      <c r="D82">
        <v>168481</v>
      </c>
      <c r="E82">
        <v>1122379</v>
      </c>
      <c r="F82">
        <v>15.01</v>
      </c>
      <c r="G82">
        <v>0.68</v>
      </c>
      <c r="H82">
        <v>260533</v>
      </c>
      <c r="I82">
        <v>1740029</v>
      </c>
      <c r="J82">
        <v>14.97</v>
      </c>
      <c r="K82">
        <v>0.69</v>
      </c>
      <c r="L82" s="1" t="s">
        <v>8</v>
      </c>
    </row>
    <row r="83" spans="1:12">
      <c r="A83" t="s">
        <v>52</v>
      </c>
      <c r="B83" t="s">
        <v>2</v>
      </c>
      <c r="C83" t="s">
        <v>12</v>
      </c>
      <c r="D83">
        <v>422842</v>
      </c>
      <c r="E83">
        <v>1122379</v>
      </c>
      <c r="F83">
        <v>37.67</v>
      </c>
      <c r="G83">
        <v>5.19</v>
      </c>
      <c r="H83">
        <v>677850</v>
      </c>
      <c r="I83">
        <v>1740029</v>
      </c>
      <c r="J83">
        <v>38.96</v>
      </c>
      <c r="K83">
        <v>5.3</v>
      </c>
      <c r="L83" s="1" t="s">
        <v>8</v>
      </c>
    </row>
    <row r="84" spans="1:12">
      <c r="A84" t="s">
        <v>52</v>
      </c>
      <c r="B84" t="s">
        <v>14</v>
      </c>
      <c r="C84" t="s">
        <v>17</v>
      </c>
      <c r="D84">
        <v>167394</v>
      </c>
      <c r="E84">
        <v>1122379</v>
      </c>
      <c r="F84">
        <v>14.91</v>
      </c>
      <c r="G84">
        <v>0.85</v>
      </c>
      <c r="H84">
        <v>260179</v>
      </c>
      <c r="I84">
        <v>1740029</v>
      </c>
      <c r="J84">
        <v>14.95</v>
      </c>
      <c r="K84">
        <v>0.9</v>
      </c>
      <c r="L84" s="1" t="s">
        <v>8</v>
      </c>
    </row>
    <row r="85" spans="1:12">
      <c r="A85" t="s">
        <v>52</v>
      </c>
      <c r="B85" t="s">
        <v>29</v>
      </c>
      <c r="C85" t="s">
        <v>35</v>
      </c>
      <c r="D85">
        <v>43913</v>
      </c>
      <c r="E85">
        <v>1122379</v>
      </c>
      <c r="F85">
        <v>3.91</v>
      </c>
      <c r="G85">
        <v>0.13</v>
      </c>
      <c r="H85">
        <v>70463</v>
      </c>
      <c r="I85">
        <v>1740029</v>
      </c>
      <c r="J85">
        <v>4.05</v>
      </c>
      <c r="K85">
        <v>0.18</v>
      </c>
      <c r="L85" s="1" t="s">
        <v>8</v>
      </c>
    </row>
    <row r="86" spans="1:12">
      <c r="A86" s="2" t="s">
        <v>52</v>
      </c>
      <c r="B86" s="2" t="s">
        <v>22</v>
      </c>
      <c r="C86" s="2" t="s">
        <v>57</v>
      </c>
      <c r="D86">
        <v>146717</v>
      </c>
      <c r="E86">
        <v>1680801</v>
      </c>
      <c r="F86">
        <v>8.73</v>
      </c>
      <c r="G86">
        <v>-0.18</v>
      </c>
      <c r="H86">
        <v>246747</v>
      </c>
      <c r="I86">
        <v>2719759</v>
      </c>
      <c r="J86">
        <v>9.07</v>
      </c>
      <c r="K86">
        <v>-0.16</v>
      </c>
      <c r="L86" s="1" t="s">
        <v>9</v>
      </c>
    </row>
    <row r="87" spans="1:12">
      <c r="A87" s="2" t="s">
        <v>52</v>
      </c>
      <c r="B87" s="2" t="s">
        <v>29</v>
      </c>
      <c r="C87" s="2" t="s">
        <v>32</v>
      </c>
      <c r="D87">
        <v>114135</v>
      </c>
      <c r="E87">
        <v>1680801</v>
      </c>
      <c r="F87">
        <v>6.79</v>
      </c>
      <c r="G87">
        <v>-0.28</v>
      </c>
      <c r="H87">
        <v>186393</v>
      </c>
      <c r="I87">
        <v>2719759</v>
      </c>
      <c r="J87">
        <v>6.85</v>
      </c>
      <c r="K87">
        <v>-0.31</v>
      </c>
      <c r="L87" s="1" t="s">
        <v>9</v>
      </c>
    </row>
    <row r="88" spans="1:12">
      <c r="A88" s="2" t="s">
        <v>52</v>
      </c>
      <c r="B88" s="2" t="s">
        <v>22</v>
      </c>
      <c r="C88" s="2" t="s">
        <v>53</v>
      </c>
      <c r="D88">
        <v>564571</v>
      </c>
      <c r="E88">
        <v>1680801</v>
      </c>
      <c r="F88">
        <v>33.59</v>
      </c>
      <c r="G88">
        <v>2.3</v>
      </c>
      <c r="H88">
        <v>898866</v>
      </c>
      <c r="I88">
        <v>2719759</v>
      </c>
      <c r="J88">
        <v>33.05</v>
      </c>
      <c r="K88">
        <v>2.32</v>
      </c>
      <c r="L88" s="1" t="s">
        <v>9</v>
      </c>
    </row>
    <row r="89" spans="1:12">
      <c r="A89" s="2" t="s">
        <v>52</v>
      </c>
      <c r="B89" s="2" t="s">
        <v>39</v>
      </c>
      <c r="C89" s="2" t="s">
        <v>41</v>
      </c>
      <c r="D89">
        <v>151806</v>
      </c>
      <c r="E89">
        <v>1680801</v>
      </c>
      <c r="F89">
        <v>9.03</v>
      </c>
      <c r="G89">
        <v>-0.61</v>
      </c>
      <c r="H89">
        <v>243548</v>
      </c>
      <c r="I89">
        <v>2719759</v>
      </c>
      <c r="J89">
        <v>8.95</v>
      </c>
      <c r="K89">
        <v>-0.6</v>
      </c>
      <c r="L89" s="1" t="s">
        <v>9</v>
      </c>
    </row>
    <row r="90" spans="1:12">
      <c r="A90" s="2" t="s">
        <v>52</v>
      </c>
      <c r="B90" s="2" t="s">
        <v>29</v>
      </c>
      <c r="C90" s="2" t="s">
        <v>37</v>
      </c>
      <c r="D90">
        <v>91669</v>
      </c>
      <c r="E90">
        <v>1680801</v>
      </c>
      <c r="F90">
        <v>5.45</v>
      </c>
      <c r="G90">
        <v>-0.28</v>
      </c>
      <c r="H90">
        <v>156934</v>
      </c>
      <c r="I90">
        <v>2719759</v>
      </c>
      <c r="J90">
        <v>5.77</v>
      </c>
      <c r="K90">
        <v>-0.24</v>
      </c>
      <c r="L90" s="1" t="s">
        <v>9</v>
      </c>
    </row>
    <row r="91" spans="1:12">
      <c r="A91" s="2" t="s">
        <v>52</v>
      </c>
      <c r="B91" s="2" t="s">
        <v>29</v>
      </c>
      <c r="C91" s="2" t="s">
        <v>53</v>
      </c>
      <c r="D91">
        <v>785058</v>
      </c>
      <c r="E91">
        <v>1680801</v>
      </c>
      <c r="F91">
        <v>46.71</v>
      </c>
      <c r="G91">
        <v>1.95</v>
      </c>
      <c r="H91">
        <v>1245596</v>
      </c>
      <c r="I91">
        <v>2719759</v>
      </c>
      <c r="J91">
        <v>45.8</v>
      </c>
      <c r="K91">
        <v>1.98</v>
      </c>
      <c r="L91" s="1" t="s">
        <v>9</v>
      </c>
    </row>
    <row r="92" spans="1:12">
      <c r="A92" s="2" t="s">
        <v>52</v>
      </c>
      <c r="B92" s="2" t="s">
        <v>22</v>
      </c>
      <c r="C92" s="2" t="s">
        <v>56</v>
      </c>
      <c r="D92">
        <v>350568</v>
      </c>
      <c r="E92">
        <v>1680801</v>
      </c>
      <c r="F92">
        <v>20.86</v>
      </c>
      <c r="G92">
        <v>-0.91</v>
      </c>
      <c r="H92">
        <v>566769</v>
      </c>
      <c r="I92">
        <v>2719759</v>
      </c>
      <c r="J92">
        <v>20.84</v>
      </c>
      <c r="K92">
        <v>-0.91</v>
      </c>
      <c r="L92" s="1" t="s">
        <v>9</v>
      </c>
    </row>
    <row r="93" spans="1:12">
      <c r="A93" s="2" t="s">
        <v>52</v>
      </c>
      <c r="B93" s="2" t="s">
        <v>29</v>
      </c>
      <c r="C93" s="2" t="s">
        <v>36</v>
      </c>
      <c r="D93">
        <v>72360</v>
      </c>
      <c r="E93">
        <v>1680801</v>
      </c>
      <c r="F93">
        <v>4.31</v>
      </c>
      <c r="G93">
        <v>-0.2</v>
      </c>
      <c r="H93">
        <v>122733</v>
      </c>
      <c r="I93">
        <v>2719759</v>
      </c>
      <c r="J93">
        <v>4.51</v>
      </c>
      <c r="K93">
        <v>-0.22</v>
      </c>
      <c r="L93" s="1" t="s">
        <v>9</v>
      </c>
    </row>
    <row r="94" spans="1:12">
      <c r="A94" s="2" t="s">
        <v>52</v>
      </c>
      <c r="B94" s="2" t="s">
        <v>2</v>
      </c>
      <c r="C94" s="2" t="s">
        <v>11</v>
      </c>
      <c r="D94">
        <v>478641</v>
      </c>
      <c r="E94">
        <v>1680801</v>
      </c>
      <c r="F94">
        <v>28.48</v>
      </c>
      <c r="G94">
        <v>-0.44</v>
      </c>
      <c r="H94">
        <v>749942</v>
      </c>
      <c r="I94">
        <v>2719759</v>
      </c>
      <c r="J94">
        <v>27.57</v>
      </c>
      <c r="K94">
        <v>-0.66</v>
      </c>
      <c r="L94" s="1" t="s">
        <v>9</v>
      </c>
    </row>
    <row r="95" spans="1:12">
      <c r="A95" s="2" t="s">
        <v>52</v>
      </c>
      <c r="B95" s="2" t="s">
        <v>29</v>
      </c>
      <c r="C95" s="2" t="s">
        <v>31</v>
      </c>
      <c r="D95">
        <v>180788</v>
      </c>
      <c r="E95">
        <v>1680801</v>
      </c>
      <c r="F95">
        <v>10.76</v>
      </c>
      <c r="G95">
        <v>-0.3</v>
      </c>
      <c r="H95">
        <v>293539</v>
      </c>
      <c r="I95">
        <v>2719759</v>
      </c>
      <c r="J95">
        <v>10.79</v>
      </c>
      <c r="K95">
        <v>-0.34</v>
      </c>
      <c r="L95" s="1" t="s">
        <v>9</v>
      </c>
    </row>
    <row r="96" spans="1:12">
      <c r="A96" s="2" t="s">
        <v>52</v>
      </c>
      <c r="B96" s="2" t="s">
        <v>14</v>
      </c>
      <c r="C96" s="2" t="s">
        <v>16</v>
      </c>
      <c r="D96">
        <v>232773</v>
      </c>
      <c r="E96">
        <v>1680801</v>
      </c>
      <c r="F96">
        <v>13.85</v>
      </c>
      <c r="G96">
        <v>-0.61</v>
      </c>
      <c r="H96">
        <v>370973</v>
      </c>
      <c r="I96">
        <v>2719759</v>
      </c>
      <c r="J96">
        <v>13.64</v>
      </c>
      <c r="K96">
        <v>-0.65</v>
      </c>
      <c r="L96" s="1" t="s">
        <v>9</v>
      </c>
    </row>
    <row r="97" spans="1:12">
      <c r="A97" s="2" t="s">
        <v>52</v>
      </c>
      <c r="B97" s="2" t="s">
        <v>29</v>
      </c>
      <c r="C97" s="2" t="s">
        <v>35</v>
      </c>
      <c r="D97">
        <v>62976</v>
      </c>
      <c r="E97">
        <v>1680801</v>
      </c>
      <c r="F97">
        <v>3.75</v>
      </c>
      <c r="G97">
        <v>-0.16</v>
      </c>
      <c r="H97">
        <v>105862</v>
      </c>
      <c r="I97">
        <v>2719759</v>
      </c>
      <c r="J97">
        <v>3.89</v>
      </c>
      <c r="K97">
        <v>-0.16</v>
      </c>
      <c r="L97" s="1" t="s">
        <v>9</v>
      </c>
    </row>
    <row r="98" spans="1:12">
      <c r="A98" s="2" t="s">
        <v>52</v>
      </c>
      <c r="B98" s="2" t="s">
        <v>22</v>
      </c>
      <c r="C98" s="2" t="s">
        <v>55</v>
      </c>
      <c r="D98">
        <v>114831</v>
      </c>
      <c r="E98">
        <v>1680801</v>
      </c>
      <c r="F98">
        <v>6.83</v>
      </c>
      <c r="G98">
        <v>-0.32</v>
      </c>
      <c r="H98">
        <v>183388</v>
      </c>
      <c r="I98">
        <v>2719759</v>
      </c>
      <c r="J98">
        <v>6.74</v>
      </c>
      <c r="K98">
        <v>-0.33</v>
      </c>
      <c r="L98" s="1" t="s">
        <v>9</v>
      </c>
    </row>
    <row r="99" spans="1:12">
      <c r="A99" s="2" t="s">
        <v>52</v>
      </c>
      <c r="B99" s="2" t="s">
        <v>14</v>
      </c>
      <c r="C99" s="2" t="s">
        <v>17</v>
      </c>
      <c r="D99">
        <v>231573</v>
      </c>
      <c r="E99">
        <v>1680801</v>
      </c>
      <c r="F99">
        <v>13.78</v>
      </c>
      <c r="G99">
        <v>-1.13</v>
      </c>
      <c r="H99">
        <v>373322</v>
      </c>
      <c r="I99">
        <v>2719759</v>
      </c>
      <c r="J99">
        <v>13.73</v>
      </c>
      <c r="K99">
        <v>-1.22</v>
      </c>
      <c r="L99" s="1" t="s">
        <v>9</v>
      </c>
    </row>
    <row r="100" spans="1:12">
      <c r="A100" s="2" t="s">
        <v>52</v>
      </c>
      <c r="B100" s="2" t="s">
        <v>2</v>
      </c>
      <c r="C100" s="2" t="s">
        <v>12</v>
      </c>
      <c r="D100">
        <v>606228</v>
      </c>
      <c r="E100">
        <v>1680801</v>
      </c>
      <c r="F100">
        <v>36.07</v>
      </c>
      <c r="G100">
        <v>-1.6</v>
      </c>
      <c r="H100">
        <v>1020860</v>
      </c>
      <c r="I100">
        <v>2719759</v>
      </c>
      <c r="J100">
        <v>37.53</v>
      </c>
      <c r="K100">
        <v>-1.43</v>
      </c>
      <c r="L100" s="1" t="s">
        <v>9</v>
      </c>
    </row>
    <row r="101" spans="1:12">
      <c r="A101" s="2" t="s">
        <v>52</v>
      </c>
      <c r="B101" s="2" t="s">
        <v>2</v>
      </c>
      <c r="C101" s="2" t="s">
        <v>53</v>
      </c>
      <c r="D101">
        <v>595932</v>
      </c>
      <c r="E101">
        <v>1680801</v>
      </c>
      <c r="F101">
        <v>35.46</v>
      </c>
      <c r="G101">
        <v>2.05</v>
      </c>
      <c r="H101">
        <v>948957</v>
      </c>
      <c r="I101">
        <v>2719759</v>
      </c>
      <c r="J101">
        <v>34.89</v>
      </c>
      <c r="K101">
        <v>2.07</v>
      </c>
      <c r="L101" s="1" t="s">
        <v>9</v>
      </c>
    </row>
    <row r="102" spans="1:12">
      <c r="A102" s="2" t="s">
        <v>52</v>
      </c>
      <c r="B102" s="2" t="s">
        <v>14</v>
      </c>
      <c r="C102" s="2" t="s">
        <v>20</v>
      </c>
      <c r="D102">
        <v>174273</v>
      </c>
      <c r="E102">
        <v>1680801</v>
      </c>
      <c r="F102">
        <v>10.37</v>
      </c>
      <c r="G102">
        <v>0.37</v>
      </c>
      <c r="H102">
        <v>288825</v>
      </c>
      <c r="I102">
        <v>2719759</v>
      </c>
      <c r="J102">
        <v>10.62</v>
      </c>
      <c r="K102">
        <v>0.47</v>
      </c>
      <c r="L102" s="1" t="s">
        <v>9</v>
      </c>
    </row>
    <row r="103" spans="1:12">
      <c r="A103" s="2" t="s">
        <v>52</v>
      </c>
      <c r="B103" s="2" t="s">
        <v>29</v>
      </c>
      <c r="C103" s="2" t="s">
        <v>34</v>
      </c>
      <c r="D103">
        <v>56795</v>
      </c>
      <c r="E103">
        <v>1680801</v>
      </c>
      <c r="F103">
        <v>3.38</v>
      </c>
      <c r="G103">
        <v>-0.11</v>
      </c>
      <c r="H103">
        <v>94406</v>
      </c>
      <c r="I103">
        <v>2719759</v>
      </c>
      <c r="J103">
        <v>3.47</v>
      </c>
      <c r="K103">
        <v>-0.12</v>
      </c>
      <c r="L103" s="1" t="s">
        <v>9</v>
      </c>
    </row>
    <row r="104" spans="1:12">
      <c r="A104" s="2" t="s">
        <v>52</v>
      </c>
      <c r="B104" s="2" t="s">
        <v>14</v>
      </c>
      <c r="C104" s="2" t="s">
        <v>18</v>
      </c>
      <c r="D104">
        <v>233190</v>
      </c>
      <c r="E104">
        <v>1680801</v>
      </c>
      <c r="F104">
        <v>13.87</v>
      </c>
      <c r="G104">
        <v>-0.63</v>
      </c>
      <c r="H104">
        <v>385679</v>
      </c>
      <c r="I104">
        <v>2719759</v>
      </c>
      <c r="J104">
        <v>14.18</v>
      </c>
      <c r="K104">
        <v>-0.67</v>
      </c>
      <c r="L104" s="1" t="s">
        <v>9</v>
      </c>
    </row>
    <row r="105" spans="1:12">
      <c r="A105" s="2" t="s">
        <v>52</v>
      </c>
      <c r="B105" s="2" t="s">
        <v>22</v>
      </c>
      <c r="C105" s="2" t="s">
        <v>54</v>
      </c>
      <c r="D105">
        <v>245483</v>
      </c>
      <c r="E105">
        <v>1680801</v>
      </c>
      <c r="F105">
        <v>14.61</v>
      </c>
      <c r="G105">
        <v>-0.4</v>
      </c>
      <c r="H105">
        <v>394293</v>
      </c>
      <c r="I105">
        <v>2719759</v>
      </c>
      <c r="J105">
        <v>14.5</v>
      </c>
      <c r="K105">
        <v>-0.47</v>
      </c>
      <c r="L105" s="1" t="s">
        <v>9</v>
      </c>
    </row>
    <row r="106" spans="1:12">
      <c r="A106" s="2" t="s">
        <v>52</v>
      </c>
      <c r="B106" s="2" t="s">
        <v>22</v>
      </c>
      <c r="C106" s="2" t="s">
        <v>58</v>
      </c>
      <c r="D106">
        <v>258631</v>
      </c>
      <c r="E106">
        <v>1680801</v>
      </c>
      <c r="F106">
        <v>15.39</v>
      </c>
      <c r="G106">
        <v>-0.48</v>
      </c>
      <c r="H106">
        <v>429696</v>
      </c>
      <c r="I106">
        <v>2719759</v>
      </c>
      <c r="J106">
        <v>15.8</v>
      </c>
      <c r="K106">
        <v>-0.45</v>
      </c>
      <c r="L106" s="1" t="s">
        <v>9</v>
      </c>
    </row>
    <row r="107" spans="1:12">
      <c r="A107" s="2" t="s">
        <v>52</v>
      </c>
      <c r="B107" s="2" t="s">
        <v>29</v>
      </c>
      <c r="C107" s="2" t="s">
        <v>30</v>
      </c>
      <c r="D107">
        <v>182171</v>
      </c>
      <c r="E107">
        <v>1680801</v>
      </c>
      <c r="F107">
        <v>10.84</v>
      </c>
      <c r="G107">
        <v>-0.29</v>
      </c>
      <c r="H107">
        <v>292316</v>
      </c>
      <c r="I107">
        <v>2719759</v>
      </c>
      <c r="J107">
        <v>10.75</v>
      </c>
      <c r="K107">
        <v>-0.28</v>
      </c>
      <c r="L107" s="1" t="s">
        <v>9</v>
      </c>
    </row>
    <row r="108" spans="1:12">
      <c r="A108" s="2" t="s">
        <v>52</v>
      </c>
      <c r="B108" s="2" t="s">
        <v>14</v>
      </c>
      <c r="C108" s="2" t="s">
        <v>19</v>
      </c>
      <c r="D108">
        <v>169754</v>
      </c>
      <c r="E108">
        <v>1680801</v>
      </c>
      <c r="F108">
        <v>10.1</v>
      </c>
      <c r="G108">
        <v>-0.02</v>
      </c>
      <c r="H108">
        <v>286913</v>
      </c>
      <c r="I108">
        <v>2719759</v>
      </c>
      <c r="J108">
        <v>10.55</v>
      </c>
      <c r="K108">
        <v>0.05</v>
      </c>
      <c r="L108" s="1" t="s">
        <v>9</v>
      </c>
    </row>
    <row r="109" spans="1:12">
      <c r="A109" s="2" t="s">
        <v>52</v>
      </c>
      <c r="B109" s="2" t="s">
        <v>29</v>
      </c>
      <c r="C109" s="2" t="s">
        <v>33</v>
      </c>
      <c r="D109">
        <v>134849</v>
      </c>
      <c r="E109">
        <v>1680801</v>
      </c>
      <c r="F109">
        <v>8.02</v>
      </c>
      <c r="G109">
        <v>-0.31</v>
      </c>
      <c r="H109">
        <v>221980</v>
      </c>
      <c r="I109">
        <v>2719759</v>
      </c>
      <c r="J109">
        <v>8.16</v>
      </c>
      <c r="K109">
        <v>-0.33</v>
      </c>
      <c r="L109" s="1" t="s">
        <v>9</v>
      </c>
    </row>
    <row r="110" spans="1:12">
      <c r="A110" s="2" t="s">
        <v>52</v>
      </c>
      <c r="B110" s="2" t="s">
        <v>14</v>
      </c>
      <c r="C110" s="2" t="s">
        <v>15</v>
      </c>
      <c r="D110">
        <v>74667</v>
      </c>
      <c r="E110">
        <v>1680801</v>
      </c>
      <c r="F110">
        <v>4.44</v>
      </c>
      <c r="G110">
        <v>-0.27</v>
      </c>
      <c r="H110">
        <v>115181</v>
      </c>
      <c r="I110">
        <v>2719759</v>
      </c>
      <c r="J110">
        <v>4.23</v>
      </c>
      <c r="K110">
        <v>-0.29</v>
      </c>
      <c r="L110" s="1" t="s">
        <v>9</v>
      </c>
    </row>
    <row r="111" spans="1:12">
      <c r="A111" s="2" t="s">
        <v>52</v>
      </c>
      <c r="B111" s="2" t="s">
        <v>39</v>
      </c>
      <c r="C111" s="2" t="s">
        <v>40</v>
      </c>
      <c r="D111">
        <v>605065</v>
      </c>
      <c r="E111">
        <v>1680801</v>
      </c>
      <c r="F111">
        <v>36</v>
      </c>
      <c r="G111">
        <v>-1.68</v>
      </c>
      <c r="H111">
        <v>993963</v>
      </c>
      <c r="I111">
        <v>2719759</v>
      </c>
      <c r="J111">
        <v>36.55</v>
      </c>
      <c r="K111">
        <v>-1.73</v>
      </c>
      <c r="L111" s="1" t="s">
        <v>9</v>
      </c>
    </row>
    <row r="112" spans="1:12">
      <c r="A112" s="2" t="s">
        <v>52</v>
      </c>
      <c r="B112" s="2" t="s">
        <v>14</v>
      </c>
      <c r="C112" s="2" t="s">
        <v>53</v>
      </c>
      <c r="D112">
        <v>564571</v>
      </c>
      <c r="E112">
        <v>1680801</v>
      </c>
      <c r="F112">
        <v>33.59</v>
      </c>
      <c r="G112">
        <v>2.3</v>
      </c>
      <c r="H112">
        <v>898866</v>
      </c>
      <c r="I112">
        <v>2719759</v>
      </c>
      <c r="J112">
        <v>33.05</v>
      </c>
      <c r="K112">
        <v>2.32</v>
      </c>
      <c r="L112" s="1" t="s">
        <v>9</v>
      </c>
    </row>
    <row r="113" spans="1:12">
      <c r="A113" s="2" t="s">
        <v>52</v>
      </c>
      <c r="B113" s="2" t="s">
        <v>39</v>
      </c>
      <c r="C113" s="2" t="s">
        <v>53</v>
      </c>
      <c r="D113">
        <v>923930</v>
      </c>
      <c r="E113">
        <v>1680801</v>
      </c>
      <c r="F113">
        <v>54.97</v>
      </c>
      <c r="G113">
        <v>2.29</v>
      </c>
      <c r="H113">
        <v>1482248</v>
      </c>
      <c r="I113">
        <v>2719759</v>
      </c>
      <c r="J113">
        <v>54.5</v>
      </c>
      <c r="K113">
        <v>2.33</v>
      </c>
      <c r="L113" s="1" t="s">
        <v>9</v>
      </c>
    </row>
  </sheetData>
  <autoFilter xmlns:etc="http://www.wps.cn/officeDocument/2017/etCustomData" ref="A1:L113" etc:filterBottomFollowUsedRange="0">
    <extLst/>
  </autoFilter>
  <pageMargins left="0.75" right="0.75" top="1" bottom="1" header="0.5" footer="0.5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onlyoffice/7.5.0.125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SUMMURY</vt:lpstr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OCD</cp:lastModifiedBy>
  <cp:revision>1</cp:revision>
  <dcterms:created xsi:type="dcterms:W3CDTF">2024-11-05T02:43:00Z</dcterms:created>
  <dcterms:modified xsi:type="dcterms:W3CDTF">2025-03-06T03:28:17Z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A14C95DF62FC4FAFBDB85A8DAD50389C_11</vt:lpwstr>
  </property>
  <property fmtid="{D5CDD505-2E9C-101B-9397-08002B2CF9AE}" pid="3" name="KSOProductBuildVer">
    <vt:lpwstr>2052-12.1.0.20305</vt:lpwstr>
  </property>
</Properties>
</file>